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drawings/charts/chart2.xml" ContentType="application/vnd.openxmlformats-officedocument.drawingml.char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233a85b5eef4d7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01_BASE_BRUTE" sheetId="1" r:id="Ra62dd0e08f9d4cf3"/>
    <x:sheet xmlns:r="http://schemas.openxmlformats.org/officeDocument/2006/relationships" name="02_REFERENTIEL_CLIENTS" sheetId="2" r:id="Re2a31c6162cc45fa"/>
    <x:sheet xmlns:r="http://schemas.openxmlformats.org/officeDocument/2006/relationships" name="03_BASE_FIABILISEE" sheetId="3" r:id="Rb96e4c8d38794bda"/>
    <x:sheet xmlns:r="http://schemas.openxmlformats.org/officeDocument/2006/relationships" name="04_REPORTING_MENSUEL" sheetId="4" r:id="Rafad6b9f49f243b7"/>
    <x:sheet xmlns:r="http://schemas.openxmlformats.org/officeDocument/2006/relationships" name="05_ANALYSE_CLIENTS" sheetId="5" r:id="Rcd0168a3cf32430f"/>
    <x:sheet xmlns:r="http://schemas.openxmlformats.org/officeDocument/2006/relationships" name="06_CONTROLES" sheetId="6" r:id="R8263c329e64e4d60"/>
    <x:sheet xmlns:r="http://schemas.openxmlformats.org/officeDocument/2006/relationships" name="07_ANALYSE_TECHNIQUE" sheetId="7" r:id="Rbd655bbda574445e"/>
    <x:sheet xmlns:r="http://schemas.openxmlformats.org/officeDocument/2006/relationships" name="08_DASHBOARD_FINAL" sheetId="8" r:id="R783a056fb7204bc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7">
    <x:numFmt numFmtId="200" formatCode="#,##0 &quot;€&quot;"/>
    <x:numFmt numFmtId="201" formatCode="0.0%"/>
    <x:numFmt numFmtId="202" formatCode="0"/>
    <x:numFmt numFmtId="203" formatCode="dd/mm/yyyy"/>
    <x:numFmt numFmtId="204" formatCode="#,##0.00 &quot;€&quot;"/>
    <x:numFmt numFmtId="205" formatCode="mmm-yy"/>
    <x:numFmt numFmtId="206" formatCode="0.0 &quot;j&quot;"/>
  </x:numFmts>
  <x:fonts count="6">
    <x:font>
      <x:sz val="11"/>
      <x:name val="Carlito"/>
    </x:font>
    <x:font>
      <x:b/>
      <x:sz val="11"/>
      <x:color rgb="FFFFFFFF"/>
      <x:name val="Carlito"/>
    </x:font>
    <x:font>
      <x:b/>
      <x:sz val="16"/>
      <x:color rgb="FFFFFFFF"/>
      <x:name val="Carlito"/>
    </x:font>
    <x:font>
      <x:i/>
      <x:sz val="11"/>
      <x:color rgb="FF15324B"/>
      <x:name val="Carlito"/>
    </x:font>
    <x:font>
      <x:b/>
      <x:sz val="18"/>
      <x:color rgb="FFFFFFFF"/>
      <x:name val="Carlito"/>
    </x:font>
    <x:font>
      <x:b/>
      <x:sz val="16"/>
      <x:color rgb="FF15324B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15324B"/>
      </x:patternFill>
    </x:fill>
    <x:fill>
      <x:patternFill patternType="solid">
        <x:fgColor rgb="FFF4F7FA"/>
      </x:patternFill>
    </x:fill>
    <x:fill>
      <x:patternFill patternType="solid">
        <x:fgColor rgb="FFDCEAF5"/>
      </x:patternFill>
    </x:fill>
    <x:fill>
      <x:patternFill patternType="solid">
        <x:fgColor rgb="FF2F75B5"/>
      </x:patternFill>
    </x:fill>
  </x:fills>
  <x:borders count="2">
    <x:border/>
    <x:border/>
  </x:borders>
  <x:cellStyleXfs count="1">
    <x:xf numFmtId="0" fontId="0" fillId="0" borderId="0"/>
  </x:cellStyleXfs>
  <x:cellXfs count="76">
    <x:xf numFmtId="0" fontId="0" fillId="0" borderId="0" xfId="0"/>
    <x:xf numFmtId="0" fontId="0" fillId="0" borderId="1" xfId="0" applyNumberFormat="1" applyFont="1" applyFill="1" applyBorder="1"/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201" fontId="0" fillId="0" borderId="0" xfId="0" applyNumberFormat="1" applyFont="1" applyFill="1" applyBorder="1"/>
    <x:xf numFmtId="201" fontId="0" fillId="0" borderId="1" xfId="0" applyNumberFormat="1" applyFont="1" applyFill="1" applyBorder="1"/>
    <x:xf numFmtId="202" fontId="0" fillId="0" borderId="0" xfId="0" applyNumberFormat="1" applyFont="1" applyFill="1" applyBorder="1"/>
    <x:xf numFmtId="202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203" fontId="0" fillId="0" borderId="0" xfId="0" applyNumberFormat="1" applyFont="1" applyFill="1" applyBorder="1"/>
    <x:xf numFmtId="203" fontId="0" fillId="0" borderId="1" xfId="0" applyNumberFormat="1" applyFont="1" applyFill="1" applyBorder="1"/>
    <x:xf numFmtId="204" fontId="0" fillId="0" borderId="0" xfId="0" applyNumberFormat="1" applyFont="1" applyFill="1" applyBorder="1"/>
    <x:xf numFmtId="204" fontId="0" fillId="0" borderId="1" xfId="0" applyNumberFormat="1" applyFont="1" applyFill="1" applyBorder="1"/>
    <x:xf numFmtId="205" fontId="0" fillId="0" borderId="0" xfId="0" applyNumberFormat="1" applyFont="1" applyFill="1" applyBorder="1"/>
    <x:xf numFmtId="205" fontId="0" fillId="0" borderId="1" xfId="0" applyNumberFormat="1" applyFont="1" applyFill="1" applyBorder="1"/>
    <x:xf numFmtId="206" fontId="0" fillId="0" borderId="0" xfId="0" applyNumberFormat="1" applyFont="1" applyFill="1" applyBorder="1"/>
    <x:xf numFmtId="206" fontId="0" fillId="0" borderId="1" xfId="0" applyNumberFormat="1" applyFont="1" applyFill="1" applyBorder="1"/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horizontal="center"/>
    </x:xf>
    <x:xf numFmtId="0" fontId="2" fillId="2" borderId="1" xfId="0" applyNumberFormat="1" applyFont="1" applyFill="1" applyBorder="1"/>
    <x:xf numFmtId="0" fontId="2" fillId="2" borderId="1" xfId="0" applyNumberFormat="1" applyFont="1" applyFill="1" applyBorder="1" applyAlignment="1">
      <x:alignment horizontal="center"/>
    </x:xf>
    <x:xf numFmtId="0" fontId="0" fillId="3" borderId="0" xfId="0" applyNumberFormat="1" applyFont="1" applyFill="1" applyBorder="1"/>
    <x:xf numFmtId="0" fontId="0" fillId="3" borderId="0" xfId="0" applyNumberFormat="1" applyFont="1" applyFill="1" applyBorder="1" applyAlignment="1">
      <x:alignment wrapText="1"/>
    </x:xf>
    <x:xf numFmtId="0" fontId="0" fillId="3" borderId="1" xfId="0" applyNumberFormat="1" applyFont="1" applyFill="1" applyBorder="1"/>
    <x:xf numFmtId="0" fontId="0" fillId="3" borderId="1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horizontal="center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horizontal="center"/>
    </x:xf>
    <x:xf numFmtId="204" fontId="0" fillId="3" borderId="0" xfId="0" applyNumberFormat="1" applyFont="1" applyFill="1" applyBorder="1"/>
    <x:xf numFmtId="204" fontId="0" fillId="3" borderId="1" xfId="0" applyNumberFormat="1" applyFont="1" applyFill="1" applyBorder="1"/>
    <x:xf numFmtId="201" fontId="0" fillId="3" borderId="0" xfId="0" applyNumberFormat="1" applyFont="1" applyFill="1" applyBorder="1"/>
    <x:xf numFmtId="201" fontId="0" fillId="3" borderId="1" xfId="0" applyNumberFormat="1" applyFont="1" applyFill="1" applyBorder="1"/>
    <x:xf numFmtId="200" fontId="0" fillId="3" borderId="0" xfId="0" applyNumberFormat="1" applyFont="1" applyFill="1" applyBorder="1"/>
    <x:xf numFmtId="200" fontId="0" fillId="3" borderId="1" xfId="0" applyNumberFormat="1" applyFont="1" applyFill="1" applyBorder="1"/>
    <x:xf numFmtId="0" fontId="4" fillId="2" borderId="0" xfId="0" applyNumberFormat="1" applyFont="1" applyFill="1" applyBorder="1"/>
    <x:xf numFmtId="0" fontId="4" fillId="2" borderId="0" xfId="0" applyNumberFormat="1" applyFont="1" applyFill="1" applyBorder="1" applyAlignment="1">
      <x:alignment horizontal="center"/>
    </x:xf>
    <x:xf numFmtId="0" fontId="4" fillId="2" borderId="0" xfId="0" applyNumberFormat="1" applyFont="1" applyFill="1" applyBorder="1" applyAlignment="1">
      <x:alignment horizontal="center" vertical="center"/>
    </x:xf>
    <x:xf numFmtId="0" fontId="4" fillId="2" borderId="1" xfId="0" applyNumberFormat="1" applyFont="1" applyFill="1" applyBorder="1"/>
    <x:xf numFmtId="0" fontId="4" fillId="2" borderId="1" xfId="0" applyNumberFormat="1" applyFont="1" applyFill="1" applyBorder="1" applyAlignment="1">
      <x:alignment horizontal="center"/>
    </x:xf>
    <x:xf numFmtId="0" fontId="4" fillId="2" borderId="1" xfId="0" applyNumberFormat="1" applyFont="1" applyFill="1" applyBorder="1" applyAlignment="1">
      <x:alignment horizontal="center" vertical="center"/>
    </x:xf>
    <x:xf numFmtId="0" fontId="0" fillId="5" borderId="0" xfId="0" applyNumberFormat="1" applyFont="1" applyFill="1" applyBorder="1"/>
    <x:xf numFmtId="0" fontId="1" fillId="5" borderId="0" xfId="0" applyNumberFormat="1" applyFont="1" applyFill="1" applyBorder="1"/>
    <x:xf numFmtId="0" fontId="1" fillId="5" borderId="0" xfId="0" applyNumberFormat="1" applyFont="1" applyFill="1" applyBorder="1" applyAlignment="1">
      <x:alignment horizontal="center"/>
    </x:xf>
    <x:xf numFmtId="0" fontId="0" fillId="5" borderId="1" xfId="0" applyNumberFormat="1" applyFont="1" applyFill="1" applyBorder="1"/>
    <x:xf numFmtId="0" fontId="1" fillId="5" borderId="1" xfId="0" applyNumberFormat="1" applyFont="1" applyFill="1" applyBorder="1"/>
    <x:xf numFmtId="0" fontId="1" fillId="5" borderId="1" xfId="0" applyNumberFormat="1" applyFont="1" applyFill="1" applyBorder="1" applyAlignment="1">
      <x:alignment horizontal="center"/>
    </x:xf>
    <x:xf numFmtId="200" fontId="5" fillId="3" borderId="0" xfId="0" applyNumberFormat="1" applyFont="1" applyFill="1" applyBorder="1"/>
    <x:xf numFmtId="200" fontId="5" fillId="3" borderId="0" xfId="0" applyNumberFormat="1" applyFont="1" applyFill="1" applyBorder="1" applyAlignment="1">
      <x:alignment horizontal="center"/>
    </x:xf>
    <x:xf numFmtId="200" fontId="5" fillId="3" borderId="0" xfId="0" applyNumberFormat="1" applyFont="1" applyFill="1" applyBorder="1" applyAlignment="1">
      <x:alignment horizontal="center" vertical="center"/>
    </x:xf>
    <x:xf numFmtId="200" fontId="5" fillId="3" borderId="1" xfId="0" applyNumberFormat="1" applyFont="1" applyFill="1" applyBorder="1"/>
    <x:xf numFmtId="200" fontId="5" fillId="3" borderId="1" xfId="0" applyNumberFormat="1" applyFont="1" applyFill="1" applyBorder="1" applyAlignment="1">
      <x:alignment horizontal="center"/>
    </x:xf>
    <x:xf numFmtId="200" fontId="5" fillId="3" borderId="1" xfId="0" applyNumberFormat="1" applyFont="1" applyFill="1" applyBorder="1" applyAlignment="1">
      <x:alignment horizontal="center" vertical="center"/>
    </x:xf>
    <x:xf numFmtId="201" fontId="5" fillId="3" borderId="0" xfId="0" applyNumberFormat="1" applyFont="1" applyFill="1" applyBorder="1"/>
    <x:xf numFmtId="201" fontId="5" fillId="3" borderId="0" xfId="0" applyNumberFormat="1" applyFont="1" applyFill="1" applyBorder="1" applyAlignment="1">
      <x:alignment horizontal="center"/>
    </x:xf>
    <x:xf numFmtId="201" fontId="5" fillId="3" borderId="0" xfId="0" applyNumberFormat="1" applyFont="1" applyFill="1" applyBorder="1" applyAlignment="1">
      <x:alignment horizontal="center" vertical="center"/>
    </x:xf>
    <x:xf numFmtId="201" fontId="5" fillId="3" borderId="1" xfId="0" applyNumberFormat="1" applyFont="1" applyFill="1" applyBorder="1"/>
    <x:xf numFmtId="201" fontId="5" fillId="3" borderId="1" xfId="0" applyNumberFormat="1" applyFont="1" applyFill="1" applyBorder="1" applyAlignment="1">
      <x:alignment horizontal="center"/>
    </x:xf>
    <x:xf numFmtId="201" fontId="5" fillId="3" borderId="1" xfId="0" applyNumberFormat="1" applyFont="1" applyFill="1" applyBorder="1" applyAlignment="1">
      <x:alignment horizontal="center" vertical="center"/>
    </x:xf>
    <x:xf numFmtId="202" fontId="0" fillId="3" borderId="0" xfId="0" applyNumberFormat="1" applyFont="1" applyFill="1" applyBorder="1"/>
    <x:xf numFmtId="202" fontId="5" fillId="3" borderId="0" xfId="0" applyNumberFormat="1" applyFont="1" applyFill="1" applyBorder="1"/>
    <x:xf numFmtId="202" fontId="5" fillId="3" borderId="0" xfId="0" applyNumberFormat="1" applyFont="1" applyFill="1" applyBorder="1" applyAlignment="1">
      <x:alignment horizontal="center"/>
    </x:xf>
    <x:xf numFmtId="202" fontId="5" fillId="3" borderId="0" xfId="0" applyNumberFormat="1" applyFont="1" applyFill="1" applyBorder="1" applyAlignment="1">
      <x:alignment horizontal="center" vertical="center"/>
    </x:xf>
    <x:xf numFmtId="202" fontId="0" fillId="3" borderId="1" xfId="0" applyNumberFormat="1" applyFont="1" applyFill="1" applyBorder="1"/>
    <x:xf numFmtId="202" fontId="5" fillId="3" borderId="1" xfId="0" applyNumberFormat="1" applyFont="1" applyFill="1" applyBorder="1"/>
    <x:xf numFmtId="202" fontId="5" fillId="3" borderId="1" xfId="0" applyNumberFormat="1" applyFont="1" applyFill="1" applyBorder="1" applyAlignment="1">
      <x:alignment horizontal="center"/>
    </x:xf>
    <x:xf numFmtId="202" fontId="5" fillId="3" borderId="1" xfId="0" applyNumberFormat="1" applyFont="1" applyFill="1" applyBorder="1" applyAlignment="1">
      <x:alignment horizontal="center" vertical="center"/>
    </x:xf>
  </x:cellXfs>
  <x:cellStyles count="1">
    <x:cellStyle name="Normal" xfId="0"/>
  </x:cellStyles>
  <x:dxfs count="7">
    <x:dxf>
      <x:font>
        <x:b/>
      </x:font>
      <x:fill>
        <x:patternFill patternType="solid">
          <x:bgColor rgb="FFF4CCCC"/>
        </x:patternFill>
      </x:fill>
    </x:dxf>
    <x:dxf>
      <x:fill>
        <x:patternFill patternType="solid">
          <x:bgColor rgb="FFFFF2CC"/>
        </x:patternFill>
      </x:fill>
    </x:dxf>
    <x:dxf>
      <x:fill>
        <x:patternFill patternType="solid">
          <x:bgColor rgb="FFD9EAD3"/>
        </x:patternFill>
      </x:fill>
    </x:dxf>
    <x:dxf>
      <x:font>
        <x:b/>
      </x:font>
      <x:fill>
        <x:patternFill patternType="solid">
          <x:bgColor rgb="FFF4CCCC"/>
        </x:patternFill>
      </x:fill>
    </x:dxf>
    <x:dxf>
      <x:font>
        <x:b/>
      </x:font>
      <x:fill>
        <x:patternFill patternType="solid">
          <x:bgColor rgb="FFF4CCCC"/>
        </x:patternFill>
      </x:fill>
    </x:dxf>
    <x:dxf>
      <x:fill>
        <x:patternFill patternType="solid">
          <x:bgColor rgb="FFFFF2CC"/>
        </x:patternFill>
      </x:fill>
    </x:dxf>
    <x:dxf>
      <x:fill>
        <x:patternFill patternType="solid">
          <x:bgColor rgb="FFD9EAD3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59569faf5a64afa" /><Relationship Type="http://schemas.openxmlformats.org/officeDocument/2006/relationships/theme" Target="/xl/theme/theme1.xml" Id="R8b1cf3bf6474427f" /><Relationship Type="http://schemas.openxmlformats.org/officeDocument/2006/relationships/sharedStrings" Target="/xl/sharedStrings.xml" Id="R0a94ec2bfb66465c" /><Relationship Type="http://schemas.openxmlformats.org/officeDocument/2006/relationships/worksheet" Target="/xl/worksheets/sheet1.xml" Id="Ra62dd0e08f9d4cf3" /><Relationship Type="http://schemas.openxmlformats.org/officeDocument/2006/relationships/worksheet" Target="/xl/worksheets/sheet2.xml" Id="Re2a31c6162cc45fa" /><Relationship Type="http://schemas.openxmlformats.org/officeDocument/2006/relationships/worksheet" Target="/xl/worksheets/sheet3.xml" Id="Rb96e4c8d38794bda" /><Relationship Type="http://schemas.openxmlformats.org/officeDocument/2006/relationships/worksheet" Target="/xl/worksheets/sheet4.xml" Id="Rafad6b9f49f243b7" /><Relationship Type="http://schemas.openxmlformats.org/officeDocument/2006/relationships/worksheet" Target="/xl/worksheets/sheet5.xml" Id="Rcd0168a3cf32430f" /><Relationship Type="http://schemas.openxmlformats.org/officeDocument/2006/relationships/worksheet" Target="/xl/worksheets/sheet6.xml" Id="R8263c329e64e4d60" /><Relationship Type="http://schemas.openxmlformats.org/officeDocument/2006/relationships/worksheet" Target="/xl/worksheets/sheet7.xml" Id="Rbd655bbda574445e" /><Relationship Type="http://schemas.openxmlformats.org/officeDocument/2006/relationships/worksheet" Target="/xl/worksheets/sheet8.xml" Id="R783a056fb7204bca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0457ce085d7f4708" /><Relationship Type="http://schemas.openxmlformats.org/officeDocument/2006/relationships/chart" Target="/xl/drawings/charts/chart2.xml" Id="Rbf02c43193c94997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Évolution mensuelle : facturé vs encaissé</a:t>
            </a:r>
          </a:p>
        </c:rich>
      </c:tx>
    </c:title>
    <c:plotArea>
      <c:lineChart>
        <c:grouping val="standard"/>
        <c:ser>
          <c:idx val="0"/>
          <c:order val="0"/>
          <c:tx>
            <c:v>Facturé</c:v>
          </c:tx>
          <c:marker>
            <c:symbol val="none"/>
          </c:marker>
          <c:cat>
            <c:strRef>
              <c:f>'08_DASHBOARD_FINAL'!$A$20:$A$52</c:f>
              <c:strCache>
                <c:ptCount val="0"/>
              </c:strCache>
            </c:strRef>
          </c:cat>
          <c:val>
            <c:numRef>
              <c:f>'08_DASHBOARD_FINAL'!$B$20:$B$52</c:f>
              <c:numCache>
                <c:formatCode>General</c:formatCode>
                <c:ptCount val="0"/>
              </c:numCache>
            </c:numRef>
          </c:val>
        </c:ser>
        <c:ser>
          <c:idx val="1"/>
          <c:order val="1"/>
          <c:tx>
            <c:v>Encaissé</c:v>
          </c:tx>
          <c:marker>
            <c:symbol val="none"/>
          </c:marker>
          <c:cat>
            <c:strRef>
              <c:f>'08_DASHBOARD_FINAL'!$A$20:$A$52</c:f>
              <c:strCache>
                <c:ptCount val="0"/>
              </c:strCache>
            </c:strRef>
          </c:cat>
          <c:val>
            <c:numRef>
              <c:f>'08_DASHBOARD_FINAL'!$C$20:$C$52</c:f>
              <c:numCache>
                <c:formatCode>General</c:formatCode>
                <c:ptCount val="0"/>
              </c:numCache>
            </c:numRef>
          </c:val>
        </c:ser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2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Évolution des créances</a:t>
            </a:r>
          </a:p>
        </c:rich>
      </c:tx>
    </c:title>
    <c:plotArea>
      <c:barChart>
        <c:barDir val="col"/>
        <c:grouping val="clustered"/>
        <c:varyColors val="0"/>
        <c:ser>
          <c:idx val="0"/>
          <c:order val="0"/>
          <c:tx>
            <c:v>Facturé</c:v>
          </c:tx>
          <c:cat>
            <c:strRef>
              <c:f>'08_DASHBOARD_FINAL'!$A$20:$A$52</c:f>
              <c:strCache>
                <c:ptCount val="0"/>
              </c:strCache>
            </c:strRef>
          </c:cat>
          <c:val>
            <c:numRef>
              <c:f>'08_DASHBOARD_FINAL'!$B$20:$B$52</c:f>
              <c:numCache>
                <c:formatCode>General</c:formatCode>
                <c:ptCount val="0"/>
              </c:numCache>
            </c:numRef>
          </c:val>
        </c:ser>
        <c:ser>
          <c:idx val="1"/>
          <c:order val="1"/>
          <c:tx>
            <c:v>Encaissé</c:v>
          </c:tx>
          <c:cat>
            <c:strRef>
              <c:f>'08_DASHBOARD_FINAL'!$A$20:$A$52</c:f>
              <c:strCache>
                <c:ptCount val="0"/>
              </c:strCache>
            </c:strRef>
          </c:cat>
          <c:val>
            <c:numRef>
              <c:f>'08_DASHBOARD_FINAL'!$C$20:$C$52</c:f>
              <c:numCache>
                <c:formatCode>General</c:formatCode>
                <c:ptCount val="0"/>
              </c:numCache>
            </c:numRef>
          </c:val>
        </c:ser>
        <c:ser>
          <c:idx val="2"/>
          <c:order val="2"/>
          <c:tx>
            <c:v>Créances</c:v>
          </c:tx>
          <c:cat>
            <c:strRef>
              <c:f>'08_DASHBOARD_FINAL'!$A$20:$A$52</c:f>
              <c:strCache>
                <c:ptCount val="0"/>
              </c:strCache>
            </c:strRef>
          </c:cat>
          <c:val>
            <c:numRef>
              <c:f>'08_DASHBOARD_FINAL'!$D$20:$D$52</c:f>
              <c:numCache>
                <c:formatCode>General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5</xdr:col>
      <xdr:colOff>0</xdr:colOff>
      <xdr:row>9</xdr:row>
      <xdr:rowOff>0</xdr:rowOff>
    </xdr:from>
    <xdr:to>
      <xdr:col>14</xdr:col>
      <xdr:colOff>0</xdr:colOff>
      <xdr:row>24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0457ce085d7f4708"/>
        </a:graphicData>
      </a:graphic>
    </xdr:graphicFrame>
    <xdr:clientData/>
  </xdr:twoCellAnchor>
  <xdr:twoCellAnchor>
    <xdr:from>
      <xdr:col>5</xdr:col>
      <xdr:colOff>0</xdr:colOff>
      <xdr:row>25</xdr:row>
      <xdr:rowOff>0</xdr:rowOff>
    </xdr:from>
    <xdr:to>
      <xdr:col>14</xdr:col>
      <xdr:colOff>0</xdr:colOff>
      <xdr:row>41</xdr:row>
      <xdr:rowOff>0</xdr:rowOff>
    </xdr:to>
    <xdr:graphicFrame macro="">
      <xdr:nvGraphicFramePr>
        <xdr:cNvPr id="2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bf02c43193c94997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1" name="BaseBrute1000" displayName="BaseBrute1000" ref="A1:I1001" headerRowCount="1" totalsRowCount="0" totalsRowShown="0">
  <x:tableColumns count="9">
    <x:tableColumn id="1" name="Réf. facture"/>
    <x:tableColumn id="2" name="Date facture"/>
    <x:tableColumn id="3" name="Client"/>
    <x:tableColumn id="4" name="Activité"/>
    <x:tableColumn id="5" name="Pôle"/>
    <x:tableColumn id="6" name="Montant facturé"/>
    <x:tableColumn id="7" name="Montant encaissé"/>
    <x:tableColumn id="8" name="Payeur réel"/>
    <x:tableColumn id="9" name="Date règlement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ReferentielClients" displayName="ReferentielClients" ref="A1:D51" headerRowCount="1" totalsRowCount="0" totalsRowShown="0">
  <x:tableColumns count="4">
    <x:tableColumn id="1" name="Client"/>
    <x:tableColumn id="2" name="Segment"/>
    <x:tableColumn id="3" name="Zone"/>
    <x:tableColumn id="4" name="Responsable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BaseFiabilisee1000" displayName="BaseFiabilisee1000" ref="A1:R1001" headerRowCount="1" totalsRowCount="0" totalsRowShown="0">
  <x:tableColumns count="18">
    <x:tableColumn id="1" name="Réf. facture"/>
    <x:tableColumn id="2" name="Date facture"/>
    <x:tableColumn id="3" name="Client"/>
    <x:tableColumn id="4" name="Activité"/>
    <x:tableColumn id="5" name="Pôle"/>
    <x:tableColumn id="6" name="Montant facturé"/>
    <x:tableColumn id="7" name="Montant encaissé"/>
    <x:tableColumn id="8" name="Payeur réel"/>
    <x:tableColumn id="9" name="Date règlement"/>
    <x:tableColumn id="10" name="Année"/>
    <x:tableColumn id="11" name="Mois"/>
    <x:tableColumn id="12" name="Solde"/>
    <x:tableColumn id="13" name="Statut"/>
    <x:tableColumn id="14" name="Délai (j)"/>
    <x:tableColumn id="15" name="Payeur différent ?"/>
    <x:tableColumn id="16" name="Segment"/>
    <x:tableColumn id="17" name="Zone"/>
    <x:tableColumn id="18" name="Contrôle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ReportingMensuel1000" displayName="ReportingMensuel1000" ref="A1:J34" headerRowCount="1" totalsRowCount="0" totalsRowShown="0">
  <x:tableColumns count="10">
    <x:tableColumn id="1" name="Mois"/>
    <x:tableColumn id="2" name="Facturé"/>
    <x:tableColumn id="3" name="Encaissé"/>
    <x:tableColumn id="4" name="Créances"/>
    <x:tableColumn id="5" name="Taux encaissement"/>
    <x:tableColumn id="6" name="Nb transactions"/>
    <x:tableColumn id="7" name="Payées"/>
    <x:tableColumn id="8" name="Partielles"/>
    <x:tableColumn id="9" name="Impayées"/>
    <x:tableColumn id="10" name="Délai moyen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AnalyseClients1000" displayName="AnalyseClients1000" ref="A1:J51" headerRowCount="1" totalsRowCount="0" totalsRowShown="0">
  <x:tableColumns count="10">
    <x:tableColumn id="1" name="Client"/>
    <x:tableColumn id="2" name="Segment"/>
    <x:tableColumn id="3" name="Zone"/>
    <x:tableColumn id="4" name="Facturé"/>
    <x:tableColumn id="5" name="Encaissé"/>
    <x:tableColumn id="6" name="Créances"/>
    <x:tableColumn id="7" name="Taux encaissement"/>
    <x:tableColumn id="8" name="Nb transactions"/>
    <x:tableColumn id="9" name="Impayées"/>
    <x:tableColumn id="10" name="Partielle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AnalyseTechnique" displayName="AnalyseTechnique" ref="A5:J55" headerRowCount="1" totalsRowCount="0" totalsRowShown="0">
  <x:tableColumns count="10">
    <x:tableColumn id="1" name="Réf. facture"/>
    <x:tableColumn id="2" name="Client"/>
    <x:tableColumn id="3" name="Segment"/>
    <x:tableColumn id="4" name="Zone"/>
    <x:tableColumn id="5" name="Facturé"/>
    <x:tableColumn id="6" name="Encaissé"/>
    <x:tableColumn id="7" name="Solde"/>
    <x:tableColumn id="8" name="Statut"/>
    <x:tableColumn id="9" name="Taux encaissé"/>
    <x:tableColumn id="10" name="Alerte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957632a933da4d63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01767d260bc9413d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1c0e4d5db49249fe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92c152b8768b4891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5.xml" Id="R2d3b8464ae3c40f4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51aa7757dac04526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drawing" Target="/xl/drawings/drawing1.xml" Id="Rdde0641376ae48b1" /></Relationships>
</file>

<file path=xl/worksheets/sheet1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2.5" hidden="0" customWidth="1"/>
    <x:col min="3" max="3" width="16" hidden="0" customWidth="1"/>
    <x:col min="4" max="4" width="16" hidden="0" customWidth="1"/>
    <x:col min="5" max="5" width="16" hidden="0" customWidth="1"/>
    <x:col min="6" max="6" width="15.5" hidden="0" customWidth="1"/>
    <x:col min="7" max="7" width="16.5" hidden="0" customWidth="1"/>
    <x:col min="8" max="8" width="17" hidden="0" customWidth="1"/>
    <x:col min="9" max="9" width="14.880000114440918" hidden="0" customWidth="1"/>
  </x:cols>
  <x:sheetData>
    <x:row r="1" ht="28" customHeight="1">
      <x:c r="A1" s="11" t="str">
        <x:v>Réf. facture</x:v>
      </x:c>
      <x:c r="B1" s="11" t="str">
        <x:v>Date facture</x:v>
      </x:c>
      <x:c r="C1" s="11" t="str">
        <x:v>Client</x:v>
      </x:c>
      <x:c r="D1" s="11" t="str">
        <x:v>Activité</x:v>
      </x:c>
      <x:c r="E1" s="11" t="str">
        <x:v>Pôle</x:v>
      </x:c>
      <x:c r="F1" s="11" t="str">
        <x:v>Montant facturé</x:v>
      </x:c>
      <x:c r="G1" s="11" t="str">
        <x:v>Montant encaissé</x:v>
      </x:c>
      <x:c r="H1" s="11" t="str">
        <x:v>Payeur réel</x:v>
      </x:c>
      <x:c r="I1" s="11" t="str">
        <x:v>Date règlement</x:v>
      </x:c>
    </x:row>
    <x:row r="2">
      <x:c r="A2" t="str">
        <x:v>DV-2025-00001</x:v>
      </x:c>
      <x:c r="B2" s="16" t="n">
        <x:v>45985</x:v>
      </x:c>
      <x:c r="C2" t="str">
        <x:v>Client 05 </x:v>
      </x:c>
      <x:c r="D2" t="str">
        <x:v>Fret aérien</x:v>
      </x:c>
      <x:c r="E2" t="str">
        <x:v>Pôle D</x:v>
      </x:c>
      <x:c r="F2" s="18" t="n">
        <x:v>12479.03</x:v>
      </x:c>
      <x:c r="G2" s="18" t="n">
        <x:v>12479.03</x:v>
      </x:c>
      <x:c r="H2" t="str">
        <x:v>Client 35</x:v>
      </x:c>
      <x:c r="I2" s="16" t="n">
        <x:v>46065</x:v>
      </x:c>
    </x:row>
    <x:row r="3">
      <x:c r="A3" t="str">
        <x:v>DV-2025-00002</x:v>
      </x:c>
      <x:c r="B3" s="16" t="n">
        <x:v>45919</x:v>
      </x:c>
      <x:c r="C3" t="str">
        <x:v>Client 17</x:v>
      </x:c>
      <x:c r="D3" t="str">
        <x:v>Fret maritime</x:v>
      </x:c>
      <x:c r="E3" t="str">
        <x:v>Pôle C</x:v>
      </x:c>
      <x:c r="F3" s="18" t="n">
        <x:v>965.24</x:v>
      </x:c>
      <x:c r="G3" s="18" t="n">
        <x:v>965.24</x:v>
      </x:c>
      <x:c r="H3" t="str">
        <x:v>Client 17</x:v>
      </x:c>
      <x:c r="I3" s="16" t="n">
        <x:v>45925</x:v>
      </x:c>
    </x:row>
    <x:row r="4">
      <x:c r="A4" t="str">
        <x:v>DV-2026-00003</x:v>
      </x:c>
      <x:c r="B4" s="16" t="n">
        <x:v>46127</x:v>
      </x:c>
      <x:c r="C4" t="str">
        <x:v>Client 48</x:v>
      </x:c>
      <x:c r="D4" t="str">
        <x:v>Fret maritime</x:v>
      </x:c>
      <x:c r="E4" t="str">
        <x:v>Pôle C</x:v>
      </x:c>
      <x:c r="F4" s="18" t="n">
        <x:v>18347.42</x:v>
      </x:c>
      <x:c r="G4" s="18" t="n">
        <x:v>0</x:v>
      </x:c>
      <x:c r="H4" t="str">
        <x:v>Client 48</x:v>
      </x:c>
      <x:c r="I4" s="16"/>
    </x:row>
    <x:row r="5">
      <x:c r="A5" t="str">
        <x:v>DV-2024-00004</x:v>
      </x:c>
      <x:c r="B5" s="16" t="n">
        <x:v>45596</x:v>
      </x:c>
      <x:c r="C5" t="str">
        <x:v>Client 10</x:v>
      </x:c>
      <x:c r="D5" t="str">
        <x:v>Fret aérien</x:v>
      </x:c>
      <x:c r="E5" t="str">
        <x:v>Pôle A</x:v>
      </x:c>
      <x:c r="F5" s="18" t="n">
        <x:v>16713.94</x:v>
      </x:c>
      <x:c r="G5" s="18" t="n">
        <x:v>11802.96</x:v>
      </x:c>
      <x:c r="H5" t="str">
        <x:v>Client 08</x:v>
      </x:c>
      <x:c r="I5" s="16" t="n">
        <x:v>45625</x:v>
      </x:c>
    </x:row>
    <x:row r="6">
      <x:c r="A6" t="str">
        <x:v>DV-2024-00005</x:v>
      </x:c>
      <x:c r="B6" s="16" t="n">
        <x:v>45353</x:v>
      </x:c>
      <x:c r="C6" t="str">
        <x:v>Client 09</x:v>
      </x:c>
      <x:c r="D6" t="str">
        <x:v>Douane</x:v>
      </x:c>
      <x:c r="E6" t="str">
        <x:v>Pôle C</x:v>
      </x:c>
      <x:c r="F6" s="18" t="n">
        <x:v>4767.71</x:v>
      </x:c>
      <x:c r="G6" s="18" t="n">
        <x:v>2939.82</x:v>
      </x:c>
      <x:c r="H6" t="str">
        <x:v>Client 09</x:v>
      </x:c>
      <x:c r="I6" s="16" t="n">
        <x:v>45440</x:v>
      </x:c>
    </x:row>
    <x:row r="7">
      <x:c r="A7" t="str">
        <x:v>DV-2026-00006</x:v>
      </x:c>
      <x:c r="B7" s="16" t="n">
        <x:v>46227</x:v>
      </x:c>
      <x:c r="C7" t="str">
        <x:v>Client 42</x:v>
      </x:c>
      <x:c r="D7" t="str">
        <x:v>Express</x:v>
      </x:c>
      <x:c r="E7" t="str">
        <x:v>Pôle A</x:v>
      </x:c>
      <x:c r="F7" s="18" t="n">
        <x:v>20238.66</x:v>
      </x:c>
      <x:c r="G7" s="18" t="n">
        <x:v>20238.66</x:v>
      </x:c>
      <x:c r="H7" t="str">
        <x:v>Client 42</x:v>
      </x:c>
      <x:c r="I7" s="16" t="n">
        <x:v>46275</x:v>
      </x:c>
    </x:row>
    <x:row r="8">
      <x:c r="A8" t="str">
        <x:v>DV-2026-00007</x:v>
      </x:c>
      <x:c r="B8" s="16" t="n">
        <x:v>46213</x:v>
      </x:c>
      <x:c r="C8" t="str">
        <x:v>Client 26</x:v>
      </x:c>
      <x:c r="D8" t="str">
        <x:v>Express</x:v>
      </x:c>
      <x:c r="E8" t="str">
        <x:v>Pôle C</x:v>
      </x:c>
      <x:c r="F8" s="18" t="n">
        <x:v>5505.47</x:v>
      </x:c>
      <x:c r="G8" s="18" t="n">
        <x:v>5505.47</x:v>
      </x:c>
      <x:c r="H8" t="str">
        <x:v>Client 26</x:v>
      </x:c>
      <x:c r="I8" s="16" t="n">
        <x:v>46219</x:v>
      </x:c>
    </x:row>
    <x:row r="9">
      <x:c r="A9" t="str">
        <x:v>DV-2024-00008</x:v>
      </x:c>
      <x:c r="B9" s="16" t="n">
        <x:v>45550</x:v>
      </x:c>
      <x:c r="C9" t="str">
        <x:v>Client 23</x:v>
      </x:c>
      <x:c r="D9" t="str">
        <x:v>Fret maritime</x:v>
      </x:c>
      <x:c r="E9" t="str">
        <x:v>Pôle D</x:v>
      </x:c>
      <x:c r="F9" s="18" t="n">
        <x:v>23613.11</x:v>
      </x:c>
      <x:c r="G9" s="18" t="n">
        <x:v>23613.11</x:v>
      </x:c>
      <x:c r="H9" t="str">
        <x:v>Client 23</x:v>
      </x:c>
      <x:c r="I9" s="16" t="n">
        <x:v>45575</x:v>
      </x:c>
    </x:row>
    <x:row r="10">
      <x:c r="A10" t="str">
        <x:v>DV-2024-00009</x:v>
      </x:c>
      <x:c r="B10" s="16" t="n">
        <x:v>45633</x:v>
      </x:c>
      <x:c r="C10" t="str">
        <x:v>Client 27</x:v>
      </x:c>
      <x:c r="D10" t="str">
        <x:v>Fret maritime</x:v>
      </x:c>
      <x:c r="E10" t="str">
        <x:v>Pôle A</x:v>
      </x:c>
      <x:c r="F10" s="18" t="n">
        <x:v>4626.32</x:v>
      </x:c>
      <x:c r="G10" s="18" t="n">
        <x:v>4626.32</x:v>
      </x:c>
      <x:c r="H10" t="str">
        <x:v>Client 27</x:v>
      </x:c>
      <x:c r="I10" s="16" t="n">
        <x:v>45703</x:v>
      </x:c>
    </x:row>
    <x:row r="11">
      <x:c r="A11" t="str">
        <x:v>DV-2025-00010</x:v>
      </x:c>
      <x:c r="B11" s="16" t="n">
        <x:v>45852</x:v>
      </x:c>
      <x:c r="C11" t="str">
        <x:v>Client 06</x:v>
      </x:c>
      <x:c r="D11" t="str">
        <x:v>Douane</x:v>
      </x:c>
      <x:c r="E11" t="str">
        <x:v>Pôle A</x:v>
      </x:c>
      <x:c r="F11" s="18" t="n">
        <x:v>24202.55</x:v>
      </x:c>
      <x:c r="G11" s="18" t="n">
        <x:v>24202.55</x:v>
      </x:c>
      <x:c r="H11" t="str">
        <x:v>Client 22</x:v>
      </x:c>
      <x:c r="I11" s="16" t="n">
        <x:v>45869</x:v>
      </x:c>
    </x:row>
    <x:row r="12">
      <x:c r="A12" t="str">
        <x:v>DV-2026-00011</x:v>
      </x:c>
      <x:c r="B12" s="16" t="n">
        <x:v>46060</x:v>
      </x:c>
      <x:c r="C12" t="str">
        <x:v>Client 48</x:v>
      </x:c>
      <x:c r="D12" t="str">
        <x:v>Douane</x:v>
      </x:c>
      <x:c r="E12" t="str">
        <x:v>Pôle D</x:v>
      </x:c>
      <x:c r="F12" s="18" t="n">
        <x:v>9077.07</x:v>
      </x:c>
      <x:c r="G12" s="18" t="n">
        <x:v>9077.07</x:v>
      </x:c>
      <x:c r="H12" t="str">
        <x:v>Client 48</x:v>
      </x:c>
      <x:c r="I12" s="16" t="n">
        <x:v>46090</x:v>
      </x:c>
    </x:row>
    <x:row r="13">
      <x:c r="A13" t="str">
        <x:v>DV-2026-00012</x:v>
      </x:c>
      <x:c r="B13" s="16" t="n">
        <x:v>46062</x:v>
      </x:c>
      <x:c r="C13" t="str">
        <x:v>Client 27</x:v>
      </x:c>
      <x:c r="D13" t="str">
        <x:v>Fret aérien</x:v>
      </x:c>
      <x:c r="E13" t="str">
        <x:v>Pôle D</x:v>
      </x:c>
      <x:c r="F13" s="18" t="n">
        <x:v>16291.01</x:v>
      </x:c>
      <x:c r="G13" s="18" t="n">
        <x:v>16291.01</x:v>
      </x:c>
      <x:c r="H13" t="str">
        <x:v>Client 27</x:v>
      </x:c>
      <x:c r="I13" s="16" t="n">
        <x:v>46148</x:v>
      </x:c>
    </x:row>
    <x:row r="14">
      <x:c r="A14" t="str">
        <x:v>DV-2024-00013</x:v>
      </x:c>
      <x:c r="B14" s="16" t="n">
        <x:v>45441</x:v>
      </x:c>
      <x:c r="C14" t="str">
        <x:v>Client 05</x:v>
      </x:c>
      <x:c r="D14" t="str">
        <x:v>Fret maritime</x:v>
      </x:c>
      <x:c r="E14" t="str">
        <x:v>Pôle D</x:v>
      </x:c>
      <x:c r="F14" s="18" t="n">
        <x:v>4446.34</x:v>
      </x:c>
      <x:c r="G14" s="18" t="n">
        <x:v>2088.9</x:v>
      </x:c>
      <x:c r="H14" t="str">
        <x:v>Client 35</x:v>
      </x:c>
      <x:c r="I14" s="16" t="n">
        <x:v>45518</x:v>
      </x:c>
    </x:row>
    <x:row r="15">
      <x:c r="A15" t="str">
        <x:v>DV-2024-00014</x:v>
      </x:c>
      <x:c r="B15" s="16" t="n">
        <x:v>45636</x:v>
      </x:c>
      <x:c r="C15" t="str">
        <x:v>Client 19</x:v>
      </x:c>
      <x:c r="D15" t="str">
        <x:v>Fret maritime</x:v>
      </x:c>
      <x:c r="E15" t="str">
        <x:v>Pôle D</x:v>
      </x:c>
      <x:c r="F15" s="18" t="n">
        <x:v>21002.67</x:v>
      </x:c>
      <x:c r="G15" s="18" t="n">
        <x:v>21002.67</x:v>
      </x:c>
      <x:c r="H15" t="str">
        <x:v>Client 19</x:v>
      </x:c>
      <x:c r="I15" s="16" t="n">
        <x:v>45647</x:v>
      </x:c>
    </x:row>
    <x:row r="16">
      <x:c r="A16" t="str">
        <x:v>DV-2024-00015</x:v>
      </x:c>
      <x:c r="B16" s="16" t="n">
        <x:v>45404</x:v>
      </x:c>
      <x:c r="C16" t="str">
        <x:v>Client 45</x:v>
      </x:c>
      <x:c r="D16" t="str">
        <x:v>Fret aérien</x:v>
      </x:c>
      <x:c r="E16" t="str">
        <x:v>Pôle A</x:v>
      </x:c>
      <x:c r="F16" s="18" t="n">
        <x:v>13029.84</x:v>
      </x:c>
      <x:c r="G16" s="18" t="n">
        <x:v>13029.84</x:v>
      </x:c>
      <x:c r="H16" t="str">
        <x:v>Client 45</x:v>
      </x:c>
      <x:c r="I16" s="16" t="n">
        <x:v>45413</x:v>
      </x:c>
    </x:row>
    <x:row r="17">
      <x:c r="A17" t="str">
        <x:v>DV-2025-00016</x:v>
      </x:c>
      <x:c r="B17" s="16" t="n">
        <x:v>45848</x:v>
      </x:c>
      <x:c r="C17" t="str">
        <x:v>Client 42</x:v>
      </x:c>
      <x:c r="D17" t="str">
        <x:v>Express</x:v>
      </x:c>
      <x:c r="E17" t="str">
        <x:v>Pôle B</x:v>
      </x:c>
      <x:c r="F17" s="18" t="n">
        <x:v>10427.09</x:v>
      </x:c>
      <x:c r="G17" s="18" t="n">
        <x:v>10427.09</x:v>
      </x:c>
      <x:c r="H17" t="str">
        <x:v>Client 42</x:v>
      </x:c>
      <x:c r="I17" s="16" t="n">
        <x:v>45858</x:v>
      </x:c>
    </x:row>
    <x:row r="18">
      <x:c r="A18" t="str">
        <x:v>DV-2025-00017</x:v>
      </x:c>
      <x:c r="B18" s="16" t="n">
        <x:v>45830</x:v>
      </x:c>
      <x:c r="C18" t="str">
        <x:v>Client 44</x:v>
      </x:c>
      <x:c r="D18" t="str">
        <x:v>Logistique</x:v>
      </x:c>
      <x:c r="E18" t="str">
        <x:v>Pôle E</x:v>
      </x:c>
      <x:c r="F18" s="18" t="n">
        <x:v>19921.53</x:v>
      </x:c>
      <x:c r="G18" s="18" t="n">
        <x:v>19921.53</x:v>
      </x:c>
      <x:c r="H18" t="str">
        <x:v>Client 44</x:v>
      </x:c>
      <x:c r="I18" s="16" t="n">
        <x:v>45902</x:v>
      </x:c>
    </x:row>
    <x:row r="19">
      <x:c r="A19" t="str">
        <x:v>DV-2025-00018</x:v>
      </x:c>
      <x:c r="B19" s="16" t="n">
        <x:v>45870</x:v>
      </x:c>
      <x:c r="C19" t="str">
        <x:v>Client 41</x:v>
      </x:c>
      <x:c r="D19" t="str">
        <x:v>Logistique</x:v>
      </x:c>
      <x:c r="E19" t="str">
        <x:v>Pôle C</x:v>
      </x:c>
      <x:c r="F19" s="18" t="n">
        <x:v>21439.35</x:v>
      </x:c>
      <x:c r="G19" s="18" t="n">
        <x:v>8682.83</x:v>
      </x:c>
      <x:c r="H19" t="str">
        <x:v>Client 41</x:v>
      </x:c>
      <x:c r="I19" s="16" t="n">
        <x:v>45876</x:v>
      </x:c>
    </x:row>
    <x:row r="20">
      <x:c r="A20" t="str">
        <x:v>DV-2026-00019</x:v>
      </x:c>
      <x:c r="B20" s="16" t="n">
        <x:v>46067</x:v>
      </x:c>
      <x:c r="C20" t="str">
        <x:v>Client 31</x:v>
      </x:c>
      <x:c r="D20" t="str">
        <x:v>Fret maritime</x:v>
      </x:c>
      <x:c r="E20" t="str">
        <x:v>Pôle A</x:v>
      </x:c>
      <x:c r="F20" s="18" t="n">
        <x:v>12310.98</x:v>
      </x:c>
      <x:c r="G20" s="18" t="n">
        <x:v>0</x:v>
      </x:c>
      <x:c r="H20" t="str">
        <x:v>Client 31</x:v>
      </x:c>
      <x:c r="I20" s="16"/>
    </x:row>
    <x:row r="21">
      <x:c r="A21" t="str">
        <x:v>DV-2025-00020</x:v>
      </x:c>
      <x:c r="B21" s="16" t="n">
        <x:v>45785</x:v>
      </x:c>
      <x:c r="C21" t="str">
        <x:v>Client 29</x:v>
      </x:c>
      <x:c r="D21" t="str">
        <x:v>Douane</x:v>
      </x:c>
      <x:c r="E21" t="str">
        <x:v>Pôle A</x:v>
      </x:c>
      <x:c r="F21" s="18" t="n">
        <x:v>21559.2</x:v>
      </x:c>
      <x:c r="G21" s="18" t="n">
        <x:v>21559.2</x:v>
      </x:c>
      <x:c r="H21" t="str">
        <x:v>Client 29</x:v>
      </x:c>
      <x:c r="I21" s="16" t="n">
        <x:v>45808</x:v>
      </x:c>
    </x:row>
    <x:row r="22">
      <x:c r="A22" t="str">
        <x:v>DV-2026-00021</x:v>
      </x:c>
      <x:c r="B22" s="16" t="n">
        <x:v>46254</x:v>
      </x:c>
      <x:c r="C22" t="str">
        <x:v>Client 37</x:v>
      </x:c>
      <x:c r="D22" t="str">
        <x:v>Logistique</x:v>
      </x:c>
      <x:c r="E22" t="str">
        <x:v>Pôle D</x:v>
      </x:c>
      <x:c r="F22" s="18" t="n">
        <x:v>22106.53</x:v>
      </x:c>
      <x:c r="G22" s="18" t="n">
        <x:v>22106.53</x:v>
      </x:c>
      <x:c r="H22" t="str">
        <x:v>Client 37</x:v>
      </x:c>
      <x:c r="I22" s="16" t="n">
        <x:v>46339</x:v>
      </x:c>
    </x:row>
    <x:row r="23">
      <x:c r="A23" t="str">
        <x:v>DV-2024-00022</x:v>
      </x:c>
      <x:c r="B23" s="16" t="n">
        <x:v>45643</x:v>
      </x:c>
      <x:c r="C23" t="str">
        <x:v>Client 22</x:v>
      </x:c>
      <x:c r="D23" t="str">
        <x:v>Logistique</x:v>
      </x:c>
      <x:c r="E23" t="str">
        <x:v>Pôle A</x:v>
      </x:c>
      <x:c r="F23" s="18" t="n">
        <x:v>11942.89</x:v>
      </x:c>
      <x:c r="G23" s="18" t="n">
        <x:v>6935.14</x:v>
      </x:c>
      <x:c r="H23" t="str">
        <x:v>Client 22</x:v>
      </x:c>
      <x:c r="I23" s="16" t="n">
        <x:v>45685</x:v>
      </x:c>
    </x:row>
    <x:row r="24">
      <x:c r="A24" t="str">
        <x:v>DV-2025-00023</x:v>
      </x:c>
      <x:c r="B24" s="16" t="n">
        <x:v>45658</x:v>
      </x:c>
      <x:c r="C24" t="str">
        <x:v>Client 17</x:v>
      </x:c>
      <x:c r="D24" t="str">
        <x:v>Express</x:v>
      </x:c>
      <x:c r="E24" t="str">
        <x:v>Pôle D</x:v>
      </x:c>
      <x:c r="F24" s="18" t="n">
        <x:v>20084.74</x:v>
      </x:c>
      <x:c r="G24" s="18" t="n">
        <x:v>20084.74</x:v>
      </x:c>
      <x:c r="H24" t="str">
        <x:v>Client 17</x:v>
      </x:c>
      <x:c r="I24" s="16" t="n">
        <x:v>45697</x:v>
      </x:c>
    </x:row>
    <x:row r="25">
      <x:c r="A25" t="str">
        <x:v>DV-2025-00024</x:v>
      </x:c>
      <x:c r="B25" s="16" t="n">
        <x:v>45862</x:v>
      </x:c>
      <x:c r="C25" t="str">
        <x:v>Client 03</x:v>
      </x:c>
      <x:c r="D25" t="str">
        <x:v>Fret maritime</x:v>
      </x:c>
      <x:c r="E25" t="str">
        <x:v>Pôle A</x:v>
      </x:c>
      <x:c r="F25" s="18" t="n">
        <x:v>7234.26</x:v>
      </x:c>
      <x:c r="G25" s="18" t="n">
        <x:v>1491.66</x:v>
      </x:c>
      <x:c r="H25" t="str">
        <x:v>Client 49</x:v>
      </x:c>
      <x:c r="I25" s="16" t="n">
        <x:v>45946</x:v>
      </x:c>
    </x:row>
    <x:row r="26">
      <x:c r="A26" t="str">
        <x:v>DV-2024-00025</x:v>
      </x:c>
      <x:c r="B26" s="16" t="n">
        <x:v>45631</x:v>
      </x:c>
      <x:c r="C26" t="str">
        <x:v>Client 49</x:v>
      </x:c>
      <x:c r="D26" t="str">
        <x:v>Express</x:v>
      </x:c>
      <x:c r="E26" t="str">
        <x:v>Pôle B</x:v>
      </x:c>
      <x:c r="F26" s="18" t="n">
        <x:v>21594.06</x:v>
      </x:c>
      <x:c r="G26" s="18" t="n">
        <x:v>21594.06</x:v>
      </x:c>
      <x:c r="H26" t="str">
        <x:v>Client 49</x:v>
      </x:c>
      <x:c r="I26" s="16" t="n">
        <x:v>45719</x:v>
      </x:c>
    </x:row>
    <x:row r="27">
      <x:c r="A27" t="str">
        <x:v>DV-2025-00026</x:v>
      </x:c>
      <x:c r="B27" s="16" t="n">
        <x:v>45954</x:v>
      </x:c>
      <x:c r="C27" t="str">
        <x:v>Client 50</x:v>
      </x:c>
      <x:c r="D27" t="str">
        <x:v>Douane</x:v>
      </x:c>
      <x:c r="E27" t="str">
        <x:v>Pôle B</x:v>
      </x:c>
      <x:c r="F27" s="18" t="n">
        <x:v>24784.35</x:v>
      </x:c>
      <x:c r="G27" s="18" t="n">
        <x:v>24784.35</x:v>
      </x:c>
      <x:c r="H27" t="str">
        <x:v>Client 50</x:v>
      </x:c>
      <x:c r="I27" s="16" t="n">
        <x:v>46028</x:v>
      </x:c>
    </x:row>
    <x:row r="28">
      <x:c r="A28" t="str">
        <x:v>DV-2025-00027</x:v>
      </x:c>
      <x:c r="B28" s="16" t="n">
        <x:v>45929</x:v>
      </x:c>
      <x:c r="C28" t="str">
        <x:v>Client 06</x:v>
      </x:c>
      <x:c r="D28" t="str">
        <x:v>Logistique</x:v>
      </x:c>
      <x:c r="E28" t="str">
        <x:v>Pôle B</x:v>
      </x:c>
      <x:c r="F28" s="18" t="n">
        <x:v>22173.64</x:v>
      </x:c>
      <x:c r="G28" s="18" t="n">
        <x:v>8593.05</x:v>
      </x:c>
      <x:c r="H28" t="str">
        <x:v>Client 10</x:v>
      </x:c>
      <x:c r="I28" s="16" t="n">
        <x:v>45982</x:v>
      </x:c>
    </x:row>
    <x:row r="29">
      <x:c r="A29" t="str">
        <x:v>DV-2024-00028</x:v>
      </x:c>
      <x:c r="B29" s="16" t="n">
        <x:v>45519</x:v>
      </x:c>
      <x:c r="C29" t="str">
        <x:v>Client 33</x:v>
      </x:c>
      <x:c r="D29" t="str">
        <x:v>Fret maritime</x:v>
      </x:c>
      <x:c r="E29" t="str">
        <x:v>Pôle A</x:v>
      </x:c>
      <x:c r="F29" s="18" t="n">
        <x:v>20528.03</x:v>
      </x:c>
      <x:c r="G29" s="18" t="n">
        <x:v>20528.03</x:v>
      </x:c>
      <x:c r="H29" t="str">
        <x:v>Client 05</x:v>
      </x:c>
      <x:c r="I29" s="16" t="n">
        <x:v>45530</x:v>
      </x:c>
    </x:row>
    <x:row r="30">
      <x:c r="A30" t="str">
        <x:v>DV-2026-00029</x:v>
      </x:c>
      <x:c r="B30" s="16" t="n">
        <x:v>46051</x:v>
      </x:c>
      <x:c r="C30" t="str">
        <x:v>Client 47</x:v>
      </x:c>
      <x:c r="D30" t="str">
        <x:v>Fret aérien</x:v>
      </x:c>
      <x:c r="E30" t="str">
        <x:v>Pôle D</x:v>
      </x:c>
      <x:c r="F30" s="18" t="n">
        <x:v>17654.25</x:v>
      </x:c>
      <x:c r="G30" s="18" t="n">
        <x:v>0</x:v>
      </x:c>
      <x:c r="H30" t="str">
        <x:v>Client 31</x:v>
      </x:c>
      <x:c r="I30" s="16"/>
    </x:row>
    <x:row r="31">
      <x:c r="A31" t="str">
        <x:v>DV-2025-00030</x:v>
      </x:c>
      <x:c r="B31" s="16" t="n">
        <x:v>45943</x:v>
      </x:c>
      <x:c r="C31" t="str">
        <x:v>Client 49</x:v>
      </x:c>
      <x:c r="D31" t="str">
        <x:v>Fret maritime</x:v>
      </x:c>
      <x:c r="E31" t="str">
        <x:v>Pôle B</x:v>
      </x:c>
      <x:c r="F31" s="18" t="n">
        <x:v>4234.74</x:v>
      </x:c>
      <x:c r="G31" s="18" t="n">
        <x:v>2614.87</x:v>
      </x:c>
      <x:c r="H31" t="str">
        <x:v>Client 49</x:v>
      </x:c>
      <x:c r="I31" s="16" t="n">
        <x:v>45986</x:v>
      </x:c>
    </x:row>
    <x:row r="32">
      <x:c r="A32" t="str">
        <x:v>DV-2026-00031</x:v>
      </x:c>
      <x:c r="B32" s="16" t="n">
        <x:v>46125</x:v>
      </x:c>
      <x:c r="C32" t="str">
        <x:v>Client 07</x:v>
      </x:c>
      <x:c r="D32" t="str">
        <x:v>Fret aérien</x:v>
      </x:c>
      <x:c r="E32" t="str">
        <x:v>Pôle C</x:v>
      </x:c>
      <x:c r="F32" s="18" t="n">
        <x:v>12468.96</x:v>
      </x:c>
      <x:c r="G32" s="18" t="n">
        <x:v>12468.96</x:v>
      </x:c>
      <x:c r="H32" t="str">
        <x:v>Client 07</x:v>
      </x:c>
      <x:c r="I32" s="16" t="n">
        <x:v>46149</x:v>
      </x:c>
    </x:row>
    <x:row r="33">
      <x:c r="A33" t="str">
        <x:v>DV-2025-00032</x:v>
      </x:c>
      <x:c r="B33" s="16" t="n">
        <x:v>45861</x:v>
      </x:c>
      <x:c r="C33" t="str">
        <x:v>Client 20</x:v>
      </x:c>
      <x:c r="D33" t="str">
        <x:v>Express</x:v>
      </x:c>
      <x:c r="E33" t="str">
        <x:v>Pôle E</x:v>
      </x:c>
      <x:c r="F33" s="18" t="n">
        <x:v>18738.75</x:v>
      </x:c>
      <x:c r="G33" s="18" t="n">
        <x:v>18738.75</x:v>
      </x:c>
      <x:c r="H33" t="str">
        <x:v>Client 50</x:v>
      </x:c>
      <x:c r="I33" s="16" t="n">
        <x:v>45904</x:v>
      </x:c>
    </x:row>
    <x:row r="34">
      <x:c r="A34" t="str">
        <x:v>DV-2024-00033</x:v>
      </x:c>
      <x:c r="B34" s="16" t="n">
        <x:v>45512</x:v>
      </x:c>
      <x:c r="C34" t="str">
        <x:v>Client 10</x:v>
      </x:c>
      <x:c r="D34" t="str">
        <x:v>Express</x:v>
      </x:c>
      <x:c r="E34" t="str">
        <x:v>Pôle A</x:v>
      </x:c>
      <x:c r="F34" s="18" t="n">
        <x:v>23201.36</x:v>
      </x:c>
      <x:c r="G34" s="18" t="n">
        <x:v>23201.36</x:v>
      </x:c>
      <x:c r="H34" t="str">
        <x:v>Client 10</x:v>
      </x:c>
      <x:c r="I34" s="16" t="n">
        <x:v>45514</x:v>
      </x:c>
    </x:row>
    <x:row r="35">
      <x:c r="A35" t="str">
        <x:v>DV-2025-00034</x:v>
      </x:c>
      <x:c r="B35" s="16" t="n">
        <x:v>45711</x:v>
      </x:c>
      <x:c r="C35" t="str">
        <x:v>Client 30</x:v>
      </x:c>
      <x:c r="D35" t="str">
        <x:v>Douane</x:v>
      </x:c>
      <x:c r="E35" t="str">
        <x:v>Pôle C</x:v>
      </x:c>
      <x:c r="F35" s="18" t="n">
        <x:v>23085.04</x:v>
      </x:c>
      <x:c r="G35" s="18" t="n">
        <x:v>0</x:v>
      </x:c>
      <x:c r="H35" t="str">
        <x:v>Client 30</x:v>
      </x:c>
      <x:c r="I35" s="16"/>
    </x:row>
    <x:row r="36">
      <x:c r="A36" t="str">
        <x:v>DV-2026-00035</x:v>
      </x:c>
      <x:c r="B36" s="16" t="n">
        <x:v>46186</x:v>
      </x:c>
      <x:c r="C36" t="str">
        <x:v>Client 32</x:v>
      </x:c>
      <x:c r="D36" t="str">
        <x:v>Fret aérien</x:v>
      </x:c>
      <x:c r="E36" t="str">
        <x:v>Pôle E</x:v>
      </x:c>
      <x:c r="F36" s="18" t="n">
        <x:v>15911.53</x:v>
      </x:c>
      <x:c r="G36" s="18" t="n">
        <x:v>15911.53</x:v>
      </x:c>
      <x:c r="H36" t="str">
        <x:v>Client 32</x:v>
      </x:c>
      <x:c r="I36" s="16" t="n">
        <x:v>46220</x:v>
      </x:c>
    </x:row>
    <x:row r="37">
      <x:c r="A37" t="str">
        <x:v>DV-2024-00036</x:v>
      </x:c>
      <x:c r="B37" s="16" t="n">
        <x:v>45438</x:v>
      </x:c>
      <x:c r="C37" t="str">
        <x:v>Client 15</x:v>
      </x:c>
      <x:c r="D37" t="str">
        <x:v>Logistique</x:v>
      </x:c>
      <x:c r="E37" t="str">
        <x:v>Pôle C</x:v>
      </x:c>
      <x:c r="F37" s="18" t="n">
        <x:v>5039.97</x:v>
      </x:c>
      <x:c r="G37" s="18" t="n">
        <x:v>5039.97</x:v>
      </x:c>
      <x:c r="H37" t="str">
        <x:v>Client 15</x:v>
      </x:c>
      <x:c r="I37" s="16" t="n">
        <x:v>45468</x:v>
      </x:c>
    </x:row>
    <x:row r="38">
      <x:c r="A38" t="str">
        <x:v>DV-2025-00037</x:v>
      </x:c>
      <x:c r="B38" s="16" t="n">
        <x:v>45729</x:v>
      </x:c>
      <x:c r="C38" t="str">
        <x:v>Client 39</x:v>
      </x:c>
      <x:c r="D38" t="str">
        <x:v>Logistique</x:v>
      </x:c>
      <x:c r="E38" t="str">
        <x:v>Pôle B</x:v>
      </x:c>
      <x:c r="F38" s="18" t="n">
        <x:v>6568.45</x:v>
      </x:c>
      <x:c r="G38" s="18" t="n">
        <x:v>1582.35</x:v>
      </x:c>
      <x:c r="H38" t="str">
        <x:v>Client 39</x:v>
      </x:c>
      <x:c r="I38" s="16" t="n">
        <x:v>45756</x:v>
      </x:c>
    </x:row>
    <x:row r="39">
      <x:c r="A39" t="str">
        <x:v>DV-2024-00038</x:v>
      </x:c>
      <x:c r="B39" s="16" t="n">
        <x:v>45354</x:v>
      </x:c>
      <x:c r="C39" t="str">
        <x:v>Client 36</x:v>
      </x:c>
      <x:c r="D39" t="str">
        <x:v>Douane</x:v>
      </x:c>
      <x:c r="E39" t="str">
        <x:v>Pôle C</x:v>
      </x:c>
      <x:c r="F39" s="18" t="n">
        <x:v>18443.97</x:v>
      </x:c>
      <x:c r="G39" s="18" t="n">
        <x:v>15270.76</x:v>
      </x:c>
      <x:c r="H39" t="str">
        <x:v>Client 36</x:v>
      </x:c>
      <x:c r="I39" s="16" t="n">
        <x:v>45365</x:v>
      </x:c>
    </x:row>
    <x:row r="40">
      <x:c r="A40" t="str">
        <x:v>DV-2024-00039</x:v>
      </x:c>
      <x:c r="B40" s="16" t="n">
        <x:v>45475</x:v>
      </x:c>
      <x:c r="C40" t="str">
        <x:v>Client 42</x:v>
      </x:c>
      <x:c r="D40" t="str">
        <x:v>Fret aérien</x:v>
      </x:c>
      <x:c r="E40" t="str">
        <x:v>Pôle D</x:v>
      </x:c>
      <x:c r="F40" s="18" t="n">
        <x:v>17228.84</x:v>
      </x:c>
      <x:c r="G40" s="18" t="n">
        <x:v>12230.77</x:v>
      </x:c>
      <x:c r="H40" t="str">
        <x:v>Client 38</x:v>
      </x:c>
      <x:c r="I40" s="16" t="n">
        <x:v>45477</x:v>
      </x:c>
    </x:row>
    <x:row r="41">
      <x:c r="A41" t="str">
        <x:v>DV-2024-00040</x:v>
      </x:c>
      <x:c r="B41" s="16" t="n">
        <x:v>45568</x:v>
      </x:c>
      <x:c r="C41" t="str">
        <x:v>Client 35</x:v>
      </x:c>
      <x:c r="D41" t="str">
        <x:v>Fret maritime</x:v>
      </x:c>
      <x:c r="E41" t="str">
        <x:v>Pôle A</x:v>
      </x:c>
      <x:c r="F41" s="18" t="n">
        <x:v>14290.96</x:v>
      </x:c>
      <x:c r="G41" s="18" t="n">
        <x:v>8456.82</x:v>
      </x:c>
      <x:c r="H41" t="str">
        <x:v>Client 35</x:v>
      </x:c>
      <x:c r="I41" s="16" t="n">
        <x:v>45578</x:v>
      </x:c>
    </x:row>
    <x:row r="42">
      <x:c r="A42" t="str">
        <x:v>DV-2024-00041</x:v>
      </x:c>
      <x:c r="B42" s="16" t="n">
        <x:v>45308</x:v>
      </x:c>
      <x:c r="C42" t="str">
        <x:v>Client 44</x:v>
      </x:c>
      <x:c r="D42" t="str">
        <x:v>Express</x:v>
      </x:c>
      <x:c r="E42" t="str">
        <x:v>Pôle B</x:v>
      </x:c>
      <x:c r="F42" s="18" t="n">
        <x:v>9384.66</x:v>
      </x:c>
      <x:c r="G42" s="18" t="n">
        <x:v>9384.66</x:v>
      </x:c>
      <x:c r="H42" t="str">
        <x:v>Client 44</x:v>
      </x:c>
      <x:c r="I42" s="16" t="n">
        <x:v>45327</x:v>
      </x:c>
    </x:row>
    <x:row r="43">
      <x:c r="A43" t="str">
        <x:v>DV-2025-00042</x:v>
      </x:c>
      <x:c r="B43" s="16" t="n">
        <x:v>45964</x:v>
      </x:c>
      <x:c r="C43" t="str">
        <x:v>Client 41</x:v>
      </x:c>
      <x:c r="D43" t="str">
        <x:v>Express</x:v>
      </x:c>
      <x:c r="E43" t="str">
        <x:v>Pôle C</x:v>
      </x:c>
      <x:c r="F43" s="18" t="n">
        <x:v>17099.82</x:v>
      </x:c>
      <x:c r="G43" s="18" t="n">
        <x:v>17099.82</x:v>
      </x:c>
      <x:c r="H43" t="str">
        <x:v>Client 41</x:v>
      </x:c>
      <x:c r="I43" s="16" t="n">
        <x:v>46025</x:v>
      </x:c>
    </x:row>
    <x:row r="44">
      <x:c r="A44" t="str">
        <x:v>DV-2025-00043</x:v>
      </x:c>
      <x:c r="B44" s="16" t="n">
        <x:v>45945</x:v>
      </x:c>
      <x:c r="C44" t="str">
        <x:v>Client 46</x:v>
      </x:c>
      <x:c r="D44" t="str">
        <x:v>Fret aérien</x:v>
      </x:c>
      <x:c r="E44" t="str">
        <x:v>Pôle A</x:v>
      </x:c>
      <x:c r="F44" s="18" t="n">
        <x:v>8376.31</x:v>
      </x:c>
      <x:c r="G44" s="18" t="n">
        <x:v>0</x:v>
      </x:c>
      <x:c r="H44" t="str">
        <x:v>Client 46</x:v>
      </x:c>
      <x:c r="I44" s="16"/>
    </x:row>
    <x:row r="45">
      <x:c r="A45" t="str">
        <x:v>DV-2024-00044</x:v>
      </x:c>
      <x:c r="B45" s="16" t="n">
        <x:v>45439</x:v>
      </x:c>
      <x:c r="C45" t="str">
        <x:v>Client 07</x:v>
      </x:c>
      <x:c r="D45" t="str">
        <x:v>Logistique</x:v>
      </x:c>
      <x:c r="E45" t="str">
        <x:v>Pôle C</x:v>
      </x:c>
      <x:c r="F45" s="18" t="n">
        <x:v>24199.68</x:v>
      </x:c>
      <x:c r="G45" s="18" t="n">
        <x:v>24199.68</x:v>
      </x:c>
      <x:c r="H45" t="str">
        <x:v>Client 07</x:v>
      </x:c>
      <x:c r="I45" s="16" t="n">
        <x:v>45506</x:v>
      </x:c>
    </x:row>
    <x:row r="46">
      <x:c r="A46" t="str">
        <x:v>DV-2024-00045</x:v>
      </x:c>
      <x:c r="B46" s="16" t="n">
        <x:v>45320</x:v>
      </x:c>
      <x:c r="C46" t="str">
        <x:v>Client 47</x:v>
      </x:c>
      <x:c r="D46" t="str">
        <x:v>Logistique</x:v>
      </x:c>
      <x:c r="E46" t="str">
        <x:v>Pôle E</x:v>
      </x:c>
      <x:c r="F46" s="18" t="n">
        <x:v>16927.47</x:v>
      </x:c>
      <x:c r="G46" s="18" t="n">
        <x:v>16927.47</x:v>
      </x:c>
      <x:c r="H46" t="str">
        <x:v>Client 47</x:v>
      </x:c>
      <x:c r="I46" s="16" t="n">
        <x:v>45381</x:v>
      </x:c>
    </x:row>
    <x:row r="47">
      <x:c r="A47" t="str">
        <x:v>DV-2025-00046</x:v>
      </x:c>
      <x:c r="B47" s="16" t="n">
        <x:v>45758</x:v>
      </x:c>
      <x:c r="C47" t="str">
        <x:v>Client 18</x:v>
      </x:c>
      <x:c r="D47" t="str">
        <x:v>Fret maritime</x:v>
      </x:c>
      <x:c r="E47" t="str">
        <x:v>Pôle D</x:v>
      </x:c>
      <x:c r="F47" s="18" t="n">
        <x:v>9539.92</x:v>
      </x:c>
      <x:c r="G47" s="18" t="n">
        <x:v>9539.92</x:v>
      </x:c>
      <x:c r="H47" t="str">
        <x:v>Client 18</x:v>
      </x:c>
      <x:c r="I47" s="16" t="n">
        <x:v>45765</x:v>
      </x:c>
    </x:row>
    <x:row r="48">
      <x:c r="A48" t="str">
        <x:v>DV-2024-00047</x:v>
      </x:c>
      <x:c r="B48" s="16" t="n">
        <x:v>45359</x:v>
      </x:c>
      <x:c r="C48" t="str">
        <x:v>Client 29</x:v>
      </x:c>
      <x:c r="D48" t="str">
        <x:v>Fret maritime</x:v>
      </x:c>
      <x:c r="E48" t="str">
        <x:v>Pôle E</x:v>
      </x:c>
      <x:c r="F48" s="18" t="n">
        <x:v>7307.3</x:v>
      </x:c>
      <x:c r="G48" s="18" t="n">
        <x:v>7307.3</x:v>
      </x:c>
      <x:c r="H48" t="str">
        <x:v>Client 29</x:v>
      </x:c>
      <x:c r="I48" s="16" t="n">
        <x:v>45403</x:v>
      </x:c>
    </x:row>
    <x:row r="49">
      <x:c r="A49" t="str">
        <x:v>DV-2024-00048</x:v>
      </x:c>
      <x:c r="B49" s="16" t="n">
        <x:v>45650</x:v>
      </x:c>
      <x:c r="C49" t="str">
        <x:v>Client 46</x:v>
      </x:c>
      <x:c r="D49" t="str">
        <x:v>Fret maritime</x:v>
      </x:c>
      <x:c r="E49" t="str">
        <x:v>Pôle C</x:v>
      </x:c>
      <x:c r="F49" s="18" t="n">
        <x:v>1674.06</x:v>
      </x:c>
      <x:c r="G49" s="18" t="n">
        <x:v>1674.06</x:v>
      </x:c>
      <x:c r="H49" t="str">
        <x:v>Client 46</x:v>
      </x:c>
      <x:c r="I49" s="16" t="n">
        <x:v>45675</x:v>
      </x:c>
    </x:row>
    <x:row r="50">
      <x:c r="A50" t="str">
        <x:v>DV-2026-00049</x:v>
      </x:c>
      <x:c r="B50" s="16" t="n">
        <x:v>46114</x:v>
      </x:c>
      <x:c r="C50" t="str">
        <x:v>Client 15</x:v>
      </x:c>
      <x:c r="D50" t="str">
        <x:v>Douane</x:v>
      </x:c>
      <x:c r="E50" t="str">
        <x:v>Pôle D</x:v>
      </x:c>
      <x:c r="F50" s="18" t="n">
        <x:v>636.45</x:v>
      </x:c>
      <x:c r="G50" s="18" t="n">
        <x:v>636.45</x:v>
      </x:c>
      <x:c r="H50" t="str">
        <x:v>Client 15</x:v>
      </x:c>
      <x:c r="I50" s="16" t="n">
        <x:v>46193</x:v>
      </x:c>
    </x:row>
    <x:row r="51">
      <x:c r="A51" t="str">
        <x:v>DV-2024-00050</x:v>
      </x:c>
      <x:c r="B51" s="16" t="n">
        <x:v>45387</x:v>
      </x:c>
      <x:c r="C51" t="str">
        <x:v>Client 28</x:v>
      </x:c>
      <x:c r="D51" t="str">
        <x:v>Fret maritime</x:v>
      </x:c>
      <x:c r="E51" t="str">
        <x:v>Pôle B</x:v>
      </x:c>
      <x:c r="F51" s="18" t="n">
        <x:v>4352.22</x:v>
      </x:c>
      <x:c r="G51" s="18" t="n">
        <x:v>4352.22</x:v>
      </x:c>
      <x:c r="H51" t="str">
        <x:v>Client 28</x:v>
      </x:c>
      <x:c r="I51" s="16" t="n">
        <x:v>45447</x:v>
      </x:c>
    </x:row>
    <x:row r="52">
      <x:c r="A52" t="str">
        <x:v>DV-2025-00051</x:v>
      </x:c>
      <x:c r="B52" s="16" t="n">
        <x:v>45876</x:v>
      </x:c>
      <x:c r="C52" t="str">
        <x:v>Client 06</x:v>
      </x:c>
      <x:c r="D52" t="str">
        <x:v>Douane</x:v>
      </x:c>
      <x:c r="E52" t="str">
        <x:v>Pôle A</x:v>
      </x:c>
      <x:c r="F52" s="18" t="n">
        <x:v>6614.04</x:v>
      </x:c>
      <x:c r="G52" s="18" t="n">
        <x:v>6614.04</x:v>
      </x:c>
      <x:c r="H52" t="str">
        <x:v>Client 06</x:v>
      </x:c>
      <x:c r="I52" s="16" t="n">
        <x:v>45957</x:v>
      </x:c>
    </x:row>
    <x:row r="53">
      <x:c r="A53" t="str">
        <x:v>DV-2025-00052</x:v>
      </x:c>
      <x:c r="B53" s="16" t="n">
        <x:v>45992</x:v>
      </x:c>
      <x:c r="C53" t="str">
        <x:v>Client 15</x:v>
      </x:c>
      <x:c r="D53" t="str">
        <x:v>Express</x:v>
      </x:c>
      <x:c r="E53" t="str">
        <x:v>Pôle B</x:v>
      </x:c>
      <x:c r="F53" s="18" t="n">
        <x:v>3868.05</x:v>
      </x:c>
      <x:c r="G53" s="18" t="n">
        <x:v>3868.05</x:v>
      </x:c>
      <x:c r="H53" t="str">
        <x:v>Client 15</x:v>
      </x:c>
      <x:c r="I53" s="16" t="n">
        <x:v>46054</x:v>
      </x:c>
    </x:row>
    <x:row r="54">
      <x:c r="A54" t="str">
        <x:v>DV-2025-00053</x:v>
      </x:c>
      <x:c r="B54" s="16" t="n">
        <x:v>45853</x:v>
      </x:c>
      <x:c r="C54" t="str">
        <x:v>Client 06</x:v>
      </x:c>
      <x:c r="D54" t="str">
        <x:v>Fret maritime</x:v>
      </x:c>
      <x:c r="E54" t="str">
        <x:v>Pôle D</x:v>
      </x:c>
      <x:c r="F54" s="18" t="n">
        <x:v>19398.36</x:v>
      </x:c>
      <x:c r="G54" s="18" t="n">
        <x:v>8577.64</x:v>
      </x:c>
      <x:c r="H54" t="str">
        <x:v>Client 06</x:v>
      </x:c>
      <x:c r="I54" s="16" t="n">
        <x:v>45866</x:v>
      </x:c>
    </x:row>
    <x:row r="55">
      <x:c r="A55" t="str">
        <x:v>DV-2024-00054</x:v>
      </x:c>
      <x:c r="B55" s="16" t="n">
        <x:v>45373</x:v>
      </x:c>
      <x:c r="C55" t="str">
        <x:v>Client 39</x:v>
      </x:c>
      <x:c r="D55" t="str">
        <x:v>Logistique</x:v>
      </x:c>
      <x:c r="E55" t="str">
        <x:v>Pôle D</x:v>
      </x:c>
      <x:c r="F55" s="18" t="n">
        <x:v>20149.41</x:v>
      </x:c>
      <x:c r="G55" s="18" t="n">
        <x:v>20149.41</x:v>
      </x:c>
      <x:c r="H55" t="str">
        <x:v>Client 39</x:v>
      </x:c>
      <x:c r="I55" s="16" t="n">
        <x:v>45460</x:v>
      </x:c>
    </x:row>
    <x:row r="56">
      <x:c r="A56" t="str">
        <x:v>DV-2026-00055</x:v>
      </x:c>
      <x:c r="B56" s="16" t="n">
        <x:v>46231</x:v>
      </x:c>
      <x:c r="C56" t="str">
        <x:v>Client 03</x:v>
      </x:c>
      <x:c r="D56" t="str">
        <x:v>Fret maritime</x:v>
      </x:c>
      <x:c r="E56" t="str">
        <x:v>Pôle A</x:v>
      </x:c>
      <x:c r="F56" s="18" t="n">
        <x:v>10121.11</x:v>
      </x:c>
      <x:c r="G56" s="18" t="n">
        <x:v>10121.11</x:v>
      </x:c>
      <x:c r="H56" t="str">
        <x:v>Client 03</x:v>
      </x:c>
      <x:c r="I56" s="16" t="n">
        <x:v>46256</x:v>
      </x:c>
    </x:row>
    <x:row r="57">
      <x:c r="A57" t="str">
        <x:v>DV-2024-00056</x:v>
      </x:c>
      <x:c r="B57" s="16" t="n">
        <x:v>45604</x:v>
      </x:c>
      <x:c r="C57" t="str">
        <x:v>Client 38</x:v>
      </x:c>
      <x:c r="D57" t="str">
        <x:v>Fret aérien</x:v>
      </x:c>
      <x:c r="E57" t="str">
        <x:v>Pôle A</x:v>
      </x:c>
      <x:c r="F57" s="18" t="n">
        <x:v>9734.78</x:v>
      </x:c>
      <x:c r="G57" s="18" t="n">
        <x:v>0</x:v>
      </x:c>
      <x:c r="H57" t="str">
        <x:v>Client 38</x:v>
      </x:c>
      <x:c r="I57" s="16"/>
    </x:row>
    <x:row r="58">
      <x:c r="A58" t="str">
        <x:v>DV-2024-00057</x:v>
      </x:c>
      <x:c r="B58" s="16" t="n">
        <x:v>45583</x:v>
      </x:c>
      <x:c r="C58" t="str">
        <x:v>Client 35</x:v>
      </x:c>
      <x:c r="D58" t="str">
        <x:v>Fret aérien</x:v>
      </x:c>
      <x:c r="E58" t="str">
        <x:v>Pôle A</x:v>
      </x:c>
      <x:c r="F58" s="18" t="n">
        <x:v>2495.81</x:v>
      </x:c>
      <x:c r="G58" s="18" t="n">
        <x:v>2495.81</x:v>
      </x:c>
      <x:c r="H58" t="str">
        <x:v>Client 35</x:v>
      </x:c>
      <x:c r="I58" s="16" t="n">
        <x:v>45655</x:v>
      </x:c>
    </x:row>
    <x:row r="59">
      <x:c r="A59" t="str">
        <x:v>DV-2025-00058</x:v>
      </x:c>
      <x:c r="B59" s="16" t="n">
        <x:v>45747</x:v>
      </x:c>
      <x:c r="C59" t="str">
        <x:v>Client 29</x:v>
      </x:c>
      <x:c r="D59" t="str">
        <x:v>Douane</x:v>
      </x:c>
      <x:c r="E59" t="str">
        <x:v>Pôle A</x:v>
      </x:c>
      <x:c r="F59" s="18" t="n">
        <x:v>4435.92</x:v>
      </x:c>
      <x:c r="G59" s="18" t="n">
        <x:v>2093.73</x:v>
      </x:c>
      <x:c r="H59" t="str">
        <x:v>Client 29</x:v>
      </x:c>
      <x:c r="I59" s="16" t="n">
        <x:v>45761</x:v>
      </x:c>
    </x:row>
    <x:row r="60">
      <x:c r="A60" t="str">
        <x:v>DV-2024-00059</x:v>
      </x:c>
      <x:c r="B60" s="16" t="n">
        <x:v>45491</x:v>
      </x:c>
      <x:c r="C60" t="str">
        <x:v>Client 38</x:v>
      </x:c>
      <x:c r="D60" t="str">
        <x:v>Fret maritime</x:v>
      </x:c>
      <x:c r="E60" t="str">
        <x:v>Pôle D</x:v>
      </x:c>
      <x:c r="F60" s="18" t="n">
        <x:v>16496.39</x:v>
      </x:c>
      <x:c r="G60" s="18" t="n">
        <x:v>16496.39</x:v>
      </x:c>
      <x:c r="H60" t="str">
        <x:v>Client 38</x:v>
      </x:c>
      <x:c r="I60" s="16" t="n">
        <x:v>45543</x:v>
      </x:c>
    </x:row>
    <x:row r="61">
      <x:c r="A61" t="str">
        <x:v>DV-2025-00060</x:v>
      </x:c>
      <x:c r="B61" s="16" t="n">
        <x:v>45755</x:v>
      </x:c>
      <x:c r="C61" t="str">
        <x:v>Client 08</x:v>
      </x:c>
      <x:c r="D61" t="str">
        <x:v>Express</x:v>
      </x:c>
      <x:c r="E61" t="str">
        <x:v>Pôle E</x:v>
      </x:c>
      <x:c r="F61" s="18" t="n">
        <x:v>537.82</x:v>
      </x:c>
      <x:c r="G61" s="18" t="n">
        <x:v>537.82</x:v>
      </x:c>
      <x:c r="H61" t="str">
        <x:v>Client 08</x:v>
      </x:c>
      <x:c r="I61" s="16" t="n">
        <x:v>45838</x:v>
      </x:c>
    </x:row>
    <x:row r="62">
      <x:c r="A62" t="str">
        <x:v>DV-2025-00061</x:v>
      </x:c>
      <x:c r="B62" s="16" t="n">
        <x:v>45840</x:v>
      </x:c>
      <x:c r="C62" t="str">
        <x:v>Client 05</x:v>
      </x:c>
      <x:c r="D62" t="str">
        <x:v>Douane</x:v>
      </x:c>
      <x:c r="E62" t="str">
        <x:v>Pôle E</x:v>
      </x:c>
      <x:c r="F62" s="18" t="n">
        <x:v>20486.97</x:v>
      </x:c>
      <x:c r="G62" s="18" t="n">
        <x:v>20486.97</x:v>
      </x:c>
      <x:c r="H62" t="str">
        <x:v>Client 05</x:v>
      </x:c>
      <x:c r="I62" s="16" t="n">
        <x:v>45864</x:v>
      </x:c>
    </x:row>
    <x:row r="63">
      <x:c r="A63" t="str">
        <x:v>DV-2026-00062</x:v>
      </x:c>
      <x:c r="B63" s="16" t="n">
        <x:v>46101</x:v>
      </x:c>
      <x:c r="C63" t="str">
        <x:v>Client 26</x:v>
      </x:c>
      <x:c r="D63" t="str">
        <x:v>Logistique</x:v>
      </x:c>
      <x:c r="E63" t="str">
        <x:v>Pôle E</x:v>
      </x:c>
      <x:c r="F63" s="18" t="n">
        <x:v>23830.9</x:v>
      </x:c>
      <x:c r="G63" s="18" t="n">
        <x:v>23830.9</x:v>
      </x:c>
      <x:c r="H63" t="str">
        <x:v>Client 26</x:v>
      </x:c>
      <x:c r="I63" s="16" t="n">
        <x:v>46148</x:v>
      </x:c>
    </x:row>
    <x:row r="64">
      <x:c r="A64" t="str">
        <x:v>DV-2024-00063</x:v>
      </x:c>
      <x:c r="B64" s="16" t="n">
        <x:v>45451</x:v>
      </x:c>
      <x:c r="C64" t="str">
        <x:v>Client 28</x:v>
      </x:c>
      <x:c r="D64" t="str">
        <x:v>Douane</x:v>
      </x:c>
      <x:c r="E64" t="str">
        <x:v>Pôle D</x:v>
      </x:c>
      <x:c r="F64" s="18" t="n">
        <x:v>22214.01</x:v>
      </x:c>
      <x:c r="G64" s="18" t="n">
        <x:v>22214.01</x:v>
      </x:c>
      <x:c r="H64" t="str">
        <x:v>Client 10</x:v>
      </x:c>
      <x:c r="I64" s="16" t="n">
        <x:v>45462</x:v>
      </x:c>
    </x:row>
    <x:row r="65">
      <x:c r="A65" t="str">
        <x:v>DV-2024-00064</x:v>
      </x:c>
      <x:c r="B65" s="16" t="n">
        <x:v>45525</x:v>
      </x:c>
      <x:c r="C65" t="str">
        <x:v>Client 04</x:v>
      </x:c>
      <x:c r="D65" t="str">
        <x:v>Fret aérien</x:v>
      </x:c>
      <x:c r="E65" t="str">
        <x:v>Pôle C</x:v>
      </x:c>
      <x:c r="F65" s="18" t="n">
        <x:v>10436.68</x:v>
      </x:c>
      <x:c r="G65" s="18" t="n">
        <x:v>10436.68</x:v>
      </x:c>
      <x:c r="H65" t="str">
        <x:v>Client 04</x:v>
      </x:c>
      <x:c r="I65" s="16" t="n">
        <x:v>45591</x:v>
      </x:c>
    </x:row>
    <x:row r="66">
      <x:c r="A66" t="str">
        <x:v>DV-2024-00065</x:v>
      </x:c>
      <x:c r="B66" s="16" t="n">
        <x:v>45638</x:v>
      </x:c>
      <x:c r="C66" t="str">
        <x:v>Client 49</x:v>
      </x:c>
      <x:c r="D66" t="str">
        <x:v>Fret aérien</x:v>
      </x:c>
      <x:c r="E66" t="str">
        <x:v>Pôle A</x:v>
      </x:c>
      <x:c r="F66" s="18" t="n">
        <x:v>6873.66</x:v>
      </x:c>
      <x:c r="G66" s="18" t="n">
        <x:v>6873.66</x:v>
      </x:c>
      <x:c r="H66" t="str">
        <x:v>Client 49</x:v>
      </x:c>
      <x:c r="I66" s="16" t="n">
        <x:v>45703</x:v>
      </x:c>
    </x:row>
    <x:row r="67">
      <x:c r="A67" t="str">
        <x:v>DV-2025-00066</x:v>
      </x:c>
      <x:c r="B67" s="16" t="n">
        <x:v>45925</x:v>
      </x:c>
      <x:c r="C67" t="str">
        <x:v>Client 44</x:v>
      </x:c>
      <x:c r="D67" t="str">
        <x:v>Express</x:v>
      </x:c>
      <x:c r="E67" t="str">
        <x:v>Pôle A</x:v>
      </x:c>
      <x:c r="F67" s="18" t="n">
        <x:v>22103.98</x:v>
      </x:c>
      <x:c r="G67" s="18" t="n">
        <x:v>22103.98</x:v>
      </x:c>
      <x:c r="H67" t="str">
        <x:v>Client 44</x:v>
      </x:c>
      <x:c r="I67" s="16" t="n">
        <x:v>45934</x:v>
      </x:c>
    </x:row>
    <x:row r="68">
      <x:c r="A68" t="str">
        <x:v>DV-2026-00067</x:v>
      </x:c>
      <x:c r="B68" s="16" t="n">
        <x:v>46094</x:v>
      </x:c>
      <x:c r="C68" t="str">
        <x:v>Client 15</x:v>
      </x:c>
      <x:c r="D68" t="str">
        <x:v>Douane</x:v>
      </x:c>
      <x:c r="E68" t="str">
        <x:v>Pôle B</x:v>
      </x:c>
      <x:c r="F68" s="18" t="n">
        <x:v>23653.55</x:v>
      </x:c>
      <x:c r="G68" s="18" t="n">
        <x:v>20557.98</x:v>
      </x:c>
      <x:c r="H68" t="str">
        <x:v>Client 15</x:v>
      </x:c>
      <x:c r="I68" s="16" t="n">
        <x:v>46117</x:v>
      </x:c>
    </x:row>
    <x:row r="69">
      <x:c r="A69" t="str">
        <x:v>DV-2025-00068</x:v>
      </x:c>
      <x:c r="B69" s="16" t="n">
        <x:v>45957</x:v>
      </x:c>
      <x:c r="C69" t="str">
        <x:v>Client 10</x:v>
      </x:c>
      <x:c r="D69" t="str">
        <x:v>Douane</x:v>
      </x:c>
      <x:c r="E69" t="str">
        <x:v>Pôle B</x:v>
      </x:c>
      <x:c r="F69" s="18" t="n">
        <x:v>2186.97</x:v>
      </x:c>
      <x:c r="G69" s="18" t="n">
        <x:v>2186.97</x:v>
      </x:c>
      <x:c r="H69" t="str">
        <x:v>Client 13</x:v>
      </x:c>
      <x:c r="I69" s="16" t="n">
        <x:v>45980</x:v>
      </x:c>
    </x:row>
    <x:row r="70">
      <x:c r="A70" t="str">
        <x:v>DV-2026-00069</x:v>
      </x:c>
      <x:c r="B70" s="16" t="n">
        <x:v>46240</x:v>
      </x:c>
      <x:c r="C70" t="str">
        <x:v>Client 12</x:v>
      </x:c>
      <x:c r="D70" t="str">
        <x:v>Logistique</x:v>
      </x:c>
      <x:c r="E70" t="str">
        <x:v>Pôle D</x:v>
      </x:c>
      <x:c r="F70" s="18" t="n">
        <x:v>1241.96</x:v>
      </x:c>
      <x:c r="G70" s="18" t="n">
        <x:v>0</x:v>
      </x:c>
      <x:c r="H70" t="str">
        <x:v>Client 12</x:v>
      </x:c>
      <x:c r="I70" s="16"/>
    </x:row>
    <x:row r="71">
      <x:c r="A71" t="str">
        <x:v>DV-2024-00070</x:v>
      </x:c>
      <x:c r="B71" s="16" t="n">
        <x:v>45368</x:v>
      </x:c>
      <x:c r="C71" t="str">
        <x:v>Client 49</x:v>
      </x:c>
      <x:c r="D71" t="str">
        <x:v>Fret maritime</x:v>
      </x:c>
      <x:c r="E71" t="str">
        <x:v>Pôle D</x:v>
      </x:c>
      <x:c r="F71" s="18" t="n">
        <x:v>23236.43</x:v>
      </x:c>
      <x:c r="G71" s="18" t="n">
        <x:v>23236.43</x:v>
      </x:c>
      <x:c r="H71" t="str">
        <x:v>Client 49</x:v>
      </x:c>
      <x:c r="I71" s="16" t="n">
        <x:v>45396</x:v>
      </x:c>
    </x:row>
    <x:row r="72">
      <x:c r="A72" t="str">
        <x:v>DV-2024-00071</x:v>
      </x:c>
      <x:c r="B72" s="16" t="n">
        <x:v>45348</x:v>
      </x:c>
      <x:c r="C72" t="str">
        <x:v>Client 42</x:v>
      </x:c>
      <x:c r="D72" t="str">
        <x:v>Logistique</x:v>
      </x:c>
      <x:c r="E72" t="str">
        <x:v>Pôle B</x:v>
      </x:c>
      <x:c r="F72" s="18" t="n">
        <x:v>11691.17</x:v>
      </x:c>
      <x:c r="G72" s="18" t="n">
        <x:v>11691.17</x:v>
      </x:c>
      <x:c r="H72" t="str">
        <x:v>Client 04</x:v>
      </x:c>
      <x:c r="I72" s="16" t="n">
        <x:v>45394</x:v>
      </x:c>
    </x:row>
    <x:row r="73">
      <x:c r="A73" t="str">
        <x:v>DV-2026-00072</x:v>
      </x:c>
      <x:c r="B73" s="16" t="n">
        <x:v>46117</x:v>
      </x:c>
      <x:c r="C73" t="str">
        <x:v>Client 14</x:v>
      </x:c>
      <x:c r="D73" t="str">
        <x:v>Douane</x:v>
      </x:c>
      <x:c r="E73" t="str">
        <x:v>Pôle D</x:v>
      </x:c>
      <x:c r="F73" s="18" t="n">
        <x:v>2138.26</x:v>
      </x:c>
      <x:c r="G73" s="18" t="n">
        <x:v>1120.33</x:v>
      </x:c>
      <x:c r="H73" t="str">
        <x:v>Client 14</x:v>
      </x:c>
      <x:c r="I73" s="16" t="n">
        <x:v>46133</x:v>
      </x:c>
    </x:row>
    <x:row r="74">
      <x:c r="A74" t="str">
        <x:v>DV-2026-00073</x:v>
      </x:c>
      <x:c r="B74" s="16" t="n">
        <x:v>46131</x:v>
      </x:c>
      <x:c r="C74" t="str">
        <x:v>Client 07</x:v>
      </x:c>
      <x:c r="D74" t="str">
        <x:v>Fret aérien</x:v>
      </x:c>
      <x:c r="E74" t="str">
        <x:v>Pôle E</x:v>
      </x:c>
      <x:c r="F74" s="18" t="n">
        <x:v>11802.52</x:v>
      </x:c>
      <x:c r="G74" s="18" t="n">
        <x:v>11802.52</x:v>
      </x:c>
      <x:c r="H74" t="str">
        <x:v>Client 07</x:v>
      </x:c>
      <x:c r="I74" s="16" t="n">
        <x:v>46142</x:v>
      </x:c>
    </x:row>
    <x:row r="75">
      <x:c r="A75" t="str">
        <x:v>DV-2025-00074</x:v>
      </x:c>
      <x:c r="B75" s="16" t="n">
        <x:v>45691</x:v>
      </x:c>
      <x:c r="C75" t="str">
        <x:v>Client 43</x:v>
      </x:c>
      <x:c r="D75" t="str">
        <x:v>Express</x:v>
      </x:c>
      <x:c r="E75" t="str">
        <x:v>Pôle B</x:v>
      </x:c>
      <x:c r="F75" s="18" t="n">
        <x:v>18976.57</x:v>
      </x:c>
      <x:c r="G75" s="18" t="n">
        <x:v>18976.57</x:v>
      </x:c>
      <x:c r="H75" t="str">
        <x:v>Client 43</x:v>
      </x:c>
      <x:c r="I75" s="16" t="n">
        <x:v>45764</x:v>
      </x:c>
    </x:row>
    <x:row r="76">
      <x:c r="A76" t="str">
        <x:v>DV-2024-00075</x:v>
      </x:c>
      <x:c r="B76" s="16" t="n">
        <x:v>45569</x:v>
      </x:c>
      <x:c r="C76" t="str">
        <x:v>Client 19</x:v>
      </x:c>
      <x:c r="D76" t="str">
        <x:v>Fret aérien</x:v>
      </x:c>
      <x:c r="E76" t="str">
        <x:v>Pôle E</x:v>
      </x:c>
      <x:c r="F76" s="18" t="n">
        <x:v>2582.24</x:v>
      </x:c>
      <x:c r="G76" s="18" t="n">
        <x:v>0</x:v>
      </x:c>
      <x:c r="H76" t="str">
        <x:v>Client 19</x:v>
      </x:c>
      <x:c r="I76" s="16"/>
    </x:row>
    <x:row r="77">
      <x:c r="A77" t="str">
        <x:v>DV-2025-00076</x:v>
      </x:c>
      <x:c r="B77" s="16" t="n">
        <x:v>45827</x:v>
      </x:c>
      <x:c r="C77" t="str">
        <x:v>Client 41</x:v>
      </x:c>
      <x:c r="D77" t="str">
        <x:v>Douane</x:v>
      </x:c>
      <x:c r="E77" t="str">
        <x:v>Pôle E</x:v>
      </x:c>
      <x:c r="F77" s="18" t="n">
        <x:v>14136.02</x:v>
      </x:c>
      <x:c r="G77" s="18" t="n">
        <x:v>14136.02</x:v>
      </x:c>
      <x:c r="H77" t="str">
        <x:v>Client 47</x:v>
      </x:c>
      <x:c r="I77" s="16" t="n">
        <x:v>45844</x:v>
      </x:c>
    </x:row>
    <x:row r="78">
      <x:c r="A78" t="str">
        <x:v>DV-2025-00077</x:v>
      </x:c>
      <x:c r="B78" s="16" t="n">
        <x:v>46006</x:v>
      </x:c>
      <x:c r="C78" t="str">
        <x:v>Client 40</x:v>
      </x:c>
      <x:c r="D78" t="str">
        <x:v>Fret maritime</x:v>
      </x:c>
      <x:c r="E78" t="str">
        <x:v>Pôle E</x:v>
      </x:c>
      <x:c r="F78" s="18" t="n">
        <x:v>11882.26</x:v>
      </x:c>
      <x:c r="G78" s="18" t="n">
        <x:v>11882.26</x:v>
      </x:c>
      <x:c r="H78" t="str">
        <x:v>Client 40</x:v>
      </x:c>
      <x:c r="I78" s="16" t="n">
        <x:v>46016</x:v>
      </x:c>
    </x:row>
    <x:row r="79">
      <x:c r="A79" t="str">
        <x:v>DV-2026-00078</x:v>
      </x:c>
      <x:c r="B79" s="16" t="n">
        <x:v>46024</x:v>
      </x:c>
      <x:c r="C79" t="str">
        <x:v>Client 18</x:v>
      </x:c>
      <x:c r="D79" t="str">
        <x:v>Douane</x:v>
      </x:c>
      <x:c r="E79" t="str">
        <x:v>Pôle E</x:v>
      </x:c>
      <x:c r="F79" s="18" t="n">
        <x:v>15473.01</x:v>
      </x:c>
      <x:c r="G79" s="18" t="n">
        <x:v>15473.01</x:v>
      </x:c>
      <x:c r="H79" t="str">
        <x:v>Client 18</x:v>
      </x:c>
      <x:c r="I79" s="16" t="n">
        <x:v>46085</x:v>
      </x:c>
    </x:row>
    <x:row r="80">
      <x:c r="A80" t="str">
        <x:v>DV-2024-00079</x:v>
      </x:c>
      <x:c r="B80" s="16" t="n">
        <x:v>45480</x:v>
      </x:c>
      <x:c r="C80" t="str">
        <x:v>Client 13</x:v>
      </x:c>
      <x:c r="D80" t="str">
        <x:v>Fret maritime</x:v>
      </x:c>
      <x:c r="E80" t="str">
        <x:v>Pôle C</x:v>
      </x:c>
      <x:c r="F80" s="18" t="n">
        <x:v>1756.02</x:v>
      </x:c>
      <x:c r="G80" s="18" t="n">
        <x:v>1756.02</x:v>
      </x:c>
      <x:c r="H80" t="str">
        <x:v>Client 13</x:v>
      </x:c>
      <x:c r="I80" s="16" t="n">
        <x:v>45566</x:v>
      </x:c>
    </x:row>
    <x:row r="81">
      <x:c r="A81" t="str">
        <x:v>DV-2026-00080</x:v>
      </x:c>
      <x:c r="B81" s="16" t="n">
        <x:v>46044</x:v>
      </x:c>
      <x:c r="C81" t="str">
        <x:v>Client 06</x:v>
      </x:c>
      <x:c r="D81" t="str">
        <x:v>Logistique</x:v>
      </x:c>
      <x:c r="E81" t="str">
        <x:v>Pôle E</x:v>
      </x:c>
      <x:c r="F81" s="18" t="n">
        <x:v>22065.03</x:v>
      </x:c>
      <x:c r="G81" s="18" t="n">
        <x:v>22065.03</x:v>
      </x:c>
      <x:c r="H81" t="str">
        <x:v>Client 02</x:v>
      </x:c>
      <x:c r="I81" s="16" t="n">
        <x:v>46095</x:v>
      </x:c>
    </x:row>
    <x:row r="82">
      <x:c r="A82" t="str">
        <x:v>DV-2024-00081</x:v>
      </x:c>
      <x:c r="B82" s="16" t="n">
        <x:v>45574</x:v>
      </x:c>
      <x:c r="C82" t="str">
        <x:v>Client 04</x:v>
      </x:c>
      <x:c r="D82" t="str">
        <x:v>Express</x:v>
      </x:c>
      <x:c r="E82" t="str">
        <x:v>Pôle C</x:v>
      </x:c>
      <x:c r="F82" s="18" t="n">
        <x:v>9294.87</x:v>
      </x:c>
      <x:c r="G82" s="18" t="n">
        <x:v>2125.54</x:v>
      </x:c>
      <x:c r="H82" t="str">
        <x:v>Client 04</x:v>
      </x:c>
      <x:c r="I82" s="16" t="n">
        <x:v>45639</x:v>
      </x:c>
    </x:row>
    <x:row r="83">
      <x:c r="A83" t="str">
        <x:v>DV-2026-00082</x:v>
      </x:c>
      <x:c r="B83" s="16" t="n">
        <x:v>46184</x:v>
      </x:c>
      <x:c r="C83" t="str">
        <x:v>Client 39</x:v>
      </x:c>
      <x:c r="D83" t="str">
        <x:v>Fret aérien</x:v>
      </x:c>
      <x:c r="E83" t="str">
        <x:v>Pôle E</x:v>
      </x:c>
      <x:c r="F83" s="18" t="n">
        <x:v>5836.37</x:v>
      </x:c>
      <x:c r="G83" s="18" t="n">
        <x:v>5836.37</x:v>
      </x:c>
      <x:c r="H83" t="str">
        <x:v>Client 39</x:v>
      </x:c>
      <x:c r="I83" s="16" t="n">
        <x:v>46201</x:v>
      </x:c>
    </x:row>
    <x:row r="84">
      <x:c r="A84" t="str">
        <x:v>DV-2026-00083</x:v>
      </x:c>
      <x:c r="B84" s="16" t="n">
        <x:v>46282</x:v>
      </x:c>
      <x:c r="C84" t="str">
        <x:v>Client 02</x:v>
      </x:c>
      <x:c r="D84" t="str">
        <x:v>Express</x:v>
      </x:c>
      <x:c r="E84" t="str">
        <x:v>Pôle E</x:v>
      </x:c>
      <x:c r="F84" s="18" t="n">
        <x:v>8736.22</x:v>
      </x:c>
      <x:c r="G84" s="18" t="n">
        <x:v>8736.22</x:v>
      </x:c>
      <x:c r="H84" t="str">
        <x:v>Client 02</x:v>
      </x:c>
      <x:c r="I84" s="16" t="n">
        <x:v>46286</x:v>
      </x:c>
    </x:row>
    <x:row r="85">
      <x:c r="A85" t="str">
        <x:v>DV-2026-00084</x:v>
      </x:c>
      <x:c r="B85" s="16" t="n">
        <x:v>46192</x:v>
      </x:c>
      <x:c r="C85" t="str">
        <x:v>Client 37</x:v>
      </x:c>
      <x:c r="D85" t="str">
        <x:v>Logistique</x:v>
      </x:c>
      <x:c r="E85" t="str">
        <x:v>Pôle C</x:v>
      </x:c>
      <x:c r="F85" s="18" t="n">
        <x:v>22570.93</x:v>
      </x:c>
      <x:c r="G85" s="18" t="n">
        <x:v>22570.93</x:v>
      </x:c>
      <x:c r="H85" t="str">
        <x:v>Client 37</x:v>
      </x:c>
      <x:c r="I85" s="16" t="n">
        <x:v>46198</x:v>
      </x:c>
    </x:row>
    <x:row r="86">
      <x:c r="A86" t="str">
        <x:v>DV-2026-00085</x:v>
      </x:c>
      <x:c r="B86" s="16" t="n">
        <x:v>46267</x:v>
      </x:c>
      <x:c r="C86" t="str">
        <x:v>Client 46</x:v>
      </x:c>
      <x:c r="D86" t="str">
        <x:v>Logistique</x:v>
      </x:c>
      <x:c r="E86" t="str">
        <x:v>Pôle D</x:v>
      </x:c>
      <x:c r="F86" s="18" t="n">
        <x:v>24224.54</x:v>
      </x:c>
      <x:c r="G86" s="18" t="n">
        <x:v>14089.04</x:v>
      </x:c>
      <x:c r="H86" t="str">
        <x:v>Client 46</x:v>
      </x:c>
      <x:c r="I86" s="16" t="n">
        <x:v>46361</x:v>
      </x:c>
    </x:row>
    <x:row r="87">
      <x:c r="A87" t="str">
        <x:v>DV-2025-00086</x:v>
      </x:c>
      <x:c r="B87" s="16" t="n">
        <x:v>45871</x:v>
      </x:c>
      <x:c r="C87" t="str">
        <x:v>Client 08</x:v>
      </x:c>
      <x:c r="D87" t="str">
        <x:v>Fret aérien</x:v>
      </x:c>
      <x:c r="E87" t="str">
        <x:v>Pôle B</x:v>
      </x:c>
      <x:c r="F87" s="18" t="n">
        <x:v>16498.42</x:v>
      </x:c>
      <x:c r="G87" s="18" t="n">
        <x:v>16498.42</x:v>
      </x:c>
      <x:c r="H87" t="str">
        <x:v>Client 08</x:v>
      </x:c>
      <x:c r="I87" s="16" t="n">
        <x:v>45900</x:v>
      </x:c>
    </x:row>
    <x:row r="88">
      <x:c r="A88" t="str">
        <x:v>DV-2026-00087</x:v>
      </x:c>
      <x:c r="B88" s="16" t="n">
        <x:v>46047</x:v>
      </x:c>
      <x:c r="C88" t="str">
        <x:v>Client 44</x:v>
      </x:c>
      <x:c r="D88" t="str">
        <x:v>Douane</x:v>
      </x:c>
      <x:c r="E88" t="str">
        <x:v>Pôle E</x:v>
      </x:c>
      <x:c r="F88" s="18" t="n">
        <x:v>11808.37</x:v>
      </x:c>
      <x:c r="G88" s="18" t="n">
        <x:v>8632.43</x:v>
      </x:c>
      <x:c r="H88" t="str">
        <x:v>Client 44</x:v>
      </x:c>
      <x:c r="I88" s="16" t="n">
        <x:v>46071</x:v>
      </x:c>
    </x:row>
    <x:row r="89">
      <x:c r="A89" t="str">
        <x:v>DV-2024-00088</x:v>
      </x:c>
      <x:c r="B89" s="16" t="n">
        <x:v>45342</x:v>
      </x:c>
      <x:c r="C89" t="str">
        <x:v>Client 35</x:v>
      </x:c>
      <x:c r="D89" t="str">
        <x:v>Douane</x:v>
      </x:c>
      <x:c r="E89" t="str">
        <x:v>Pôle E</x:v>
      </x:c>
      <x:c r="F89" s="18" t="n">
        <x:v>22260.59</x:v>
      </x:c>
      <x:c r="G89" s="18" t="n">
        <x:v>22260.59</x:v>
      </x:c>
      <x:c r="H89" t="str">
        <x:v>Client 35</x:v>
      </x:c>
      <x:c r="I89" s="16" t="n">
        <x:v>45428</x:v>
      </x:c>
    </x:row>
    <x:row r="90">
      <x:c r="A90" t="str">
        <x:v>DV-2024-00089</x:v>
      </x:c>
      <x:c r="B90" s="16" t="n">
        <x:v>45449</x:v>
      </x:c>
      <x:c r="C90" t="str">
        <x:v>Client 37</x:v>
      </x:c>
      <x:c r="D90" t="str">
        <x:v>Fret maritime</x:v>
      </x:c>
      <x:c r="E90" t="str">
        <x:v>Pôle E</x:v>
      </x:c>
      <x:c r="F90" s="18" t="n">
        <x:v>5432.16</x:v>
      </x:c>
      <x:c r="G90" s="18" t="n">
        <x:v>929.1</x:v>
      </x:c>
      <x:c r="H90" t="str">
        <x:v>Client 13</x:v>
      </x:c>
      <x:c r="I90" s="16" t="n">
        <x:v>45460</x:v>
      </x:c>
    </x:row>
    <x:row r="91">
      <x:c r="A91" t="str">
        <x:v>DV-2026-00090</x:v>
      </x:c>
      <x:c r="B91" s="16" t="n">
        <x:v>46238</x:v>
      </x:c>
      <x:c r="C91" t="str">
        <x:v>Client 07</x:v>
      </x:c>
      <x:c r="D91" t="str">
        <x:v>Logistique</x:v>
      </x:c>
      <x:c r="E91" t="str">
        <x:v>Pôle C</x:v>
      </x:c>
      <x:c r="F91" s="18" t="n">
        <x:v>5193.34</x:v>
      </x:c>
      <x:c r="G91" s="18" t="n">
        <x:v>5193.34</x:v>
      </x:c>
      <x:c r="H91" t="str">
        <x:v>Client 07</x:v>
      </x:c>
      <x:c r="I91" s="16" t="n">
        <x:v>46286</x:v>
      </x:c>
    </x:row>
    <x:row r="92">
      <x:c r="A92" t="str">
        <x:v>DV-2024-00091</x:v>
      </x:c>
      <x:c r="B92" s="16" t="n">
        <x:v>45302</x:v>
      </x:c>
      <x:c r="C92" t="str">
        <x:v>Client 01</x:v>
      </x:c>
      <x:c r="D92" t="str">
        <x:v>Douane</x:v>
      </x:c>
      <x:c r="E92" t="str">
        <x:v>Pôle A</x:v>
      </x:c>
      <x:c r="F92" s="18" t="n">
        <x:v>23541.04</x:v>
      </x:c>
      <x:c r="G92" s="18" t="n">
        <x:v>0</x:v>
      </x:c>
      <x:c r="H92" t="str">
        <x:v>Client 01</x:v>
      </x:c>
      <x:c r="I92" s="16"/>
    </x:row>
    <x:row r="93">
      <x:c r="A93" t="str">
        <x:v>DV-2024-00092</x:v>
      </x:c>
      <x:c r="B93" s="16" t="n">
        <x:v>45646</x:v>
      </x:c>
      <x:c r="C93" t="str">
        <x:v>Client 34</x:v>
      </x:c>
      <x:c r="D93" t="str">
        <x:v>Fret aérien</x:v>
      </x:c>
      <x:c r="E93" t="str">
        <x:v>Pôle D</x:v>
      </x:c>
      <x:c r="F93" s="18" t="n">
        <x:v>16273.53</x:v>
      </x:c>
      <x:c r="G93" s="18" t="n">
        <x:v>10264.28</x:v>
      </x:c>
      <x:c r="H93" t="str">
        <x:v>Client 34</x:v>
      </x:c>
      <x:c r="I93" s="16" t="n">
        <x:v>45741</x:v>
      </x:c>
    </x:row>
    <x:row r="94">
      <x:c r="A94" t="str">
        <x:v>DV-2024-00093</x:v>
      </x:c>
      <x:c r="B94" s="16" t="n">
        <x:v>45472</x:v>
      </x:c>
      <x:c r="C94" t="str">
        <x:v>Client 19</x:v>
      </x:c>
      <x:c r="D94" t="str">
        <x:v>Fret aérien</x:v>
      </x:c>
      <x:c r="E94" t="str">
        <x:v>Pôle B</x:v>
      </x:c>
      <x:c r="F94" s="18" t="n">
        <x:v>15959.01</x:v>
      </x:c>
      <x:c r="G94" s="18" t="n">
        <x:v>15959.01</x:v>
      </x:c>
      <x:c r="H94" t="str">
        <x:v>Client 19</x:v>
      </x:c>
      <x:c r="I94" s="16" t="n">
        <x:v>45542</x:v>
      </x:c>
    </x:row>
    <x:row r="95">
      <x:c r="A95" t="str">
        <x:v>DV-2024-00094</x:v>
      </x:c>
      <x:c r="B95" s="16" t="n">
        <x:v>45653</x:v>
      </x:c>
      <x:c r="C95" t="str">
        <x:v>Client 16</x:v>
      </x:c>
      <x:c r="D95" t="str">
        <x:v>Douane</x:v>
      </x:c>
      <x:c r="E95" t="str">
        <x:v>Pôle E</x:v>
      </x:c>
      <x:c r="F95" s="18" t="n">
        <x:v>1176.13</x:v>
      </x:c>
      <x:c r="G95" s="18" t="n">
        <x:v>1176.13</x:v>
      </x:c>
      <x:c r="H95" t="str">
        <x:v>Client 16</x:v>
      </x:c>
      <x:c r="I95" s="16" t="n">
        <x:v>45739</x:v>
      </x:c>
    </x:row>
    <x:row r="96">
      <x:c r="A96" t="str">
        <x:v>DV-2026-00095</x:v>
      </x:c>
      <x:c r="B96" s="16" t="n">
        <x:v>46150</x:v>
      </x:c>
      <x:c r="C96" t="str">
        <x:v>Client 13</x:v>
      </x:c>
      <x:c r="D96" t="str">
        <x:v>Fret aérien</x:v>
      </x:c>
      <x:c r="E96" t="str">
        <x:v>Pôle A</x:v>
      </x:c>
      <x:c r="F96" s="18" t="n">
        <x:v>7627.8</x:v>
      </x:c>
      <x:c r="G96" s="18" t="n">
        <x:v>7627.8</x:v>
      </x:c>
      <x:c r="H96" t="str">
        <x:v>Client 13</x:v>
      </x:c>
      <x:c r="I96" s="16" t="n">
        <x:v>46233</x:v>
      </x:c>
    </x:row>
    <x:row r="97">
      <x:c r="A97" t="str">
        <x:v>DV-2025-00096</x:v>
      </x:c>
      <x:c r="B97" s="16" t="n">
        <x:v>46016</x:v>
      </x:c>
      <x:c r="C97" t="str">
        <x:v>Client 50</x:v>
      </x:c>
      <x:c r="D97" t="str">
        <x:v>Logistique</x:v>
      </x:c>
      <x:c r="E97" t="str">
        <x:v>Pôle C</x:v>
      </x:c>
      <x:c r="F97" s="18" t="n">
        <x:v>9498.92</x:v>
      </x:c>
      <x:c r="G97" s="18" t="n">
        <x:v>9498.92</x:v>
      </x:c>
      <x:c r="H97" t="str">
        <x:v>Client 50</x:v>
      </x:c>
      <x:c r="I97" s="16" t="n">
        <x:v>46082</x:v>
      </x:c>
    </x:row>
    <x:row r="98">
      <x:c r="A98" t="str">
        <x:v>DV-2026-00097</x:v>
      </x:c>
      <x:c r="B98" s="16" t="n">
        <x:v>46144</x:v>
      </x:c>
      <x:c r="C98" t="str">
        <x:v>Client 05</x:v>
      </x:c>
      <x:c r="D98" t="str">
        <x:v>Logistique</x:v>
      </x:c>
      <x:c r="E98" t="str">
        <x:v>Pôle E</x:v>
      </x:c>
      <x:c r="F98" s="18" t="n">
        <x:v>24939.54</x:v>
      </x:c>
      <x:c r="G98" s="18" t="n">
        <x:v>18902.63</x:v>
      </x:c>
      <x:c r="H98" t="str">
        <x:v>Client 05</x:v>
      </x:c>
      <x:c r="I98" s="16" t="n">
        <x:v>46196</x:v>
      </x:c>
    </x:row>
    <x:row r="99">
      <x:c r="A99" t="str">
        <x:v>DV-2026-00098</x:v>
      </x:c>
      <x:c r="B99" s="16" t="n">
        <x:v>46101</x:v>
      </x:c>
      <x:c r="C99" t="str">
        <x:v>Client 08</x:v>
      </x:c>
      <x:c r="D99" t="str">
        <x:v>Fret aérien</x:v>
      </x:c>
      <x:c r="E99" t="str">
        <x:v>Pôle D</x:v>
      </x:c>
      <x:c r="F99" s="18" t="n">
        <x:v>14392.62</x:v>
      </x:c>
      <x:c r="G99" s="18" t="n">
        <x:v>12160.87</x:v>
      </x:c>
      <x:c r="H99" t="str">
        <x:v>Client 08</x:v>
      </x:c>
      <x:c r="I99" s="16" t="n">
        <x:v>46136</x:v>
      </x:c>
    </x:row>
    <x:row r="100">
      <x:c r="A100" t="str">
        <x:v>DV-2026-00099</x:v>
      </x:c>
      <x:c r="B100" s="16" t="n">
        <x:v>46132</x:v>
      </x:c>
      <x:c r="C100" t="str">
        <x:v>Client 39</x:v>
      </x:c>
      <x:c r="D100" t="str">
        <x:v>Express</x:v>
      </x:c>
      <x:c r="E100" t="str">
        <x:v>Pôle B</x:v>
      </x:c>
      <x:c r="F100" s="18" t="n">
        <x:v>17414.07</x:v>
      </x:c>
      <x:c r="G100" s="18" t="n">
        <x:v>17414.07</x:v>
      </x:c>
      <x:c r="H100" t="str">
        <x:v>Client 39</x:v>
      </x:c>
      <x:c r="I100" s="16" t="n">
        <x:v>46211</x:v>
      </x:c>
    </x:row>
    <x:row r="101">
      <x:c r="A101" t="str">
        <x:v>DV-2025-00100</x:v>
      </x:c>
      <x:c r="B101" s="16" t="n">
        <x:v>45834</x:v>
      </x:c>
      <x:c r="C101" t="str">
        <x:v>Client 49</x:v>
      </x:c>
      <x:c r="D101" t="str">
        <x:v>Fret aérien</x:v>
      </x:c>
      <x:c r="E101" t="str">
        <x:v>Pôle D</x:v>
      </x:c>
      <x:c r="F101" s="18" t="n">
        <x:v>14149.41</x:v>
      </x:c>
      <x:c r="G101" s="18" t="n">
        <x:v>14149.41</x:v>
      </x:c>
      <x:c r="H101" t="str">
        <x:v>Client 49</x:v>
      </x:c>
      <x:c r="I101" s="16" t="n">
        <x:v>45917</x:v>
      </x:c>
    </x:row>
    <x:row r="102">
      <x:c r="A102" t="str">
        <x:v>DV-2026-00101</x:v>
      </x:c>
      <x:c r="B102" s="16" t="n">
        <x:v>46196</x:v>
      </x:c>
      <x:c r="C102" t="str">
        <x:v>Client 30</x:v>
      </x:c>
      <x:c r="D102" t="str">
        <x:v>Express</x:v>
      </x:c>
      <x:c r="E102" t="str">
        <x:v>Pôle D</x:v>
      </x:c>
      <x:c r="F102" s="18" t="n">
        <x:v>10401.01</x:v>
      </x:c>
      <x:c r="G102" s="18" t="n">
        <x:v>10401.01</x:v>
      </x:c>
      <x:c r="H102" t="str">
        <x:v>Client 50</x:v>
      </x:c>
      <x:c r="I102" s="16" t="n">
        <x:v>46224</x:v>
      </x:c>
    </x:row>
    <x:row r="103">
      <x:c r="A103" t="str">
        <x:v>DV-2024-00102</x:v>
      </x:c>
      <x:c r="B103" s="16" t="n">
        <x:v>45640</x:v>
      </x:c>
      <x:c r="C103" t="str">
        <x:v>Client 19</x:v>
      </x:c>
      <x:c r="D103" t="str">
        <x:v>Express</x:v>
      </x:c>
      <x:c r="E103" t="str">
        <x:v>Pôle E</x:v>
      </x:c>
      <x:c r="F103" s="18" t="n">
        <x:v>5302.96</x:v>
      </x:c>
      <x:c r="G103" s="18" t="n">
        <x:v>5302.96</x:v>
      </x:c>
      <x:c r="H103" t="str">
        <x:v>Client 32</x:v>
      </x:c>
      <x:c r="I103" s="16" t="n">
        <x:v>45656</x:v>
      </x:c>
    </x:row>
    <x:row r="104">
      <x:c r="A104" t="str">
        <x:v>DV-2025-00103</x:v>
      </x:c>
      <x:c r="B104" s="16" t="n">
        <x:v>45811</x:v>
      </x:c>
      <x:c r="C104" t="str">
        <x:v>Client 49</x:v>
      </x:c>
      <x:c r="D104" t="str">
        <x:v>Fret maritime</x:v>
      </x:c>
      <x:c r="E104" t="str">
        <x:v>Pôle A</x:v>
      </x:c>
      <x:c r="F104" s="18" t="n">
        <x:v>2578.3</x:v>
      </x:c>
      <x:c r="G104" s="18" t="n">
        <x:v>0</x:v>
      </x:c>
      <x:c r="H104" t="str">
        <x:v>Client 49</x:v>
      </x:c>
      <x:c r="I104" s="16"/>
    </x:row>
    <x:row r="105">
      <x:c r="A105" t="str">
        <x:v>DV-2024-00104</x:v>
      </x:c>
      <x:c r="B105" s="16" t="n">
        <x:v>45497</x:v>
      </x:c>
      <x:c r="C105" t="str">
        <x:v>Client 03</x:v>
      </x:c>
      <x:c r="D105" t="str">
        <x:v>Fret maritime</x:v>
      </x:c>
      <x:c r="E105" t="str">
        <x:v>Pôle A</x:v>
      </x:c>
      <x:c r="F105" s="18" t="n">
        <x:v>11843.69</x:v>
      </x:c>
      <x:c r="G105" s="18" t="n">
        <x:v>11843.69</x:v>
      </x:c>
      <x:c r="H105" t="str">
        <x:v>Client 03</x:v>
      </x:c>
      <x:c r="I105" s="16" t="n">
        <x:v>45568</x:v>
      </x:c>
    </x:row>
    <x:row r="106">
      <x:c r="A106" t="str">
        <x:v>DV-2024-00105</x:v>
      </x:c>
      <x:c r="B106" s="16" t="n">
        <x:v>45457</x:v>
      </x:c>
      <x:c r="C106" t="str">
        <x:v>Client 06</x:v>
      </x:c>
      <x:c r="D106" t="str">
        <x:v>Logistique</x:v>
      </x:c>
      <x:c r="E106" t="str">
        <x:v>Pôle C</x:v>
      </x:c>
      <x:c r="F106" s="18" t="n">
        <x:v>24281.08</x:v>
      </x:c>
      <x:c r="G106" s="18" t="n">
        <x:v>24281.08</x:v>
      </x:c>
      <x:c r="H106" t="str">
        <x:v>Client 06</x:v>
      </x:c>
      <x:c r="I106" s="16" t="n">
        <x:v>45491</x:v>
      </x:c>
    </x:row>
    <x:row r="107">
      <x:c r="A107" t="str">
        <x:v>DV-2026-00106</x:v>
      </x:c>
      <x:c r="B107" s="16" t="n">
        <x:v>46163</x:v>
      </x:c>
      <x:c r="C107" t="str">
        <x:v>Client 30</x:v>
      </x:c>
      <x:c r="D107" t="str">
        <x:v>Douane</x:v>
      </x:c>
      <x:c r="E107" t="str">
        <x:v>Pôle D</x:v>
      </x:c>
      <x:c r="F107" s="18" t="n">
        <x:v>9541.38</x:v>
      </x:c>
      <x:c r="G107" s="18" t="n">
        <x:v>9541.38</x:v>
      </x:c>
      <x:c r="H107" t="str">
        <x:v>Client 31</x:v>
      </x:c>
      <x:c r="I107" s="16" t="n">
        <x:v>46245</x:v>
      </x:c>
    </x:row>
    <x:row r="108">
      <x:c r="A108" t="str">
        <x:v>DV-2024-00107</x:v>
      </x:c>
      <x:c r="B108" s="16" t="n">
        <x:v>45559</x:v>
      </x:c>
      <x:c r="C108" t="str">
        <x:v>Client 47</x:v>
      </x:c>
      <x:c r="D108" t="str">
        <x:v>Express</x:v>
      </x:c>
      <x:c r="E108" t="str">
        <x:v>Pôle B</x:v>
      </x:c>
      <x:c r="F108" s="18" t="n">
        <x:v>12892.7</x:v>
      </x:c>
      <x:c r="G108" s="18" t="n">
        <x:v>12892.7</x:v>
      </x:c>
      <x:c r="H108" t="str">
        <x:v>Client 47</x:v>
      </x:c>
      <x:c r="I108" s="16" t="n">
        <x:v>45564</x:v>
      </x:c>
    </x:row>
    <x:row r="109">
      <x:c r="A109" t="str">
        <x:v>DV-2025-00108</x:v>
      </x:c>
      <x:c r="B109" s="16" t="n">
        <x:v>45998</x:v>
      </x:c>
      <x:c r="C109" t="str">
        <x:v>Client 43</x:v>
      </x:c>
      <x:c r="D109" t="str">
        <x:v>Douane</x:v>
      </x:c>
      <x:c r="E109" t="str">
        <x:v>Pôle C</x:v>
      </x:c>
      <x:c r="F109" s="18" t="n">
        <x:v>7917.51</x:v>
      </x:c>
      <x:c r="G109" s="18" t="n">
        <x:v>6381.26</x:v>
      </x:c>
      <x:c r="H109" t="str">
        <x:v>Client 43</x:v>
      </x:c>
      <x:c r="I109" s="16" t="n">
        <x:v>46015</x:v>
      </x:c>
    </x:row>
    <x:row r="110">
      <x:c r="A110" t="str">
        <x:v>DV-2025-00109</x:v>
      </x:c>
      <x:c r="B110" s="16" t="n">
        <x:v>45985</x:v>
      </x:c>
      <x:c r="C110" t="str">
        <x:v>Client 11</x:v>
      </x:c>
      <x:c r="D110" t="str">
        <x:v>Logistique</x:v>
      </x:c>
      <x:c r="E110" t="str">
        <x:v>Pôle D</x:v>
      </x:c>
      <x:c r="F110" s="18" t="n">
        <x:v>3056.72</x:v>
      </x:c>
      <x:c r="G110" s="18" t="n">
        <x:v>2246.2</x:v>
      </x:c>
      <x:c r="H110" t="str">
        <x:v>Client 11</x:v>
      </x:c>
      <x:c r="I110" s="16" t="n">
        <x:v>46042</x:v>
      </x:c>
    </x:row>
    <x:row r="111">
      <x:c r="A111" t="str">
        <x:v>DV-2024-00110</x:v>
      </x:c>
      <x:c r="B111" s="16" t="n">
        <x:v>45313</x:v>
      </x:c>
      <x:c r="C111" t="str">
        <x:v>Client 25</x:v>
      </x:c>
      <x:c r="D111" t="str">
        <x:v>Douane</x:v>
      </x:c>
      <x:c r="E111" t="str">
        <x:v>Pôle E</x:v>
      </x:c>
      <x:c r="F111" s="18" t="n">
        <x:v>5019.8</x:v>
      </x:c>
      <x:c r="G111" s="18" t="n">
        <x:v>5019.8</x:v>
      </x:c>
      <x:c r="H111" t="str">
        <x:v>Client 25</x:v>
      </x:c>
      <x:c r="I111" s="16" t="n">
        <x:v>45371</x:v>
      </x:c>
    </x:row>
    <x:row r="112">
      <x:c r="A112" t="str">
        <x:v>DV-2026-00111</x:v>
      </x:c>
      <x:c r="B112" s="16" t="n">
        <x:v>46230</x:v>
      </x:c>
      <x:c r="C112" t="str">
        <x:v>Client 10</x:v>
      </x:c>
      <x:c r="D112" t="str">
        <x:v>Logistique</x:v>
      </x:c>
      <x:c r="E112" t="str">
        <x:v>Pôle E</x:v>
      </x:c>
      <x:c r="F112" s="18" t="n">
        <x:v>10939.25</x:v>
      </x:c>
      <x:c r="G112" s="18" t="n">
        <x:v>10939.25</x:v>
      </x:c>
      <x:c r="H112" t="str">
        <x:v>Client 37</x:v>
      </x:c>
      <x:c r="I112" s="16" t="n">
        <x:v>46325</x:v>
      </x:c>
    </x:row>
    <x:row r="113">
      <x:c r="A113" t="str">
        <x:v>DV-2025-00112</x:v>
      </x:c>
      <x:c r="B113" s="16" t="n">
        <x:v>45726</x:v>
      </x:c>
      <x:c r="C113" t="str">
        <x:v>Client 14</x:v>
      </x:c>
      <x:c r="D113" t="str">
        <x:v>Fret aérien</x:v>
      </x:c>
      <x:c r="E113" t="str">
        <x:v>Pôle A</x:v>
      </x:c>
      <x:c r="F113" s="18" t="n">
        <x:v>5475.79</x:v>
      </x:c>
      <x:c r="G113" s="18" t="n">
        <x:v>5475.79</x:v>
      </x:c>
      <x:c r="H113" t="str">
        <x:v>Client 14</x:v>
      </x:c>
      <x:c r="I113" s="16" t="n">
        <x:v>45779</x:v>
      </x:c>
    </x:row>
    <x:row r="114">
      <x:c r="A114" t="str">
        <x:v>DV-2024-00113</x:v>
      </x:c>
      <x:c r="B114" s="16" t="n">
        <x:v>45501</x:v>
      </x:c>
      <x:c r="C114" t="str">
        <x:v>Client 10</x:v>
      </x:c>
      <x:c r="D114" t="str">
        <x:v>Logistique</x:v>
      </x:c>
      <x:c r="E114" t="str">
        <x:v>Pôle A</x:v>
      </x:c>
      <x:c r="F114" s="18" t="n">
        <x:v>8972.24</x:v>
      </x:c>
      <x:c r="G114" s="18" t="n">
        <x:v>8972.24</x:v>
      </x:c>
      <x:c r="H114" t="str">
        <x:v>Client 10</x:v>
      </x:c>
      <x:c r="I114" s="16" t="n">
        <x:v>45542</x:v>
      </x:c>
    </x:row>
    <x:row r="115">
      <x:c r="A115" t="str">
        <x:v>DV-2025-00114</x:v>
      </x:c>
      <x:c r="B115" s="16" t="n">
        <x:v>45893</x:v>
      </x:c>
      <x:c r="C115" t="str">
        <x:v>Client 37</x:v>
      </x:c>
      <x:c r="D115" t="str">
        <x:v>Fret maritime</x:v>
      </x:c>
      <x:c r="E115" t="str">
        <x:v>Pôle A</x:v>
      </x:c>
      <x:c r="F115" s="18" t="n">
        <x:v>9875.39</x:v>
      </x:c>
      <x:c r="G115" s="18" t="n">
        <x:v>9875.39</x:v>
      </x:c>
      <x:c r="H115" t="str">
        <x:v>Client 37</x:v>
      </x:c>
      <x:c r="I115" s="16" t="n">
        <x:v>45950</x:v>
      </x:c>
    </x:row>
    <x:row r="116">
      <x:c r="A116" t="str">
        <x:v>DV-2024-00115</x:v>
      </x:c>
      <x:c r="B116" s="16" t="n">
        <x:v>45535</x:v>
      </x:c>
      <x:c r="C116" t="str">
        <x:v>Client 29</x:v>
      </x:c>
      <x:c r="D116" t="str">
        <x:v>Logistique</x:v>
      </x:c>
      <x:c r="E116" t="str">
        <x:v>Pôle D</x:v>
      </x:c>
      <x:c r="F116" s="18" t="n">
        <x:v>7032.13</x:v>
      </x:c>
      <x:c r="G116" s="18" t="n">
        <x:v>2895.97</x:v>
      </x:c>
      <x:c r="H116" t="str">
        <x:v>Client 29</x:v>
      </x:c>
      <x:c r="I116" s="16" t="n">
        <x:v>45571</x:v>
      </x:c>
    </x:row>
    <x:row r="117">
      <x:c r="A117" t="str">
        <x:v>DV-2025-00116</x:v>
      </x:c>
      <x:c r="B117" s="16" t="n">
        <x:v>45847</x:v>
      </x:c>
      <x:c r="C117" t="str">
        <x:v>Client 14</x:v>
      </x:c>
      <x:c r="D117" t="str">
        <x:v>Fret aérien</x:v>
      </x:c>
      <x:c r="E117" t="str">
        <x:v>Pôle A</x:v>
      </x:c>
      <x:c r="F117" s="18" t="n">
        <x:v>10423.9</x:v>
      </x:c>
      <x:c r="G117" s="18" t="n">
        <x:v>10423.9</x:v>
      </x:c>
      <x:c r="H117" t="str">
        <x:v>Client 14</x:v>
      </x:c>
      <x:c r="I117" s="16" t="n">
        <x:v>45870</x:v>
      </x:c>
    </x:row>
    <x:row r="118">
      <x:c r="A118" t="str">
        <x:v>DV-2026-00117</x:v>
      </x:c>
      <x:c r="B118" s="16" t="n">
        <x:v>46132</x:v>
      </x:c>
      <x:c r="C118" t="str">
        <x:v>Client 50</x:v>
      </x:c>
      <x:c r="D118" t="str">
        <x:v>Fret aérien</x:v>
      </x:c>
      <x:c r="E118" t="str">
        <x:v>Pôle B</x:v>
      </x:c>
      <x:c r="F118" s="18" t="n">
        <x:v>13080.66</x:v>
      </x:c>
      <x:c r="G118" s="18" t="n">
        <x:v>0</x:v>
      </x:c>
      <x:c r="H118" t="str">
        <x:v>Client 50</x:v>
      </x:c>
      <x:c r="I118" s="16"/>
    </x:row>
    <x:row r="119">
      <x:c r="A119" t="str">
        <x:v>DV-2025-00118</x:v>
      </x:c>
      <x:c r="B119" s="16" t="n">
        <x:v>45780</x:v>
      </x:c>
      <x:c r="C119" t="str">
        <x:v>Client 20</x:v>
      </x:c>
      <x:c r="D119" t="str">
        <x:v>Douane</x:v>
      </x:c>
      <x:c r="E119" t="str">
        <x:v>Pôle E</x:v>
      </x:c>
      <x:c r="F119" s="18" t="n">
        <x:v>10553.35</x:v>
      </x:c>
      <x:c r="G119" s="18" t="n">
        <x:v>10553.35</x:v>
      </x:c>
      <x:c r="H119" t="str">
        <x:v>Client 20</x:v>
      </x:c>
      <x:c r="I119" s="16" t="n">
        <x:v>45834</x:v>
      </x:c>
    </x:row>
    <x:row r="120">
      <x:c r="A120" t="str">
        <x:v>DV-2024-00119</x:v>
      </x:c>
      <x:c r="B120" s="16" t="n">
        <x:v>45294</x:v>
      </x:c>
      <x:c r="C120" t="str">
        <x:v>Client 20</x:v>
      </x:c>
      <x:c r="D120" t="str">
        <x:v>Express</x:v>
      </x:c>
      <x:c r="E120" t="str">
        <x:v>Pôle E</x:v>
      </x:c>
      <x:c r="F120" s="18" t="n">
        <x:v>10992.47</x:v>
      </x:c>
      <x:c r="G120" s="18" t="n">
        <x:v>10992.47</x:v>
      </x:c>
      <x:c r="H120" t="str">
        <x:v>Client 20</x:v>
      </x:c>
      <x:c r="I120" s="16" t="n">
        <x:v>45322</x:v>
      </x:c>
    </x:row>
    <x:row r="121">
      <x:c r="A121" t="str">
        <x:v>DV-2026-00120</x:v>
      </x:c>
      <x:c r="B121" s="16" t="n">
        <x:v>46121</x:v>
      </x:c>
      <x:c r="C121" t="str">
        <x:v>Client 31</x:v>
      </x:c>
      <x:c r="D121" t="str">
        <x:v>Fret aérien</x:v>
      </x:c>
      <x:c r="E121" t="str">
        <x:v>Pôle D</x:v>
      </x:c>
      <x:c r="F121" s="18" t="n">
        <x:v>22135.56</x:v>
      </x:c>
      <x:c r="G121" s="18" t="n">
        <x:v>22135.56</x:v>
      </x:c>
      <x:c r="H121" t="str">
        <x:v>Client 31</x:v>
      </x:c>
      <x:c r="I121" s="16" t="n">
        <x:v>46143</x:v>
      </x:c>
    </x:row>
    <x:row r="122">
      <x:c r="A122" t="str">
        <x:v>DV-2024-00121</x:v>
      </x:c>
      <x:c r="B122" s="16" t="n">
        <x:v>45324</x:v>
      </x:c>
      <x:c r="C122" t="str">
        <x:v>Client 16</x:v>
      </x:c>
      <x:c r="D122" t="str">
        <x:v>Fret maritime</x:v>
      </x:c>
      <x:c r="E122" t="str">
        <x:v>Pôle A</x:v>
      </x:c>
      <x:c r="F122" s="18" t="n">
        <x:v>12129.9</x:v>
      </x:c>
      <x:c r="G122" s="18" t="n">
        <x:v>12129.9</x:v>
      </x:c>
      <x:c r="H122" t="str">
        <x:v>Client 16</x:v>
      </x:c>
      <x:c r="I122" s="16" t="n">
        <x:v>45397</x:v>
      </x:c>
    </x:row>
    <x:row r="123">
      <x:c r="A123" t="str">
        <x:v>DV-2024-00122</x:v>
      </x:c>
      <x:c r="B123" s="16" t="n">
        <x:v>45301</x:v>
      </x:c>
      <x:c r="C123" t="str">
        <x:v>Client 40</x:v>
      </x:c>
      <x:c r="D123" t="str">
        <x:v>Fret maritime</x:v>
      </x:c>
      <x:c r="E123" t="str">
        <x:v>Pôle D</x:v>
      </x:c>
      <x:c r="F123" s="18" t="n">
        <x:v>4861.07</x:v>
      </x:c>
      <x:c r="G123" s="18" t="n">
        <x:v>4861.07</x:v>
      </x:c>
      <x:c r="H123" t="str">
        <x:v>Client 26</x:v>
      </x:c>
      <x:c r="I123" s="16" t="n">
        <x:v>45368</x:v>
      </x:c>
    </x:row>
    <x:row r="124">
      <x:c r="A124" t="str">
        <x:v>DV-2024-00123</x:v>
      </x:c>
      <x:c r="B124" s="16" t="n">
        <x:v>45357</x:v>
      </x:c>
      <x:c r="C124" t="str">
        <x:v>Client 23</x:v>
      </x:c>
      <x:c r="D124" t="str">
        <x:v>Express</x:v>
      </x:c>
      <x:c r="E124" t="str">
        <x:v>Pôle E</x:v>
      </x:c>
      <x:c r="F124" s="18" t="n">
        <x:v>14149.41</x:v>
      </x:c>
      <x:c r="G124" s="18" t="n">
        <x:v>8208.26</x:v>
      </x:c>
      <x:c r="H124" t="str">
        <x:v>Client 23</x:v>
      </x:c>
      <x:c r="I124" s="16" t="n">
        <x:v>45406</x:v>
      </x:c>
    </x:row>
    <x:row r="125">
      <x:c r="A125" t="str">
        <x:v>DV-2025-00124</x:v>
      </x:c>
      <x:c r="B125" s="16" t="n">
        <x:v>45690</x:v>
      </x:c>
      <x:c r="C125" t="str">
        <x:v>Client 48</x:v>
      </x:c>
      <x:c r="D125" t="str">
        <x:v>Logistique</x:v>
      </x:c>
      <x:c r="E125" t="str">
        <x:v>Pôle D</x:v>
      </x:c>
      <x:c r="F125" s="18" t="n">
        <x:v>16815.51</x:v>
      </x:c>
      <x:c r="G125" s="18" t="n">
        <x:v>16815.51</x:v>
      </x:c>
      <x:c r="H125" t="str">
        <x:v>Client 48</x:v>
      </x:c>
      <x:c r="I125" s="16" t="n">
        <x:v>45733</x:v>
      </x:c>
    </x:row>
    <x:row r="126">
      <x:c r="A126" t="str">
        <x:v>DV-2025-00125</x:v>
      </x:c>
      <x:c r="B126" s="16" t="n">
        <x:v>45715</x:v>
      </x:c>
      <x:c r="C126" t="str">
        <x:v>Client 02</x:v>
      </x:c>
      <x:c r="D126" t="str">
        <x:v>Express</x:v>
      </x:c>
      <x:c r="E126" t="str">
        <x:v>Pôle E</x:v>
      </x:c>
      <x:c r="F126" s="18" t="n">
        <x:v>22303.37</x:v>
      </x:c>
      <x:c r="G126" s="18" t="n">
        <x:v>8692.71</x:v>
      </x:c>
      <x:c r="H126" t="str">
        <x:v>Client 02</x:v>
      </x:c>
      <x:c r="I126" s="16" t="n">
        <x:v>45741</x:v>
      </x:c>
    </x:row>
    <x:row r="127">
      <x:c r="A127" t="str">
        <x:v>DV-2024-00126</x:v>
      </x:c>
      <x:c r="B127" s="16" t="n">
        <x:v>45560</x:v>
      </x:c>
      <x:c r="C127" t="str">
        <x:v>Client 08</x:v>
      </x:c>
      <x:c r="D127" t="str">
        <x:v>Logistique</x:v>
      </x:c>
      <x:c r="E127" t="str">
        <x:v>Pôle D</x:v>
      </x:c>
      <x:c r="F127" s="18" t="n">
        <x:v>17390.68</x:v>
      </x:c>
      <x:c r="G127" s="18" t="n">
        <x:v>17390.68</x:v>
      </x:c>
      <x:c r="H127" t="str">
        <x:v>Client 10</x:v>
      </x:c>
      <x:c r="I127" s="16" t="n">
        <x:v>45584</x:v>
      </x:c>
    </x:row>
    <x:row r="128">
      <x:c r="A128" t="str">
        <x:v>DV-2024-00127</x:v>
      </x:c>
      <x:c r="B128" s="16" t="n">
        <x:v>45569</x:v>
      </x:c>
      <x:c r="C128" t="str">
        <x:v>Client 22</x:v>
      </x:c>
      <x:c r="D128" t="str">
        <x:v>Fret maritime</x:v>
      </x:c>
      <x:c r="E128" t="str">
        <x:v>Pôle A</x:v>
      </x:c>
      <x:c r="F128" s="18" t="n">
        <x:v>12448.12</x:v>
      </x:c>
      <x:c r="G128" s="18" t="n">
        <x:v>12448.12</x:v>
      </x:c>
      <x:c r="H128" t="str">
        <x:v>Client 25</x:v>
      </x:c>
      <x:c r="I128" s="16" t="n">
        <x:v>45610</x:v>
      </x:c>
    </x:row>
    <x:row r="129">
      <x:c r="A129" t="str">
        <x:v>DV-2026-00128</x:v>
      </x:c>
      <x:c r="B129" s="16" t="n">
        <x:v>46242</x:v>
      </x:c>
      <x:c r="C129" t="str">
        <x:v>Client 45</x:v>
      </x:c>
      <x:c r="D129" t="str">
        <x:v>Fret maritime</x:v>
      </x:c>
      <x:c r="E129" t="str">
        <x:v>Pôle A</x:v>
      </x:c>
      <x:c r="F129" s="18" t="n">
        <x:v>13558.77</x:v>
      </x:c>
      <x:c r="G129" s="18" t="n">
        <x:v>13558.77</x:v>
      </x:c>
      <x:c r="H129" t="str">
        <x:v>Client 45</x:v>
      </x:c>
      <x:c r="I129" s="16" t="n">
        <x:v>46259</x:v>
      </x:c>
    </x:row>
    <x:row r="130">
      <x:c r="A130" t="str">
        <x:v>DV-2025-00129</x:v>
      </x:c>
      <x:c r="B130" s="16" t="n">
        <x:v>45984</x:v>
      </x:c>
      <x:c r="C130" t="str">
        <x:v>Client 02</x:v>
      </x:c>
      <x:c r="D130" t="str">
        <x:v>Fret maritime</x:v>
      </x:c>
      <x:c r="E130" t="str">
        <x:v>Pôle E</x:v>
      </x:c>
      <x:c r="F130" s="18" t="n">
        <x:v>17434.28</x:v>
      </x:c>
      <x:c r="G130" s="18" t="n">
        <x:v>17434.28</x:v>
      </x:c>
      <x:c r="H130" t="str">
        <x:v>Client 02</x:v>
      </x:c>
      <x:c r="I130" s="16" t="n">
        <x:v>46041</x:v>
      </x:c>
    </x:row>
    <x:row r="131">
      <x:c r="A131" t="str">
        <x:v>DV-2025-00130</x:v>
      </x:c>
      <x:c r="B131" s="16" t="n">
        <x:v>45721</x:v>
      </x:c>
      <x:c r="C131" t="str">
        <x:v>Client 28</x:v>
      </x:c>
      <x:c r="D131" t="str">
        <x:v>Express</x:v>
      </x:c>
      <x:c r="E131" t="str">
        <x:v>Pôle E</x:v>
      </x:c>
      <x:c r="F131" s="18" t="n">
        <x:v>8443.03</x:v>
      </x:c>
      <x:c r="G131" s="18" t="n">
        <x:v>8443.03</x:v>
      </x:c>
      <x:c r="H131" t="str">
        <x:v>Client 02</x:v>
      </x:c>
      <x:c r="I131" s="16" t="n">
        <x:v>45796</x:v>
      </x:c>
    </x:row>
    <x:row r="132">
      <x:c r="A132" t="str">
        <x:v>DV-2026-00131</x:v>
      </x:c>
      <x:c r="B132" s="16" t="n">
        <x:v>46085</x:v>
      </x:c>
      <x:c r="C132" t="str">
        <x:v>Client 25</x:v>
      </x:c>
      <x:c r="D132" t="str">
        <x:v>Logistique</x:v>
      </x:c>
      <x:c r="E132" t="str">
        <x:v>Pôle D</x:v>
      </x:c>
      <x:c r="F132" s="18" t="n">
        <x:v>12538.59</x:v>
      </x:c>
      <x:c r="G132" s="18" t="n">
        <x:v>12538.59</x:v>
      </x:c>
      <x:c r="H132" t="str">
        <x:v>Client 25</x:v>
      </x:c>
      <x:c r="I132" s="16" t="n">
        <x:v>46104</x:v>
      </x:c>
    </x:row>
    <x:row r="133">
      <x:c r="A133" t="str">
        <x:v>DV-2026-00132</x:v>
      </x:c>
      <x:c r="B133" s="16" t="n">
        <x:v>46204</x:v>
      </x:c>
      <x:c r="C133" t="str">
        <x:v>Client 38</x:v>
      </x:c>
      <x:c r="D133" t="str">
        <x:v>Express</x:v>
      </x:c>
      <x:c r="E133" t="str">
        <x:v>Pôle C</x:v>
      </x:c>
      <x:c r="F133" s="18" t="n">
        <x:v>16245.17</x:v>
      </x:c>
      <x:c r="G133" s="18" t="n">
        <x:v>16245.17</x:v>
      </x:c>
      <x:c r="H133" t="str">
        <x:v>Client 38</x:v>
      </x:c>
      <x:c r="I133" s="16" t="n">
        <x:v>46281</x:v>
      </x:c>
    </x:row>
    <x:row r="134">
      <x:c r="A134" t="str">
        <x:v>DV-2024-00133</x:v>
      </x:c>
      <x:c r="B134" s="16" t="n">
        <x:v>45656</x:v>
      </x:c>
      <x:c r="C134" t="str">
        <x:v>Client 39</x:v>
      </x:c>
      <x:c r="D134" t="str">
        <x:v>Douane</x:v>
      </x:c>
      <x:c r="E134" t="str">
        <x:v>Pôle B</x:v>
      </x:c>
      <x:c r="F134" s="18" t="n">
        <x:v>357.54</x:v>
      </x:c>
      <x:c r="G134" s="18" t="n">
        <x:v>357.54</x:v>
      </x:c>
      <x:c r="H134" t="str">
        <x:v>Client 39</x:v>
      </x:c>
      <x:c r="I134" s="16" t="n">
        <x:v>45744</x:v>
      </x:c>
    </x:row>
    <x:row r="135">
      <x:c r="A135" t="str">
        <x:v>DV-2026-00134</x:v>
      </x:c>
      <x:c r="B135" s="16" t="n">
        <x:v>46235</x:v>
      </x:c>
      <x:c r="C135" t="str">
        <x:v>Client 08</x:v>
      </x:c>
      <x:c r="D135" t="str">
        <x:v>Fret maritime</x:v>
      </x:c>
      <x:c r="E135" t="str">
        <x:v>Pôle A</x:v>
      </x:c>
      <x:c r="F135" s="18" t="n">
        <x:v>14615.19</x:v>
      </x:c>
      <x:c r="G135" s="18" t="n">
        <x:v>14615.19</x:v>
      </x:c>
      <x:c r="H135" t="str">
        <x:v>Client 21</x:v>
      </x:c>
      <x:c r="I135" s="16" t="n">
        <x:v>46323</x:v>
      </x:c>
    </x:row>
    <x:row r="136">
      <x:c r="A136" t="str">
        <x:v>DV-2026-00135</x:v>
      </x:c>
      <x:c r="B136" s="16" t="n">
        <x:v>46210</x:v>
      </x:c>
      <x:c r="C136" t="str">
        <x:v>Client 31</x:v>
      </x:c>
      <x:c r="D136" t="str">
        <x:v>Express</x:v>
      </x:c>
      <x:c r="E136" t="str">
        <x:v>Pôle C</x:v>
      </x:c>
      <x:c r="F136" s="18" t="n">
        <x:v>8766.63</x:v>
      </x:c>
      <x:c r="G136" s="18" t="n">
        <x:v>8766.63</x:v>
      </x:c>
      <x:c r="H136" t="str">
        <x:v>Client 31</x:v>
      </x:c>
      <x:c r="I136" s="16" t="n">
        <x:v>46225</x:v>
      </x:c>
    </x:row>
    <x:row r="137">
      <x:c r="A137" t="str">
        <x:v>DV-2026-00136</x:v>
      </x:c>
      <x:c r="B137" s="16" t="n">
        <x:v>46057</x:v>
      </x:c>
      <x:c r="C137" t="str">
        <x:v>Client 38</x:v>
      </x:c>
      <x:c r="D137" t="str">
        <x:v>Fret aérien</x:v>
      </x:c>
      <x:c r="E137" t="str">
        <x:v>Pôle A</x:v>
      </x:c>
      <x:c r="F137" s="18" t="n">
        <x:v>22234.28</x:v>
      </x:c>
      <x:c r="G137" s="18" t="n">
        <x:v>22234.28</x:v>
      </x:c>
      <x:c r="H137" t="str">
        <x:v>Client 38</x:v>
      </x:c>
      <x:c r="I137" s="16" t="n">
        <x:v>46098</x:v>
      </x:c>
    </x:row>
    <x:row r="138">
      <x:c r="A138" t="str">
        <x:v>DV-2025-00137</x:v>
      </x:c>
      <x:c r="B138" s="16" t="n">
        <x:v>45824</x:v>
      </x:c>
      <x:c r="C138" t="str">
        <x:v>Client 43</x:v>
      </x:c>
      <x:c r="D138" t="str">
        <x:v>Fret maritime</x:v>
      </x:c>
      <x:c r="E138" t="str">
        <x:v>Pôle A</x:v>
      </x:c>
      <x:c r="F138" s="18" t="n">
        <x:v>9339.32</x:v>
      </x:c>
      <x:c r="G138" s="18" t="n">
        <x:v>0</x:v>
      </x:c>
      <x:c r="H138" t="str">
        <x:v>Client 43</x:v>
      </x:c>
      <x:c r="I138" s="16"/>
    </x:row>
    <x:row r="139">
      <x:c r="A139" t="str">
        <x:v>DV-2024-00138</x:v>
      </x:c>
      <x:c r="B139" s="16" t="n">
        <x:v>45439</x:v>
      </x:c>
      <x:c r="C139" t="str">
        <x:v>Client 01 </x:v>
      </x:c>
      <x:c r="D139" t="str">
        <x:v>Fret aérien</x:v>
      </x:c>
      <x:c r="E139" t="str">
        <x:v>Pôle A</x:v>
      </x:c>
      <x:c r="F139" s="18" t="n">
        <x:v>21361.73</x:v>
      </x:c>
      <x:c r="G139" s="18" t="n">
        <x:v>21361.73</x:v>
      </x:c>
      <x:c r="H139" t="str">
        <x:v>Client 01</x:v>
      </x:c>
      <x:c r="I139" s="16" t="n">
        <x:v>45510</x:v>
      </x:c>
    </x:row>
    <x:row r="140">
      <x:c r="A140" t="str">
        <x:v>DV-2024-00139</x:v>
      </x:c>
      <x:c r="B140" s="16" t="n">
        <x:v>45314</x:v>
      </x:c>
      <x:c r="C140" t="str">
        <x:v>Client 39</x:v>
      </x:c>
      <x:c r="D140" t="str">
        <x:v>Fret maritime</x:v>
      </x:c>
      <x:c r="E140" t="str">
        <x:v>Pôle A</x:v>
      </x:c>
      <x:c r="F140" s="18" t="n">
        <x:v>19571.57</x:v>
      </x:c>
      <x:c r="G140" s="18" t="n">
        <x:v>8226.03</x:v>
      </x:c>
      <x:c r="H140" t="str">
        <x:v>Client 39</x:v>
      </x:c>
      <x:c r="I140" s="16" t="n">
        <x:v>45362</x:v>
      </x:c>
    </x:row>
    <x:row r="141">
      <x:c r="A141" t="str">
        <x:v>DV-2025-00140</x:v>
      </x:c>
      <x:c r="B141" s="16" t="n">
        <x:v>45727</x:v>
      </x:c>
      <x:c r="C141" t="str">
        <x:v>Client 16</x:v>
      </x:c>
      <x:c r="D141" t="str">
        <x:v>Fret maritime</x:v>
      </x:c>
      <x:c r="E141" t="str">
        <x:v>Pôle B</x:v>
      </x:c>
      <x:c r="F141" s="18" t="n">
        <x:v>2534.35</x:v>
      </x:c>
      <x:c r="G141" s="18" t="n">
        <x:v>1150.73</x:v>
      </x:c>
      <x:c r="H141" t="str">
        <x:v>Client 16</x:v>
      </x:c>
      <x:c r="I141" s="16" t="n">
        <x:v>45768</x:v>
      </x:c>
    </x:row>
    <x:row r="142">
      <x:c r="A142" t="str">
        <x:v>DV-2026-00141</x:v>
      </x:c>
      <x:c r="B142" s="16" t="n">
        <x:v>46183</x:v>
      </x:c>
      <x:c r="C142" t="str">
        <x:v>Client 18</x:v>
      </x:c>
      <x:c r="D142" t="str">
        <x:v>Express</x:v>
      </x:c>
      <x:c r="E142" t="str">
        <x:v>Pôle D</x:v>
      </x:c>
      <x:c r="F142" s="18" t="n">
        <x:v>16320</x:v>
      </x:c>
      <x:c r="G142" s="18" t="n">
        <x:v>16320</x:v>
      </x:c>
      <x:c r="H142" t="str">
        <x:v>Client 18</x:v>
      </x:c>
      <x:c r="I142" s="16" t="n">
        <x:v>46241</x:v>
      </x:c>
    </x:row>
    <x:row r="143">
      <x:c r="A143" t="str">
        <x:v>DV-2024-00142</x:v>
      </x:c>
      <x:c r="B143" s="16" t="n">
        <x:v>45499</x:v>
      </x:c>
      <x:c r="C143" t="str">
        <x:v>Client 20</x:v>
      </x:c>
      <x:c r="D143" t="str">
        <x:v>Logistique</x:v>
      </x:c>
      <x:c r="E143" t="str">
        <x:v>Pôle A</x:v>
      </x:c>
      <x:c r="F143" s="18" t="n">
        <x:v>10309.7</x:v>
      </x:c>
      <x:c r="G143" s="18" t="n">
        <x:v>3166.07</x:v>
      </x:c>
      <x:c r="H143" t="str">
        <x:v>Client 20</x:v>
      </x:c>
      <x:c r="I143" s="16" t="n">
        <x:v>45546</x:v>
      </x:c>
    </x:row>
    <x:row r="144">
      <x:c r="A144" t="str">
        <x:v>DV-2026-00143</x:v>
      </x:c>
      <x:c r="B144" s="16" t="n">
        <x:v>46235</x:v>
      </x:c>
      <x:c r="C144" t="str">
        <x:v>Client 18</x:v>
      </x:c>
      <x:c r="D144" t="str">
        <x:v>Fret maritime</x:v>
      </x:c>
      <x:c r="E144" t="str">
        <x:v>Pôle B</x:v>
      </x:c>
      <x:c r="F144" s="18" t="n">
        <x:v>20047.68</x:v>
      </x:c>
      <x:c r="G144" s="18" t="n">
        <x:v>20047.68</x:v>
      </x:c>
      <x:c r="H144" t="str">
        <x:v>Client 18</x:v>
      </x:c>
      <x:c r="I144" s="16" t="n">
        <x:v>46266</x:v>
      </x:c>
    </x:row>
    <x:row r="145">
      <x:c r="A145" t="str">
        <x:v>DV-2024-00144</x:v>
      </x:c>
      <x:c r="B145" s="16" t="n">
        <x:v>45553</x:v>
      </x:c>
      <x:c r="C145" t="str">
        <x:v>Client 29</x:v>
      </x:c>
      <x:c r="D145" t="str">
        <x:v>Fret aérien</x:v>
      </x:c>
      <x:c r="E145" t="str">
        <x:v>Pôle A</x:v>
      </x:c>
      <x:c r="F145" s="18" t="n">
        <x:v>15502.55</x:v>
      </x:c>
      <x:c r="G145" s="18" t="n">
        <x:v>15502.55</x:v>
      </x:c>
      <x:c r="H145" t="str">
        <x:v>Client 31</x:v>
      </x:c>
      <x:c r="I145" s="16" t="n">
        <x:v>45560</x:v>
      </x:c>
    </x:row>
    <x:row r="146">
      <x:c r="A146" t="str">
        <x:v>DV-2024-00145</x:v>
      </x:c>
      <x:c r="B146" s="16" t="n">
        <x:v>45465</x:v>
      </x:c>
      <x:c r="C146" t="str">
        <x:v>Client 38</x:v>
      </x:c>
      <x:c r="D146" t="str">
        <x:v>Express</x:v>
      </x:c>
      <x:c r="E146" t="str">
        <x:v>Pôle E</x:v>
      </x:c>
      <x:c r="F146" s="18" t="n">
        <x:v>1931.15</x:v>
      </x:c>
      <x:c r="G146" s="18" t="n">
        <x:v>963.64</x:v>
      </x:c>
      <x:c r="H146" t="str">
        <x:v>Client 38</x:v>
      </x:c>
      <x:c r="I146" s="16" t="n">
        <x:v>45490</x:v>
      </x:c>
    </x:row>
    <x:row r="147">
      <x:c r="A147" t="str">
        <x:v>DV-2026-00146</x:v>
      </x:c>
      <x:c r="B147" s="16" t="n">
        <x:v>46252</x:v>
      </x:c>
      <x:c r="C147" t="str">
        <x:v>Client 50</x:v>
      </x:c>
      <x:c r="D147" t="str">
        <x:v>Fret aérien</x:v>
      </x:c>
      <x:c r="E147" t="str">
        <x:v>Pôle B</x:v>
      </x:c>
      <x:c r="F147" s="18" t="n">
        <x:v>6551.63</x:v>
      </x:c>
      <x:c r="G147" s="18" t="n">
        <x:v>6551.63</x:v>
      </x:c>
      <x:c r="H147" t="str">
        <x:v>Client 50</x:v>
      </x:c>
      <x:c r="I147" s="16" t="n">
        <x:v>46312</x:v>
      </x:c>
    </x:row>
    <x:row r="148">
      <x:c r="A148" t="str">
        <x:v>DV-2025-00147</x:v>
      </x:c>
      <x:c r="B148" s="16" t="n">
        <x:v>45933</x:v>
      </x:c>
      <x:c r="C148" t="str">
        <x:v>Client 10</x:v>
      </x:c>
      <x:c r="D148" t="str">
        <x:v>Fret maritime</x:v>
      </x:c>
      <x:c r="E148" t="str">
        <x:v>Pôle A</x:v>
      </x:c>
      <x:c r="F148" s="18" t="n">
        <x:v>11843.83</x:v>
      </x:c>
      <x:c r="G148" s="18" t="n">
        <x:v>11843.83</x:v>
      </x:c>
      <x:c r="H148" t="str">
        <x:v>Client 10</x:v>
      </x:c>
      <x:c r="I148" s="16" t="n">
        <x:v>45952</x:v>
      </x:c>
    </x:row>
    <x:row r="149">
      <x:c r="A149" t="str">
        <x:v>DV-2026-00148</x:v>
      </x:c>
      <x:c r="B149" s="16" t="n">
        <x:v>46106</x:v>
      </x:c>
      <x:c r="C149" t="str">
        <x:v>Client 43</x:v>
      </x:c>
      <x:c r="D149" t="str">
        <x:v>Fret maritime</x:v>
      </x:c>
      <x:c r="E149" t="str">
        <x:v>Pôle E</x:v>
      </x:c>
      <x:c r="F149" s="18" t="n">
        <x:v>5777.38</x:v>
      </x:c>
      <x:c r="G149" s="18" t="n">
        <x:v>5777.38</x:v>
      </x:c>
      <x:c r="H149" t="str">
        <x:v>Client 43</x:v>
      </x:c>
      <x:c r="I149" s="16" t="n">
        <x:v>46200</x:v>
      </x:c>
    </x:row>
    <x:row r="150">
      <x:c r="A150" t="str">
        <x:v>DV-2025-00149</x:v>
      </x:c>
      <x:c r="B150" s="16" t="n">
        <x:v>45981</x:v>
      </x:c>
      <x:c r="C150" t="str">
        <x:v>Client 12</x:v>
      </x:c>
      <x:c r="D150" t="str">
        <x:v>Express</x:v>
      </x:c>
      <x:c r="E150" t="str">
        <x:v>Pôle A</x:v>
      </x:c>
      <x:c r="F150" s="18" t="n">
        <x:v>17237.14</x:v>
      </x:c>
      <x:c r="G150" s="18" t="n">
        <x:v>17237.14</x:v>
      </x:c>
      <x:c r="H150" t="str">
        <x:v>Client 12</x:v>
      </x:c>
      <x:c r="I150" s="16" t="n">
        <x:v>46053</x:v>
      </x:c>
    </x:row>
    <x:row r="151">
      <x:c r="A151" t="str">
        <x:v>DV-2025-00150</x:v>
      </x:c>
      <x:c r="B151" s="16" t="n">
        <x:v>45737</x:v>
      </x:c>
      <x:c r="C151" t="str">
        <x:v>Client 03</x:v>
      </x:c>
      <x:c r="D151" t="str">
        <x:v>Express</x:v>
      </x:c>
      <x:c r="E151" t="str">
        <x:v>Pôle C</x:v>
      </x:c>
      <x:c r="F151" s="18" t="n">
        <x:v>10327.28</x:v>
      </x:c>
      <x:c r="G151" s="18" t="n">
        <x:v>5713.3</x:v>
      </x:c>
      <x:c r="H151" t="str">
        <x:v>Client 03</x:v>
      </x:c>
      <x:c r="I151" s="16" t="n">
        <x:v>45748</x:v>
      </x:c>
    </x:row>
    <x:row r="152">
      <x:c r="A152" t="str">
        <x:v>DV-2026-00151</x:v>
      </x:c>
      <x:c r="B152" s="16" t="n">
        <x:v>46256</x:v>
      </x:c>
      <x:c r="C152" t="str">
        <x:v>Client 29</x:v>
      </x:c>
      <x:c r="D152" t="str">
        <x:v>Douane</x:v>
      </x:c>
      <x:c r="E152" t="str">
        <x:v>Pôle D</x:v>
      </x:c>
      <x:c r="F152" s="18" t="n">
        <x:v>1491.56</x:v>
      </x:c>
      <x:c r="G152" s="18" t="n">
        <x:v>1491.56</x:v>
      </x:c>
      <x:c r="H152" t="str">
        <x:v>Client 29</x:v>
      </x:c>
      <x:c r="I152" s="16" t="n">
        <x:v>46259</x:v>
      </x:c>
    </x:row>
    <x:row r="153">
      <x:c r="A153" t="str">
        <x:v>DV-2025-00152</x:v>
      </x:c>
      <x:c r="B153" s="16" t="n">
        <x:v>45870</x:v>
      </x:c>
      <x:c r="C153" t="str">
        <x:v>Client 48</x:v>
      </x:c>
      <x:c r="D153" t="str">
        <x:v>Fret aérien</x:v>
      </x:c>
      <x:c r="E153" t="str">
        <x:v>Pôle A</x:v>
      </x:c>
      <x:c r="F153" s="18" t="n">
        <x:v>16416.17</x:v>
      </x:c>
      <x:c r="G153" s="18" t="n">
        <x:v>16416.17</x:v>
      </x:c>
      <x:c r="H153" t="str">
        <x:v>Client 48</x:v>
      </x:c>
      <x:c r="I153" s="16" t="n">
        <x:v>45960</x:v>
      </x:c>
    </x:row>
    <x:row r="154">
      <x:c r="A154" t="str">
        <x:v>DV-2024-00153</x:v>
      </x:c>
      <x:c r="B154" s="16" t="n">
        <x:v>45411</x:v>
      </x:c>
      <x:c r="C154" t="str">
        <x:v>Client 32</x:v>
      </x:c>
      <x:c r="D154" t="str">
        <x:v>Douane</x:v>
      </x:c>
      <x:c r="E154" t="str">
        <x:v>Pôle B</x:v>
      </x:c>
      <x:c r="F154" s="18" t="n">
        <x:v>5383.23</x:v>
      </x:c>
      <x:c r="G154" s="18" t="n">
        <x:v>5383.23</x:v>
      </x:c>
      <x:c r="H154" t="str">
        <x:v>Client 32</x:v>
      </x:c>
      <x:c r="I154" s="16" t="n">
        <x:v>45438</x:v>
      </x:c>
    </x:row>
    <x:row r="155">
      <x:c r="A155" t="str">
        <x:v>DV-2024-00154</x:v>
      </x:c>
      <x:c r="B155" s="16" t="n">
        <x:v>45333</x:v>
      </x:c>
      <x:c r="C155" t="str">
        <x:v>Client 26</x:v>
      </x:c>
      <x:c r="D155" t="str">
        <x:v>Fret maritime</x:v>
      </x:c>
      <x:c r="E155" t="str">
        <x:v>Pôle C</x:v>
      </x:c>
      <x:c r="F155" s="18" t="n">
        <x:v>18275.6</x:v>
      </x:c>
      <x:c r="G155" s="18" t="n">
        <x:v>18275.6</x:v>
      </x:c>
      <x:c r="H155" t="str">
        <x:v>Client 26</x:v>
      </x:c>
      <x:c r="I155" s="16" t="n">
        <x:v>45354</x:v>
      </x:c>
    </x:row>
    <x:row r="156">
      <x:c r="A156" t="str">
        <x:v>DV-2026-00155</x:v>
      </x:c>
      <x:c r="B156" s="16" t="n">
        <x:v>46263</x:v>
      </x:c>
      <x:c r="C156" t="str">
        <x:v>Client 32</x:v>
      </x:c>
      <x:c r="D156" t="str">
        <x:v>Express</x:v>
      </x:c>
      <x:c r="E156" t="str">
        <x:v>Pôle A</x:v>
      </x:c>
      <x:c r="F156" s="18" t="n">
        <x:v>13062.73</x:v>
      </x:c>
      <x:c r="G156" s="18" t="n">
        <x:v>0</x:v>
      </x:c>
      <x:c r="H156" t="str">
        <x:v>Client 32</x:v>
      </x:c>
      <x:c r="I156" s="16"/>
    </x:row>
    <x:row r="157">
      <x:c r="A157" t="str">
        <x:v>DV-2026-00156</x:v>
      </x:c>
      <x:c r="B157" s="16" t="n">
        <x:v>46241</x:v>
      </x:c>
      <x:c r="C157" t="str">
        <x:v>Client 23</x:v>
      </x:c>
      <x:c r="D157" t="str">
        <x:v>Express</x:v>
      </x:c>
      <x:c r="E157" t="str">
        <x:v>Pôle D</x:v>
      </x:c>
      <x:c r="F157" s="18" t="n">
        <x:v>23101.86</x:v>
      </x:c>
      <x:c r="G157" s="18" t="n">
        <x:v>23101.86</x:v>
      </x:c>
      <x:c r="H157" t="str">
        <x:v>Client 23</x:v>
      </x:c>
      <x:c r="I157" s="16" t="n">
        <x:v>46281</x:v>
      </x:c>
    </x:row>
    <x:row r="158">
      <x:c r="A158" t="str">
        <x:v>DV-2024-00157</x:v>
      </x:c>
      <x:c r="B158" s="16" t="n">
        <x:v>45302</x:v>
      </x:c>
      <x:c r="C158" t="str">
        <x:v>Client 06</x:v>
      </x:c>
      <x:c r="D158" t="str">
        <x:v>Fret aérien</x:v>
      </x:c>
      <x:c r="E158" t="str">
        <x:v>Pôle E</x:v>
      </x:c>
      <x:c r="F158" s="18" t="n">
        <x:v>19480.39</x:v>
      </x:c>
      <x:c r="G158" s="18" t="n">
        <x:v>19480.39</x:v>
      </x:c>
      <x:c r="H158" t="str">
        <x:v>Client 38</x:v>
      </x:c>
      <x:c r="I158" s="16" t="n">
        <x:v>45306</x:v>
      </x:c>
    </x:row>
    <x:row r="159">
      <x:c r="A159" t="str">
        <x:v>DV-2026-00158</x:v>
      </x:c>
      <x:c r="B159" s="16" t="n">
        <x:v>46054</x:v>
      </x:c>
      <x:c r="C159" t="str">
        <x:v>Client 04</x:v>
      </x:c>
      <x:c r="D159" t="str">
        <x:v>Fret maritime</x:v>
      </x:c>
      <x:c r="E159" t="str">
        <x:v>Pôle D</x:v>
      </x:c>
      <x:c r="F159" s="18" t="n">
        <x:v>581.36</x:v>
      </x:c>
      <x:c r="G159" s="18" t="n">
        <x:v>0</x:v>
      </x:c>
      <x:c r="H159" t="str">
        <x:v>Client 04</x:v>
      </x:c>
      <x:c r="I159" s="16"/>
    </x:row>
    <x:row r="160">
      <x:c r="A160" t="str">
        <x:v>DV-2025-00159</x:v>
      </x:c>
      <x:c r="B160" s="16" t="n">
        <x:v>45766</x:v>
      </x:c>
      <x:c r="C160" t="str">
        <x:v>Client 17</x:v>
      </x:c>
      <x:c r="D160" t="str">
        <x:v>Fret aérien</x:v>
      </x:c>
      <x:c r="E160" t="str">
        <x:v>Pôle D</x:v>
      </x:c>
      <x:c r="F160" s="18" t="n">
        <x:v>23531.48</x:v>
      </x:c>
      <x:c r="G160" s="18" t="n">
        <x:v>23531.48</x:v>
      </x:c>
      <x:c r="H160" t="str">
        <x:v>Client 17</x:v>
      </x:c>
      <x:c r="I160" s="16" t="n">
        <x:v>45846</x:v>
      </x:c>
    </x:row>
    <x:row r="161">
      <x:c r="A161" t="str">
        <x:v>DV-2024-00160</x:v>
      </x:c>
      <x:c r="B161" s="16" t="n">
        <x:v>45513</x:v>
      </x:c>
      <x:c r="C161" t="str">
        <x:v>Client 12</x:v>
      </x:c>
      <x:c r="D161" t="str">
        <x:v>Fret aérien</x:v>
      </x:c>
      <x:c r="E161" t="str">
        <x:v>Pôle B</x:v>
      </x:c>
      <x:c r="F161" s="18" t="n">
        <x:v>14061.74</x:v>
      </x:c>
      <x:c r="G161" s="18" t="n">
        <x:v>2478.39</x:v>
      </x:c>
      <x:c r="H161" t="str">
        <x:v>Client 12</x:v>
      </x:c>
      <x:c r="I161" s="16" t="n">
        <x:v>45520</x:v>
      </x:c>
    </x:row>
    <x:row r="162">
      <x:c r="A162" t="str">
        <x:v>DV-2025-00161</x:v>
      </x:c>
      <x:c r="B162" s="16" t="n">
        <x:v>45724</x:v>
      </x:c>
      <x:c r="C162" t="str">
        <x:v>Client 21</x:v>
      </x:c>
      <x:c r="D162" t="str">
        <x:v>Logistique</x:v>
      </x:c>
      <x:c r="E162" t="str">
        <x:v>Pôle C</x:v>
      </x:c>
      <x:c r="F162" s="18" t="n">
        <x:v>11420.83</x:v>
      </x:c>
      <x:c r="G162" s="18" t="n">
        <x:v>11420.83</x:v>
      </x:c>
      <x:c r="H162" t="str">
        <x:v>Client 21</x:v>
      </x:c>
      <x:c r="I162" s="16" t="n">
        <x:v>45728</x:v>
      </x:c>
    </x:row>
    <x:row r="163">
      <x:c r="A163" t="str">
        <x:v>DV-2025-00162</x:v>
      </x:c>
      <x:c r="B163" s="16" t="n">
        <x:v>45662</x:v>
      </x:c>
      <x:c r="C163" t="str">
        <x:v>Client 08</x:v>
      </x:c>
      <x:c r="D163" t="str">
        <x:v>Express</x:v>
      </x:c>
      <x:c r="E163" t="str">
        <x:v>Pôle C</x:v>
      </x:c>
      <x:c r="F163" s="18" t="n">
        <x:v>22212.65</x:v>
      </x:c>
      <x:c r="G163" s="18" t="n">
        <x:v>22212.65</x:v>
      </x:c>
      <x:c r="H163" t="str">
        <x:v>Client 08</x:v>
      </x:c>
      <x:c r="I163" s="16" t="n">
        <x:v>45663</x:v>
      </x:c>
    </x:row>
    <x:row r="164">
      <x:c r="A164" t="str">
        <x:v>DV-2024-00163</x:v>
      </x:c>
      <x:c r="B164" s="16" t="n">
        <x:v>45614</x:v>
      </x:c>
      <x:c r="C164" t="str">
        <x:v>Client 37</x:v>
      </x:c>
      <x:c r="D164" t="str">
        <x:v>Logistique</x:v>
      </x:c>
      <x:c r="E164" t="str">
        <x:v>Pôle E</x:v>
      </x:c>
      <x:c r="F164" s="18" t="n">
        <x:v>4856.39</x:v>
      </x:c>
      <x:c r="G164" s="18" t="n">
        <x:v>4856.39</x:v>
      </x:c>
      <x:c r="H164" t="str">
        <x:v>Client 37</x:v>
      </x:c>
      <x:c r="I164" s="16" t="n">
        <x:v>45671</x:v>
      </x:c>
    </x:row>
    <x:row r="165">
      <x:c r="A165" t="str">
        <x:v>DV-2025-00164</x:v>
      </x:c>
      <x:c r="B165" s="16" t="n">
        <x:v>45727</x:v>
      </x:c>
      <x:c r="C165" t="str">
        <x:v>Client 16</x:v>
      </x:c>
      <x:c r="D165" t="str">
        <x:v>Express</x:v>
      </x:c>
      <x:c r="E165" t="str">
        <x:v>Pôle D</x:v>
      </x:c>
      <x:c r="F165" s="18" t="n">
        <x:v>4685.94</x:v>
      </x:c>
      <x:c r="G165" s="18" t="n">
        <x:v>4685.94</x:v>
      </x:c>
      <x:c r="H165" t="str">
        <x:v>Client 16</x:v>
      </x:c>
      <x:c r="I165" s="16" t="n">
        <x:v>45799</x:v>
      </x:c>
    </x:row>
    <x:row r="166">
      <x:c r="A166" t="str">
        <x:v>DV-2024-00165</x:v>
      </x:c>
      <x:c r="B166" s="16" t="n">
        <x:v>45619</x:v>
      </x:c>
      <x:c r="C166" t="str">
        <x:v>Client 02</x:v>
      </x:c>
      <x:c r="D166" t="str">
        <x:v>Fret maritime</x:v>
      </x:c>
      <x:c r="E166" t="str">
        <x:v>Pôle B</x:v>
      </x:c>
      <x:c r="F166" s="18" t="n">
        <x:v>14523.29</x:v>
      </x:c>
      <x:c r="G166" s="18" t="n">
        <x:v>14523.29</x:v>
      </x:c>
      <x:c r="H166" t="str">
        <x:v>Client 02</x:v>
      </x:c>
      <x:c r="I166" s="16" t="n">
        <x:v>45673</x:v>
      </x:c>
    </x:row>
    <x:row r="167">
      <x:c r="A167" t="str">
        <x:v>DV-2025-00166</x:v>
      </x:c>
      <x:c r="B167" s="16" t="n">
        <x:v>45713</x:v>
      </x:c>
      <x:c r="C167" t="str">
        <x:v>Client 09</x:v>
      </x:c>
      <x:c r="D167" t="str">
        <x:v>Express</x:v>
      </x:c>
      <x:c r="E167" t="str">
        <x:v>Pôle B</x:v>
      </x:c>
      <x:c r="F167" s="18" t="n">
        <x:v>24665.88</x:v>
      </x:c>
      <x:c r="G167" s="18" t="n">
        <x:v>24665.88</x:v>
      </x:c>
      <x:c r="H167" t="str">
        <x:v>Client 09</x:v>
      </x:c>
      <x:c r="I167" s="16" t="n">
        <x:v>45780</x:v>
      </x:c>
    </x:row>
    <x:row r="168">
      <x:c r="A168" t="str">
        <x:v>DV-2024-00167</x:v>
      </x:c>
      <x:c r="B168" s="16" t="n">
        <x:v>45543</x:v>
      </x:c>
      <x:c r="C168" t="str">
        <x:v>Client 40</x:v>
      </x:c>
      <x:c r="D168" t="str">
        <x:v>Douane</x:v>
      </x:c>
      <x:c r="E168" t="str">
        <x:v>Pôle C</x:v>
      </x:c>
      <x:c r="F168" s="18" t="n">
        <x:v>3377.17</x:v>
      </x:c>
      <x:c r="G168" s="18" t="n">
        <x:v>3377.17</x:v>
      </x:c>
      <x:c r="H168" t="str">
        <x:v>Client 16</x:v>
      </x:c>
      <x:c r="I168" s="16" t="n">
        <x:v>45636</x:v>
      </x:c>
    </x:row>
    <x:row r="169">
      <x:c r="A169" t="str">
        <x:v>DV-2026-00168</x:v>
      </x:c>
      <x:c r="B169" s="16" t="n">
        <x:v>46081</x:v>
      </x:c>
      <x:c r="C169" t="str">
        <x:v>Client 41</x:v>
      </x:c>
      <x:c r="D169" t="str">
        <x:v>Express</x:v>
      </x:c>
      <x:c r="E169" t="str">
        <x:v>Pôle D</x:v>
      </x:c>
      <x:c r="F169" s="18" t="n">
        <x:v>2344.24</x:v>
      </x:c>
      <x:c r="G169" s="18" t="n">
        <x:v>2344.24</x:v>
      </x:c>
      <x:c r="H169" t="str">
        <x:v>Client 02</x:v>
      </x:c>
      <x:c r="I169" s="16" t="n">
        <x:v>46117</x:v>
      </x:c>
    </x:row>
    <x:row r="170">
      <x:c r="A170" t="str">
        <x:v>DV-2025-00169</x:v>
      </x:c>
      <x:c r="B170" s="16" t="n">
        <x:v>45678</x:v>
      </x:c>
      <x:c r="C170" t="str">
        <x:v>Client 14</x:v>
      </x:c>
      <x:c r="D170" t="str">
        <x:v>Logistique</x:v>
      </x:c>
      <x:c r="E170" t="str">
        <x:v>Pôle E</x:v>
      </x:c>
      <x:c r="F170" s="18" t="n">
        <x:v>14613.87</x:v>
      </x:c>
      <x:c r="G170" s="18" t="n">
        <x:v>0</x:v>
      </x:c>
      <x:c r="H170" t="str">
        <x:v>Client 14</x:v>
      </x:c>
      <x:c r="I170" s="16"/>
    </x:row>
    <x:row r="171">
      <x:c r="A171" t="str">
        <x:v>DV-2026-00170</x:v>
      </x:c>
      <x:c r="B171" s="16" t="n">
        <x:v>46213</x:v>
      </x:c>
      <x:c r="C171" t="str">
        <x:v>Client 07</x:v>
      </x:c>
      <x:c r="D171" t="str">
        <x:v>Logistique</x:v>
      </x:c>
      <x:c r="E171" t="str">
        <x:v>Pôle D</x:v>
      </x:c>
      <x:c r="F171" s="18" t="n">
        <x:v>18492.7</x:v>
      </x:c>
      <x:c r="G171" s="18" t="n">
        <x:v>18492.7</x:v>
      </x:c>
      <x:c r="H171" t="str">
        <x:v>Client 07</x:v>
      </x:c>
      <x:c r="I171" s="16" t="n">
        <x:v>46274</x:v>
      </x:c>
    </x:row>
    <x:row r="172">
      <x:c r="A172" t="str">
        <x:v>DV-2024-00171</x:v>
      </x:c>
      <x:c r="B172" s="16" t="n">
        <x:v>45501</x:v>
      </x:c>
      <x:c r="C172" t="str">
        <x:v>Client 06</x:v>
      </x:c>
      <x:c r="D172" t="str">
        <x:v>Logistique</x:v>
      </x:c>
      <x:c r="E172" t="str">
        <x:v>Pôle E</x:v>
      </x:c>
      <x:c r="F172" s="18" t="n">
        <x:v>18540.11</x:v>
      </x:c>
      <x:c r="G172" s="18" t="n">
        <x:v>18540.11</x:v>
      </x:c>
      <x:c r="H172" t="str">
        <x:v>Client 06</x:v>
      </x:c>
      <x:c r="I172" s="16" t="n">
        <x:v>45529</x:v>
      </x:c>
    </x:row>
    <x:row r="173">
      <x:c r="A173" t="str">
        <x:v>DV-2024-00172</x:v>
      </x:c>
      <x:c r="B173" s="16" t="n">
        <x:v>45501</x:v>
      </x:c>
      <x:c r="C173" t="str">
        <x:v>Client 18</x:v>
      </x:c>
      <x:c r="D173" t="str">
        <x:v>Douane</x:v>
      </x:c>
      <x:c r="E173" t="str">
        <x:v>Pôle E</x:v>
      </x:c>
      <x:c r="F173" s="18" t="n">
        <x:v>20966.82</x:v>
      </x:c>
      <x:c r="G173" s="18" t="n">
        <x:v>20966.82</x:v>
      </x:c>
      <x:c r="H173" t="str">
        <x:v>Client 18</x:v>
      </x:c>
      <x:c r="I173" s="16" t="n">
        <x:v>45596</x:v>
      </x:c>
    </x:row>
    <x:row r="174">
      <x:c r="A174" t="str">
        <x:v>DV-2025-00173</x:v>
      </x:c>
      <x:c r="B174" s="16" t="n">
        <x:v>45708</x:v>
      </x:c>
      <x:c r="C174" t="str">
        <x:v>Client 36</x:v>
      </x:c>
      <x:c r="D174" t="str">
        <x:v>Express</x:v>
      </x:c>
      <x:c r="E174" t="str">
        <x:v>Pôle E</x:v>
      </x:c>
      <x:c r="F174" s="18" t="n">
        <x:v>1715.26</x:v>
      </x:c>
      <x:c r="G174" s="18" t="n">
        <x:v>1442.39</x:v>
      </x:c>
      <x:c r="H174" t="str">
        <x:v>Client 36</x:v>
      </x:c>
      <x:c r="I174" s="16" t="n">
        <x:v>45709</x:v>
      </x:c>
    </x:row>
    <x:row r="175">
      <x:c r="A175" t="str">
        <x:v>DV-2024-00174</x:v>
      </x:c>
      <x:c r="B175" s="16" t="n">
        <x:v>45316</x:v>
      </x:c>
      <x:c r="C175" t="str">
        <x:v>Client 05</x:v>
      </x:c>
      <x:c r="D175" t="str">
        <x:v>Logistique</x:v>
      </x:c>
      <x:c r="E175" t="str">
        <x:v>Pôle E</x:v>
      </x:c>
      <x:c r="F175" s="18" t="n">
        <x:v>2065.58</x:v>
      </x:c>
      <x:c r="G175" s="18" t="n">
        <x:v>2065.58</x:v>
      </x:c>
      <x:c r="H175" t="str">
        <x:v>Client 05</x:v>
      </x:c>
      <x:c r="I175" s="16" t="n">
        <x:v>45347</x:v>
      </x:c>
    </x:row>
    <x:row r="176">
      <x:c r="A176" t="str">
        <x:v>DV-2026-00175</x:v>
      </x:c>
      <x:c r="B176" s="16" t="n">
        <x:v>46059</x:v>
      </x:c>
      <x:c r="C176" t="str">
        <x:v>Client 08</x:v>
      </x:c>
      <x:c r="D176" t="str">
        <x:v>Douane</x:v>
      </x:c>
      <x:c r="E176" t="str">
        <x:v>Pôle D</x:v>
      </x:c>
      <x:c r="F176" s="18" t="n">
        <x:v>23267.91</x:v>
      </x:c>
      <x:c r="G176" s="18" t="n">
        <x:v>6690.64</x:v>
      </x:c>
      <x:c r="H176" t="str">
        <x:v>Client 08</x:v>
      </x:c>
      <x:c r="I176" s="16" t="n">
        <x:v>46086</x:v>
      </x:c>
    </x:row>
    <x:row r="177">
      <x:c r="A177" t="str">
        <x:v>DV-2026-00176</x:v>
      </x:c>
      <x:c r="B177" s="16" t="n">
        <x:v>46187</x:v>
      </x:c>
      <x:c r="C177" t="str">
        <x:v>Client 45</x:v>
      </x:c>
      <x:c r="D177" t="str">
        <x:v>Fret aérien</x:v>
      </x:c>
      <x:c r="E177" t="str">
        <x:v>Pôle B</x:v>
      </x:c>
      <x:c r="F177" s="18" t="n">
        <x:v>2011.77</x:v>
      </x:c>
      <x:c r="G177" s="18" t="n">
        <x:v>2011.77</x:v>
      </x:c>
      <x:c r="H177" t="str">
        <x:v>Client 45</x:v>
      </x:c>
      <x:c r="I177" s="16" t="n">
        <x:v>46237</x:v>
      </x:c>
    </x:row>
    <x:row r="178">
      <x:c r="A178" t="str">
        <x:v>DV-2024-00177</x:v>
      </x:c>
      <x:c r="B178" s="16" t="n">
        <x:v>45459</x:v>
      </x:c>
      <x:c r="C178" t="str">
        <x:v>Client 02</x:v>
      </x:c>
      <x:c r="D178" t="str">
        <x:v>Fret aérien</x:v>
      </x:c>
      <x:c r="E178" t="str">
        <x:v>Pôle B</x:v>
      </x:c>
      <x:c r="F178" s="18" t="n">
        <x:v>3320.81</x:v>
      </x:c>
      <x:c r="G178" s="18" t="n">
        <x:v>818.16</x:v>
      </x:c>
      <x:c r="H178" t="str">
        <x:v>Client 02</x:v>
      </x:c>
      <x:c r="I178" s="16" t="n">
        <x:v>45518</x:v>
      </x:c>
    </x:row>
    <x:row r="179">
      <x:c r="A179" t="str">
        <x:v>DV-2025-00178</x:v>
      </x:c>
      <x:c r="B179" s="16" t="n">
        <x:v>45946</x:v>
      </x:c>
      <x:c r="C179" t="str">
        <x:v>Client 18</x:v>
      </x:c>
      <x:c r="D179" t="str">
        <x:v>Logistique</x:v>
      </x:c>
      <x:c r="E179" t="str">
        <x:v>Pôle C</x:v>
      </x:c>
      <x:c r="F179" s="18" t="n">
        <x:v>12457.67</x:v>
      </x:c>
      <x:c r="G179" s="18" t="n">
        <x:v>12457.67</x:v>
      </x:c>
      <x:c r="H179" t="str">
        <x:v>Client 20</x:v>
      </x:c>
      <x:c r="I179" s="16" t="n">
        <x:v>46008</x:v>
      </x:c>
    </x:row>
    <x:row r="180">
      <x:c r="A180" t="str">
        <x:v>DV-2024-00179</x:v>
      </x:c>
      <x:c r="B180" s="16" t="n">
        <x:v>45551</x:v>
      </x:c>
      <x:c r="C180" t="str">
        <x:v>Client 46</x:v>
      </x:c>
      <x:c r="D180" t="str">
        <x:v>Fret aérien</x:v>
      </x:c>
      <x:c r="E180" t="str">
        <x:v>Pôle C</x:v>
      </x:c>
      <x:c r="F180" s="18" t="n">
        <x:v>3523.6</x:v>
      </x:c>
      <x:c r="G180" s="18" t="n">
        <x:v>1126.48</x:v>
      </x:c>
      <x:c r="H180" t="str">
        <x:v>Client 46</x:v>
      </x:c>
      <x:c r="I180" s="16" t="n">
        <x:v>45609</x:v>
      </x:c>
    </x:row>
    <x:row r="181">
      <x:c r="A181" t="str">
        <x:v>DV-2024-00180</x:v>
      </x:c>
      <x:c r="B181" s="16" t="n">
        <x:v>45491</x:v>
      </x:c>
      <x:c r="C181" t="str">
        <x:v>Client 37</x:v>
      </x:c>
      <x:c r="D181" t="str">
        <x:v>Fret maritime</x:v>
      </x:c>
      <x:c r="E181" t="str">
        <x:v>Pôle A</x:v>
      </x:c>
      <x:c r="F181" s="18" t="n">
        <x:v>9167.73</x:v>
      </x:c>
      <x:c r="G181" s="18" t="n">
        <x:v>0</x:v>
      </x:c>
      <x:c r="H181" t="str">
        <x:v>Client 37</x:v>
      </x:c>
      <x:c r="I181" s="16"/>
    </x:row>
    <x:row r="182">
      <x:c r="A182" t="str">
        <x:v>DV-2025-00181</x:v>
      </x:c>
      <x:c r="B182" s="16" t="n">
        <x:v>45936</x:v>
      </x:c>
      <x:c r="C182" t="str">
        <x:v>Client 23</x:v>
      </x:c>
      <x:c r="D182" t="str">
        <x:v>Fret aérien</x:v>
      </x:c>
      <x:c r="E182" t="str">
        <x:v>Pôle D</x:v>
      </x:c>
      <x:c r="F182" s="18" t="n">
        <x:v>6752.36</x:v>
      </x:c>
      <x:c r="G182" s="18" t="n">
        <x:v>6752.36</x:v>
      </x:c>
      <x:c r="H182" t="str">
        <x:v>Client 23</x:v>
      </x:c>
      <x:c r="I182" s="16" t="n">
        <x:v>46019</x:v>
      </x:c>
    </x:row>
    <x:row r="183">
      <x:c r="A183" t="str">
        <x:v>DV-2024-00182</x:v>
      </x:c>
      <x:c r="B183" s="16" t="n">
        <x:v>45554</x:v>
      </x:c>
      <x:c r="C183" t="str">
        <x:v>Client 17</x:v>
      </x:c>
      <x:c r="D183" t="str">
        <x:v>Fret maritime</x:v>
      </x:c>
      <x:c r="E183" t="str">
        <x:v>Pôle E</x:v>
      </x:c>
      <x:c r="F183" s="18" t="n">
        <x:v>1144.26</x:v>
      </x:c>
      <x:c r="G183" s="18" t="n">
        <x:v>1144.26</x:v>
      </x:c>
      <x:c r="H183" t="str">
        <x:v>Client 17</x:v>
      </x:c>
      <x:c r="I183" s="16" t="n">
        <x:v>45595</x:v>
      </x:c>
    </x:row>
    <x:row r="184">
      <x:c r="A184" t="str">
        <x:v>DV-2024-00183</x:v>
      </x:c>
      <x:c r="B184" s="16" t="n">
        <x:v>45632</x:v>
      </x:c>
      <x:c r="C184" t="str">
        <x:v>Client 05</x:v>
      </x:c>
      <x:c r="D184" t="str">
        <x:v>Logistique</x:v>
      </x:c>
      <x:c r="E184" t="str">
        <x:v>Pôle A</x:v>
      </x:c>
      <x:c r="F184" s="18" t="n">
        <x:v>23625.86</x:v>
      </x:c>
      <x:c r="G184" s="18" t="n">
        <x:v>15513.86</x:v>
      </x:c>
      <x:c r="H184" t="str">
        <x:v>Client 05</x:v>
      </x:c>
      <x:c r="I184" s="16" t="n">
        <x:v>45709</x:v>
      </x:c>
    </x:row>
    <x:row r="185">
      <x:c r="A185" t="str">
        <x:v>DV-2025-00184</x:v>
      </x:c>
      <x:c r="B185" s="16" t="n">
        <x:v>45662</x:v>
      </x:c>
      <x:c r="C185" t="str">
        <x:v>Client 45</x:v>
      </x:c>
      <x:c r="D185" t="str">
        <x:v>Fret aérien</x:v>
      </x:c>
      <x:c r="E185" t="str">
        <x:v>Pôle D</x:v>
      </x:c>
      <x:c r="F185" s="18" t="n">
        <x:v>1097.48</x:v>
      </x:c>
      <x:c r="G185" s="18" t="n">
        <x:v>1097.48</x:v>
      </x:c>
      <x:c r="H185" t="str">
        <x:v>Client 45</x:v>
      </x:c>
      <x:c r="I185" s="16" t="n">
        <x:v>45694</x:v>
      </x:c>
    </x:row>
    <x:row r="186">
      <x:c r="A186" t="str">
        <x:v>DV-2025-00185</x:v>
      </x:c>
      <x:c r="B186" s="16" t="n">
        <x:v>45847</x:v>
      </x:c>
      <x:c r="C186" t="str">
        <x:v>Client 27</x:v>
      </x:c>
      <x:c r="D186" t="str">
        <x:v>Logistique</x:v>
      </x:c>
      <x:c r="E186" t="str">
        <x:v>Pôle C</x:v>
      </x:c>
      <x:c r="F186" s="18" t="n">
        <x:v>3465.93</x:v>
      </x:c>
      <x:c r="G186" s="18" t="n">
        <x:v>3465.93</x:v>
      </x:c>
      <x:c r="H186" t="str">
        <x:v>Client 27</x:v>
      </x:c>
      <x:c r="I186" s="16" t="n">
        <x:v>45869</x:v>
      </x:c>
    </x:row>
    <x:row r="187">
      <x:c r="A187" t="str">
        <x:v>DV-2026-00186</x:v>
      </x:c>
      <x:c r="B187" s="16" t="n">
        <x:v>46261</x:v>
      </x:c>
      <x:c r="C187" t="str">
        <x:v>Client 19</x:v>
      </x:c>
      <x:c r="D187" t="str">
        <x:v>Fret maritime</x:v>
      </x:c>
      <x:c r="E187" t="str">
        <x:v>Pôle A</x:v>
      </x:c>
      <x:c r="F187" s="18" t="n">
        <x:v>12356.35</x:v>
      </x:c>
      <x:c r="G187" s="18" t="n">
        <x:v>12356.35</x:v>
      </x:c>
      <x:c r="H187" t="str">
        <x:v>Client 19</x:v>
      </x:c>
      <x:c r="I187" s="16" t="n">
        <x:v>46326</x:v>
      </x:c>
    </x:row>
    <x:row r="188">
      <x:c r="A188" t="str">
        <x:v>DV-2024-00187</x:v>
      </x:c>
      <x:c r="B188" s="16" t="n">
        <x:v>45572</x:v>
      </x:c>
      <x:c r="C188" t="str">
        <x:v>Client 14</x:v>
      </x:c>
      <x:c r="D188" t="str">
        <x:v>Fret maritime</x:v>
      </x:c>
      <x:c r="E188" t="str">
        <x:v>Pôle E</x:v>
      </x:c>
      <x:c r="F188" s="18" t="n">
        <x:v>915.12</x:v>
      </x:c>
      <x:c r="G188" s="18" t="n">
        <x:v>331.67</x:v>
      </x:c>
      <x:c r="H188" t="str">
        <x:v>Client 14</x:v>
      </x:c>
      <x:c r="I188" s="16" t="n">
        <x:v>45606</x:v>
      </x:c>
    </x:row>
    <x:row r="189">
      <x:c r="A189" t="str">
        <x:v>DV-2025-00188</x:v>
      </x:c>
      <x:c r="B189" s="16" t="n">
        <x:v>46005</x:v>
      </x:c>
      <x:c r="C189" t="str">
        <x:v>Client 14</x:v>
      </x:c>
      <x:c r="D189" t="str">
        <x:v>Fret aérien</x:v>
      </x:c>
      <x:c r="E189" t="str">
        <x:v>Pôle E</x:v>
      </x:c>
      <x:c r="F189" s="18" t="n">
        <x:v>12347.4</x:v>
      </x:c>
      <x:c r="G189" s="18" t="n">
        <x:v>12347.4</x:v>
      </x:c>
      <x:c r="H189" t="str">
        <x:v>Client 14</x:v>
      </x:c>
      <x:c r="I189" s="16" t="n">
        <x:v>46052</x:v>
      </x:c>
    </x:row>
    <x:row r="190">
      <x:c r="A190" t="str">
        <x:v>DV-2025-00189</x:v>
      </x:c>
      <x:c r="B190" s="16" t="n">
        <x:v>45828</x:v>
      </x:c>
      <x:c r="C190" t="str">
        <x:v>Client 19</x:v>
      </x:c>
      <x:c r="D190" t="str">
        <x:v>Fret maritime</x:v>
      </x:c>
      <x:c r="E190" t="str">
        <x:v>Pôle D</x:v>
      </x:c>
      <x:c r="F190" s="18" t="n">
        <x:v>3935.45</x:v>
      </x:c>
      <x:c r="G190" s="18" t="n">
        <x:v>2889.48</x:v>
      </x:c>
      <x:c r="H190" t="str">
        <x:v>Client 46</x:v>
      </x:c>
      <x:c r="I190" s="16" t="n">
        <x:v>45850</x:v>
      </x:c>
    </x:row>
    <x:row r="191">
      <x:c r="A191" t="str">
        <x:v>DV-2026-00190</x:v>
      </x:c>
      <x:c r="B191" s="16" t="n">
        <x:v>46104</x:v>
      </x:c>
      <x:c r="C191" t="str">
        <x:v>Client 16</x:v>
      </x:c>
      <x:c r="D191" t="str">
        <x:v>Fret aérien</x:v>
      </x:c>
      <x:c r="E191" t="str">
        <x:v>Pôle B</x:v>
      </x:c>
      <x:c r="F191" s="18" t="n">
        <x:v>23116.01</x:v>
      </x:c>
      <x:c r="G191" s="18" t="n">
        <x:v>23116.01</x:v>
      </x:c>
      <x:c r="H191" t="str">
        <x:v>Client 16</x:v>
      </x:c>
      <x:c r="I191" s="16" t="n">
        <x:v>46167</x:v>
      </x:c>
    </x:row>
    <x:row r="192">
      <x:c r="A192" t="str">
        <x:v>DV-2024-00191</x:v>
      </x:c>
      <x:c r="B192" s="16" t="n">
        <x:v>45322</x:v>
      </x:c>
      <x:c r="C192" t="str">
        <x:v>Client 13</x:v>
      </x:c>
      <x:c r="D192" t="str">
        <x:v>Fret maritime</x:v>
      </x:c>
      <x:c r="E192" t="str">
        <x:v>Pôle C</x:v>
      </x:c>
      <x:c r="F192" s="18" t="n">
        <x:v>6619.79</x:v>
      </x:c>
      <x:c r="G192" s="18" t="n">
        <x:v>6619.79</x:v>
      </x:c>
      <x:c r="H192" t="str">
        <x:v>Client 13</x:v>
      </x:c>
      <x:c r="I192" s="16" t="n">
        <x:v>45373</x:v>
      </x:c>
    </x:row>
    <x:row r="193">
      <x:c r="A193" t="str">
        <x:v>DV-2024-00192</x:v>
      </x:c>
      <x:c r="B193" s="16" t="n">
        <x:v>45428</x:v>
      </x:c>
      <x:c r="C193" t="str">
        <x:v>Client 48</x:v>
      </x:c>
      <x:c r="D193" t="str">
        <x:v>Fret aérien</x:v>
      </x:c>
      <x:c r="E193" t="str">
        <x:v>Pôle B</x:v>
      </x:c>
      <x:c r="F193" s="18" t="n">
        <x:v>23392.78</x:v>
      </x:c>
      <x:c r="G193" s="18" t="n">
        <x:v>23392.78</x:v>
      </x:c>
      <x:c r="H193" t="str">
        <x:v>Client 48</x:v>
      </x:c>
      <x:c r="I193" s="16" t="n">
        <x:v>45503</x:v>
      </x:c>
    </x:row>
    <x:row r="194">
      <x:c r="A194" t="str">
        <x:v>DV-2024-00193</x:v>
      </x:c>
      <x:c r="B194" s="16" t="n">
        <x:v>45541</x:v>
      </x:c>
      <x:c r="C194" t="str">
        <x:v>Client 10</x:v>
      </x:c>
      <x:c r="D194" t="str">
        <x:v>Fret maritime</x:v>
      </x:c>
      <x:c r="E194" t="str">
        <x:v>Pôle C</x:v>
      </x:c>
      <x:c r="F194" s="18" t="n">
        <x:v>9477.19</x:v>
      </x:c>
      <x:c r="G194" s="18" t="n">
        <x:v>9477.19</x:v>
      </x:c>
      <x:c r="H194" t="str">
        <x:v>Client 09</x:v>
      </x:c>
      <x:c r="I194" s="16" t="n">
        <x:v>45569</x:v>
      </x:c>
    </x:row>
    <x:row r="195">
      <x:c r="A195" t="str">
        <x:v>DV-2026-00194</x:v>
      </x:c>
      <x:c r="B195" s="16" t="n">
        <x:v>46164</x:v>
      </x:c>
      <x:c r="C195" t="str">
        <x:v>Client 10</x:v>
      </x:c>
      <x:c r="D195" t="str">
        <x:v>Logistique</x:v>
      </x:c>
      <x:c r="E195" t="str">
        <x:v>Pôle A</x:v>
      </x:c>
      <x:c r="F195" s="18" t="n">
        <x:v>21107.56</x:v>
      </x:c>
      <x:c r="G195" s="18" t="n">
        <x:v>21107.56</x:v>
      </x:c>
      <x:c r="H195" t="str">
        <x:v>Client 10</x:v>
      </x:c>
      <x:c r="I195" s="16" t="n">
        <x:v>46250</x:v>
      </x:c>
    </x:row>
    <x:row r="196">
      <x:c r="A196" t="str">
        <x:v>DV-2026-00195</x:v>
      </x:c>
      <x:c r="B196" s="16" t="n">
        <x:v>46095</x:v>
      </x:c>
      <x:c r="C196" t="str">
        <x:v>Client 31</x:v>
      </x:c>
      <x:c r="D196" t="str">
        <x:v>Logistique</x:v>
      </x:c>
      <x:c r="E196" t="str">
        <x:v>Pôle D</x:v>
      </x:c>
      <x:c r="F196" s="18" t="n">
        <x:v>20307.62</x:v>
      </x:c>
      <x:c r="G196" s="18" t="n">
        <x:v>0</x:v>
      </x:c>
      <x:c r="H196" t="str">
        <x:v>Client 31</x:v>
      </x:c>
      <x:c r="I196" s="16"/>
    </x:row>
    <x:row r="197">
      <x:c r="A197" t="str">
        <x:v>DV-2024-00196</x:v>
      </x:c>
      <x:c r="B197" s="16" t="n">
        <x:v>45556</x:v>
      </x:c>
      <x:c r="C197" t="str">
        <x:v>Client 44</x:v>
      </x:c>
      <x:c r="D197" t="str">
        <x:v>Fret aérien</x:v>
      </x:c>
      <x:c r="E197" t="str">
        <x:v>Pôle E</x:v>
      </x:c>
      <x:c r="F197" s="18" t="n">
        <x:v>22522.28</x:v>
      </x:c>
      <x:c r="G197" s="18" t="n">
        <x:v>22522.28</x:v>
      </x:c>
      <x:c r="H197" t="str">
        <x:v>Client 44</x:v>
      </x:c>
      <x:c r="I197" s="16" t="n">
        <x:v>45627</x:v>
      </x:c>
    </x:row>
    <x:row r="198">
      <x:c r="A198" t="str">
        <x:v>DV-2025-00197</x:v>
      </x:c>
      <x:c r="B198" s="16" t="n">
        <x:v>46022</x:v>
      </x:c>
      <x:c r="C198" t="str">
        <x:v>Client 13</x:v>
      </x:c>
      <x:c r="D198" t="str">
        <x:v>Fret maritime</x:v>
      </x:c>
      <x:c r="E198" t="str">
        <x:v>Pôle A</x:v>
      </x:c>
      <x:c r="F198" s="18" t="n">
        <x:v>3925.44</x:v>
      </x:c>
      <x:c r="G198" s="18" t="n">
        <x:v>3925.44</x:v>
      </x:c>
      <x:c r="H198" t="str">
        <x:v>Client 13</x:v>
      </x:c>
      <x:c r="I198" s="16" t="n">
        <x:v>46086</x:v>
      </x:c>
    </x:row>
    <x:row r="199">
      <x:c r="A199" t="str">
        <x:v>DV-2024-00198</x:v>
      </x:c>
      <x:c r="B199" s="16" t="n">
        <x:v>45431</x:v>
      </x:c>
      <x:c r="C199" t="str">
        <x:v>Client 06</x:v>
      </x:c>
      <x:c r="D199" t="str">
        <x:v>Fret aérien</x:v>
      </x:c>
      <x:c r="E199" t="str">
        <x:v>Pôle C</x:v>
      </x:c>
      <x:c r="F199" s="18" t="n">
        <x:v>1290.77</x:v>
      </x:c>
      <x:c r="G199" s="18" t="n">
        <x:v>1290.77</x:v>
      </x:c>
      <x:c r="H199" t="str">
        <x:v>Client 06</x:v>
      </x:c>
      <x:c r="I199" s="16" t="n">
        <x:v>45489</x:v>
      </x:c>
    </x:row>
    <x:row r="200">
      <x:c r="A200" t="str">
        <x:v>DV-2025-00199</x:v>
      </x:c>
      <x:c r="B200" s="16" t="n">
        <x:v>45887</x:v>
      </x:c>
      <x:c r="C200" t="str">
        <x:v>Client 42</x:v>
      </x:c>
      <x:c r="D200" t="str">
        <x:v>Douane</x:v>
      </x:c>
      <x:c r="E200" t="str">
        <x:v>Pôle B</x:v>
      </x:c>
      <x:c r="F200" s="18" t="n">
        <x:v>6090.85</x:v>
      </x:c>
      <x:c r="G200" s="18" t="n">
        <x:v>6090.85</x:v>
      </x:c>
      <x:c r="H200" t="str">
        <x:v>Client 42</x:v>
      </x:c>
      <x:c r="I200" s="16" t="n">
        <x:v>45981</x:v>
      </x:c>
    </x:row>
    <x:row r="201">
      <x:c r="A201" t="str">
        <x:v>DV-2026-00200</x:v>
      </x:c>
      <x:c r="B201" s="16" t="n">
        <x:v>46254</x:v>
      </x:c>
      <x:c r="C201" t="str">
        <x:v>Client 31</x:v>
      </x:c>
      <x:c r="D201" t="str">
        <x:v>Fret maritime</x:v>
      </x:c>
      <x:c r="E201" t="str">
        <x:v>Pôle A</x:v>
      </x:c>
      <x:c r="F201" s="18" t="n">
        <x:v>23270.15</x:v>
      </x:c>
      <x:c r="G201" s="18" t="n">
        <x:v>0</x:v>
      </x:c>
      <x:c r="H201" t="str">
        <x:v>Client 31</x:v>
      </x:c>
      <x:c r="I201" s="16"/>
    </x:row>
    <x:row r="202">
      <x:c r="A202" t="str">
        <x:v>DV-2024-00201</x:v>
      </x:c>
      <x:c r="B202" s="16" t="n">
        <x:v>45470</x:v>
      </x:c>
      <x:c r="C202" t="str">
        <x:v>Client 13</x:v>
      </x:c>
      <x:c r="D202" t="str">
        <x:v>Express</x:v>
      </x:c>
      <x:c r="E202" t="str">
        <x:v>Pôle E</x:v>
      </x:c>
      <x:c r="F202" s="18" t="n">
        <x:v>12527.18</x:v>
      </x:c>
      <x:c r="G202" s="18" t="n">
        <x:v>12527.18</x:v>
      </x:c>
      <x:c r="H202" t="str">
        <x:v>Client 13</x:v>
      </x:c>
      <x:c r="I202" s="16" t="n">
        <x:v>45494</x:v>
      </x:c>
    </x:row>
    <x:row r="203">
      <x:c r="A203" t="str">
        <x:v>DV-2024-00202</x:v>
      </x:c>
      <x:c r="B203" s="16" t="n">
        <x:v>45299</x:v>
      </x:c>
      <x:c r="C203" t="str">
        <x:v>Client 27</x:v>
      </x:c>
      <x:c r="D203" t="str">
        <x:v>Express</x:v>
      </x:c>
      <x:c r="E203" t="str">
        <x:v>Pôle E</x:v>
      </x:c>
      <x:c r="F203" s="18" t="n">
        <x:v>2574.42</x:v>
      </x:c>
      <x:c r="G203" s="18" t="n">
        <x:v>2574.42</x:v>
      </x:c>
      <x:c r="H203" t="str">
        <x:v>Client 27</x:v>
      </x:c>
      <x:c r="I203" s="16" t="n">
        <x:v>45393</x:v>
      </x:c>
    </x:row>
    <x:row r="204">
      <x:c r="A204" t="str">
        <x:v>DV-2025-00203</x:v>
      </x:c>
      <x:c r="B204" s="16" t="n">
        <x:v>45922</x:v>
      </x:c>
      <x:c r="C204" t="str">
        <x:v>Client 46</x:v>
      </x:c>
      <x:c r="D204" t="str">
        <x:v>Douane</x:v>
      </x:c>
      <x:c r="E204" t="str">
        <x:v>Pôle E</x:v>
      </x:c>
      <x:c r="F204" s="18" t="n">
        <x:v>9581.09</x:v>
      </x:c>
      <x:c r="G204" s="18" t="n">
        <x:v>9581.09</x:v>
      </x:c>
      <x:c r="H204" t="str">
        <x:v>Client 46</x:v>
      </x:c>
      <x:c r="I204" s="16" t="n">
        <x:v>46012</x:v>
      </x:c>
    </x:row>
    <x:row r="205">
      <x:c r="A205" t="str">
        <x:v>DV-2024-00204</x:v>
      </x:c>
      <x:c r="B205" s="16" t="n">
        <x:v>45506</x:v>
      </x:c>
      <x:c r="C205" t="str">
        <x:v>Client 10</x:v>
      </x:c>
      <x:c r="D205" t="str">
        <x:v>Logistique</x:v>
      </x:c>
      <x:c r="E205" t="str">
        <x:v>Pôle D</x:v>
      </x:c>
      <x:c r="F205" s="18" t="n">
        <x:v>3238.42</x:v>
      </x:c>
      <x:c r="G205" s="18" t="n">
        <x:v>3238.42</x:v>
      </x:c>
      <x:c r="H205" t="str">
        <x:v>Client 10</x:v>
      </x:c>
      <x:c r="I205" s="16" t="n">
        <x:v>45539</x:v>
      </x:c>
    </x:row>
    <x:row r="206">
      <x:c r="A206" t="str">
        <x:v>DV-2026-00205</x:v>
      </x:c>
      <x:c r="B206" s="16" t="n">
        <x:v>46160</x:v>
      </x:c>
      <x:c r="C206" t="str">
        <x:v>Client 41</x:v>
      </x:c>
      <x:c r="D206" t="str">
        <x:v>Fret maritime</x:v>
      </x:c>
      <x:c r="E206" t="str">
        <x:v>Pôle E</x:v>
      </x:c>
      <x:c r="F206" s="18" t="n">
        <x:v>21793.53</x:v>
      </x:c>
      <x:c r="G206" s="18" t="n">
        <x:v>14672.3</x:v>
      </x:c>
      <x:c r="H206" t="str">
        <x:v>Client 41</x:v>
      </x:c>
      <x:c r="I206" s="16" t="n">
        <x:v>46212</x:v>
      </x:c>
    </x:row>
    <x:row r="207">
      <x:c r="A207" t="str">
        <x:v>DV-2024-00206</x:v>
      </x:c>
      <x:c r="B207" s="16" t="n">
        <x:v>45488</x:v>
      </x:c>
      <x:c r="C207" t="str">
        <x:v>Client 38</x:v>
      </x:c>
      <x:c r="D207" t="str">
        <x:v>Fret maritime</x:v>
      </x:c>
      <x:c r="E207" t="str">
        <x:v>Pôle D</x:v>
      </x:c>
      <x:c r="F207" s="18" t="n">
        <x:v>11804.4</x:v>
      </x:c>
      <x:c r="G207" s="18" t="n">
        <x:v>9982.32</x:v>
      </x:c>
      <x:c r="H207" t="str">
        <x:v>Client 35</x:v>
      </x:c>
      <x:c r="I207" s="16" t="n">
        <x:v>45503</x:v>
      </x:c>
    </x:row>
    <x:row r="208">
      <x:c r="A208" t="str">
        <x:v>DV-2024-00207</x:v>
      </x:c>
      <x:c r="B208" s="16" t="n">
        <x:v>45595</x:v>
      </x:c>
      <x:c r="C208" t="str">
        <x:v>Client 10</x:v>
      </x:c>
      <x:c r="D208" t="str">
        <x:v>Douane</x:v>
      </x:c>
      <x:c r="E208" t="str">
        <x:v>Pôle E</x:v>
      </x:c>
      <x:c r="F208" s="18" t="n">
        <x:v>3945.63</x:v>
      </x:c>
      <x:c r="G208" s="18" t="n">
        <x:v>3945.63</x:v>
      </x:c>
      <x:c r="H208" t="str">
        <x:v>Client 10</x:v>
      </x:c>
      <x:c r="I208" s="16" t="n">
        <x:v>45633</x:v>
      </x:c>
    </x:row>
    <x:row r="209">
      <x:c r="A209" t="str">
        <x:v>DV-2026-00208</x:v>
      </x:c>
      <x:c r="B209" s="16" t="n">
        <x:v>46172</x:v>
      </x:c>
      <x:c r="C209" t="str">
        <x:v>Client 03</x:v>
      </x:c>
      <x:c r="D209" t="str">
        <x:v>Fret aérien</x:v>
      </x:c>
      <x:c r="E209" t="str">
        <x:v>Pôle E</x:v>
      </x:c>
      <x:c r="F209" s="18" t="n">
        <x:v>5344.07</x:v>
      </x:c>
      <x:c r="G209" s="18" t="n">
        <x:v>5344.07</x:v>
      </x:c>
      <x:c r="H209" t="str">
        <x:v>Client 23</x:v>
      </x:c>
      <x:c r="I209" s="16" t="n">
        <x:v>46266</x:v>
      </x:c>
    </x:row>
    <x:row r="210">
      <x:c r="A210" t="str">
        <x:v>DV-2026-00209</x:v>
      </x:c>
      <x:c r="B210" s="16" t="n">
        <x:v>46029</x:v>
      </x:c>
      <x:c r="C210" t="str">
        <x:v>Client 02</x:v>
      </x:c>
      <x:c r="D210" t="str">
        <x:v>Fret aérien</x:v>
      </x:c>
      <x:c r="E210" t="str">
        <x:v>Pôle E</x:v>
      </x:c>
      <x:c r="F210" s="18" t="n">
        <x:v>13450.66</x:v>
      </x:c>
      <x:c r="G210" s="18" t="n">
        <x:v>13450.66</x:v>
      </x:c>
      <x:c r="H210" t="str">
        <x:v>Client 02</x:v>
      </x:c>
      <x:c r="I210" s="16" t="n">
        <x:v>46121</x:v>
      </x:c>
    </x:row>
    <x:row r="211">
      <x:c r="A211" t="str">
        <x:v>DV-2024-00210</x:v>
      </x:c>
      <x:c r="B211" s="16" t="n">
        <x:v>45419</x:v>
      </x:c>
      <x:c r="C211" t="str">
        <x:v>Client 04</x:v>
      </x:c>
      <x:c r="D211" t="str">
        <x:v>Logistique</x:v>
      </x:c>
      <x:c r="E211" t="str">
        <x:v>Pôle E</x:v>
      </x:c>
      <x:c r="F211" s="18" t="n">
        <x:v>19512.27</x:v>
      </x:c>
      <x:c r="G211" s="18" t="n">
        <x:v>8428.66</x:v>
      </x:c>
      <x:c r="H211" t="str">
        <x:v>Client 04</x:v>
      </x:c>
      <x:c r="I211" s="16" t="n">
        <x:v>45479</x:v>
      </x:c>
    </x:row>
    <x:row r="212">
      <x:c r="A212" t="str">
        <x:v>DV-2025-00211</x:v>
      </x:c>
      <x:c r="B212" s="16" t="n">
        <x:v>45682</x:v>
      </x:c>
      <x:c r="C212" t="str">
        <x:v>Client 18</x:v>
      </x:c>
      <x:c r="D212" t="str">
        <x:v>Logistique</x:v>
      </x:c>
      <x:c r="E212" t="str">
        <x:v>Pôle E</x:v>
      </x:c>
      <x:c r="F212" s="18" t="n">
        <x:v>24317.77</x:v>
      </x:c>
      <x:c r="G212" s="18" t="n">
        <x:v>24317.77</x:v>
      </x:c>
      <x:c r="H212" t="str">
        <x:v>Client 18</x:v>
      </x:c>
      <x:c r="I212" s="16" t="n">
        <x:v>45713</x:v>
      </x:c>
    </x:row>
    <x:row r="213">
      <x:c r="A213" t="str">
        <x:v>DV-2025-00212</x:v>
      </x:c>
      <x:c r="B213" s="16" t="n">
        <x:v>45860</x:v>
      </x:c>
      <x:c r="C213" t="str">
        <x:v>Client 11</x:v>
      </x:c>
      <x:c r="D213" t="str">
        <x:v>Douane</x:v>
      </x:c>
      <x:c r="E213" t="str">
        <x:v>Pôle C</x:v>
      </x:c>
      <x:c r="F213" s="18" t="n">
        <x:v>13509.3</x:v>
      </x:c>
      <x:c r="G213" s="18" t="n">
        <x:v>10581.61</x:v>
      </x:c>
      <x:c r="H213" t="str">
        <x:v>Client 11</x:v>
      </x:c>
      <x:c r="I213" s="16" t="n">
        <x:v>45877</x:v>
      </x:c>
    </x:row>
    <x:row r="214">
      <x:c r="A214" t="str">
        <x:v>DV-2024-00213</x:v>
      </x:c>
      <x:c r="B214" s="16" t="n">
        <x:v>45596</x:v>
      </x:c>
      <x:c r="C214" t="str">
        <x:v>Client 13</x:v>
      </x:c>
      <x:c r="D214" t="str">
        <x:v>Douane</x:v>
      </x:c>
      <x:c r="E214" t="str">
        <x:v>Pôle B</x:v>
      </x:c>
      <x:c r="F214" s="18" t="n">
        <x:v>2168.39</x:v>
      </x:c>
      <x:c r="G214" s="18" t="n">
        <x:v>1222.05</x:v>
      </x:c>
      <x:c r="H214" t="str">
        <x:v>Client 13</x:v>
      </x:c>
      <x:c r="I214" s="16" t="n">
        <x:v>45622</x:v>
      </x:c>
    </x:row>
    <x:row r="215">
      <x:c r="A215" t="str">
        <x:v>DV-2024-00214</x:v>
      </x:c>
      <x:c r="B215" s="16" t="n">
        <x:v>45375</x:v>
      </x:c>
      <x:c r="C215" t="str">
        <x:v>Client 48</x:v>
      </x:c>
      <x:c r="D215" t="str">
        <x:v>Douane</x:v>
      </x:c>
      <x:c r="E215" t="str">
        <x:v>Pôle C</x:v>
      </x:c>
      <x:c r="F215" s="18" t="n">
        <x:v>22589.22</x:v>
      </x:c>
      <x:c r="G215" s="18" t="n">
        <x:v>22589.22</x:v>
      </x:c>
      <x:c r="H215" t="str">
        <x:v>Client 38</x:v>
      </x:c>
      <x:c r="I215" s="16" t="n">
        <x:v>45457</x:v>
      </x:c>
    </x:row>
    <x:row r="216">
      <x:c r="A216" t="str">
        <x:v>DV-2024-00215</x:v>
      </x:c>
      <x:c r="B216" s="16" t="n">
        <x:v>45647</x:v>
      </x:c>
      <x:c r="C216" t="str">
        <x:v>Client 21</x:v>
      </x:c>
      <x:c r="D216" t="str">
        <x:v>Fret maritime</x:v>
      </x:c>
      <x:c r="E216" t="str">
        <x:v>Pôle E</x:v>
      </x:c>
      <x:c r="F216" s="18" t="n">
        <x:v>8407.38</x:v>
      </x:c>
      <x:c r="G216" s="18" t="n">
        <x:v>8407.38</x:v>
      </x:c>
      <x:c r="H216" t="str">
        <x:v>Client 21</x:v>
      </x:c>
      <x:c r="I216" s="16" t="n">
        <x:v>45711</x:v>
      </x:c>
    </x:row>
    <x:row r="217">
      <x:c r="A217" t="str">
        <x:v>DV-2024-00216</x:v>
      </x:c>
      <x:c r="B217" s="16" t="n">
        <x:v>45429</x:v>
      </x:c>
      <x:c r="C217" t="str">
        <x:v>Client 42</x:v>
      </x:c>
      <x:c r="D217" t="str">
        <x:v>Logistique</x:v>
      </x:c>
      <x:c r="E217" t="str">
        <x:v>Pôle A</x:v>
      </x:c>
      <x:c r="F217" s="18" t="n">
        <x:v>15512.37</x:v>
      </x:c>
      <x:c r="G217" s="18" t="n">
        <x:v>15512.37</x:v>
      </x:c>
      <x:c r="H217" t="str">
        <x:v>Client 42</x:v>
      </x:c>
      <x:c r="I217" s="16" t="n">
        <x:v>45465</x:v>
      </x:c>
    </x:row>
    <x:row r="218">
      <x:c r="A218" t="str">
        <x:v>DV-2026-00217</x:v>
      </x:c>
      <x:c r="B218" s="16" t="n">
        <x:v>46195</x:v>
      </x:c>
      <x:c r="C218" t="str">
        <x:v>Client 31</x:v>
      </x:c>
      <x:c r="D218" t="str">
        <x:v>Fret aérien</x:v>
      </x:c>
      <x:c r="E218" t="str">
        <x:v>Pôle B</x:v>
      </x:c>
      <x:c r="F218" s="18" t="n">
        <x:v>19698.41</x:v>
      </x:c>
      <x:c r="G218" s="18" t="n">
        <x:v>19698.41</x:v>
      </x:c>
      <x:c r="H218" t="str">
        <x:v>Client 31</x:v>
      </x:c>
      <x:c r="I218" s="16" t="n">
        <x:v>46254</x:v>
      </x:c>
    </x:row>
    <x:row r="219">
      <x:c r="A219" t="str">
        <x:v>DV-2024-00218</x:v>
      </x:c>
      <x:c r="B219" s="16" t="n">
        <x:v>45613</x:v>
      </x:c>
      <x:c r="C219" t="str">
        <x:v>Client 13</x:v>
      </x:c>
      <x:c r="D219" t="str">
        <x:v>Fret maritime</x:v>
      </x:c>
      <x:c r="E219" t="str">
        <x:v>Pôle A</x:v>
      </x:c>
      <x:c r="F219" s="18" t="n">
        <x:v>10675.55</x:v>
      </x:c>
      <x:c r="G219" s="18" t="n">
        <x:v>10675.55</x:v>
      </x:c>
      <x:c r="H219" t="str">
        <x:v>Client 42</x:v>
      </x:c>
      <x:c r="I219" s="16" t="n">
        <x:v>45666</x:v>
      </x:c>
    </x:row>
    <x:row r="220">
      <x:c r="A220" t="str">
        <x:v>DV-2025-00219</x:v>
      </x:c>
      <x:c r="B220" s="16" t="n">
        <x:v>45756</x:v>
      </x:c>
      <x:c r="C220" t="str">
        <x:v>Client 22</x:v>
      </x:c>
      <x:c r="D220" t="str">
        <x:v>Douane</x:v>
      </x:c>
      <x:c r="E220" t="str">
        <x:v>Pôle E</x:v>
      </x:c>
      <x:c r="F220" s="18" t="n">
        <x:v>12247.94</x:v>
      </x:c>
      <x:c r="G220" s="18" t="n">
        <x:v>12247.94</x:v>
      </x:c>
      <x:c r="H220" t="str">
        <x:v>Client 22</x:v>
      </x:c>
      <x:c r="I220" s="16" t="n">
        <x:v>45789</x:v>
      </x:c>
    </x:row>
    <x:row r="221">
      <x:c r="A221" t="str">
        <x:v>DV-2025-00220</x:v>
      </x:c>
      <x:c r="B221" s="16" t="n">
        <x:v>45804</x:v>
      </x:c>
      <x:c r="C221" t="str">
        <x:v>Client 42</x:v>
      </x:c>
      <x:c r="D221" t="str">
        <x:v>Douane</x:v>
      </x:c>
      <x:c r="E221" t="str">
        <x:v>Pôle C</x:v>
      </x:c>
      <x:c r="F221" s="18" t="n">
        <x:v>1606.66</x:v>
      </x:c>
      <x:c r="G221" s="18" t="n">
        <x:v>1606.66</x:v>
      </x:c>
      <x:c r="H221" t="str">
        <x:v>Client 42</x:v>
      </x:c>
      <x:c r="I221" s="16" t="n">
        <x:v>45807</x:v>
      </x:c>
    </x:row>
    <x:row r="222">
      <x:c r="A222" t="str">
        <x:v>DV-2024-00221</x:v>
      </x:c>
      <x:c r="B222" s="16" t="n">
        <x:v>45472</x:v>
      </x:c>
      <x:c r="C222" t="str">
        <x:v>Client 35</x:v>
      </x:c>
      <x:c r="D222" t="str">
        <x:v>Fret aérien</x:v>
      </x:c>
      <x:c r="E222" t="str">
        <x:v>Pôle A</x:v>
      </x:c>
      <x:c r="F222" s="18" t="n">
        <x:v>21170.18</x:v>
      </x:c>
      <x:c r="G222" s="18" t="n">
        <x:v>21170.18</x:v>
      </x:c>
      <x:c r="H222" t="str">
        <x:v>Client 35</x:v>
      </x:c>
      <x:c r="I222" s="16" t="n">
        <x:v>45567</x:v>
      </x:c>
    </x:row>
    <x:row r="223">
      <x:c r="A223" t="str">
        <x:v>DV-2026-00222</x:v>
      </x:c>
      <x:c r="B223" s="16" t="n">
        <x:v>46191</x:v>
      </x:c>
      <x:c r="C223" t="str">
        <x:v>Client 09</x:v>
      </x:c>
      <x:c r="D223" t="str">
        <x:v>Fret aérien</x:v>
      </x:c>
      <x:c r="E223" t="str">
        <x:v>Pôle D</x:v>
      </x:c>
      <x:c r="F223" s="18" t="n">
        <x:v>511.04</x:v>
      </x:c>
      <x:c r="G223" s="18" t="n">
        <x:v>511.04</x:v>
      </x:c>
      <x:c r="H223" t="str">
        <x:v>Client 09</x:v>
      </x:c>
      <x:c r="I223" s="16" t="n">
        <x:v>46241</x:v>
      </x:c>
    </x:row>
    <x:row r="224">
      <x:c r="A224" t="str">
        <x:v>DV-2024-00223</x:v>
      </x:c>
      <x:c r="B224" s="16" t="n">
        <x:v>45380</x:v>
      </x:c>
      <x:c r="C224" t="str">
        <x:v>Client 49</x:v>
      </x:c>
      <x:c r="D224" t="str">
        <x:v>Logistique</x:v>
      </x:c>
      <x:c r="E224" t="str">
        <x:v>Pôle A</x:v>
      </x:c>
      <x:c r="F224" s="18" t="n">
        <x:v>10502.92</x:v>
      </x:c>
      <x:c r="G224" s="18" t="n">
        <x:v>0</x:v>
      </x:c>
      <x:c r="H224" t="str">
        <x:v>Client 49</x:v>
      </x:c>
      <x:c r="I224" s="16"/>
    </x:row>
    <x:row r="225">
      <x:c r="A225" t="str">
        <x:v>DV-2025-00224</x:v>
      </x:c>
      <x:c r="B225" s="16" t="n">
        <x:v>45749</x:v>
      </x:c>
      <x:c r="C225" t="str">
        <x:v>Client 39</x:v>
      </x:c>
      <x:c r="D225" t="str">
        <x:v>Douane</x:v>
      </x:c>
      <x:c r="E225" t="str">
        <x:v>Pôle D</x:v>
      </x:c>
      <x:c r="F225" s="18" t="n">
        <x:v>9579.07</x:v>
      </x:c>
      <x:c r="G225" s="18" t="n">
        <x:v>9579.07</x:v>
      </x:c>
      <x:c r="H225" t="str">
        <x:v>Client 39</x:v>
      </x:c>
      <x:c r="I225" s="16" t="n">
        <x:v>45767</x:v>
      </x:c>
    </x:row>
    <x:row r="226">
      <x:c r="A226" t="str">
        <x:v>DV-2026-00225</x:v>
      </x:c>
      <x:c r="B226" s="16" t="n">
        <x:v>46145</x:v>
      </x:c>
      <x:c r="C226" t="str">
        <x:v>Client 30</x:v>
      </x:c>
      <x:c r="D226" t="str">
        <x:v>Express</x:v>
      </x:c>
      <x:c r="E226" t="str">
        <x:v>Pôle C</x:v>
      </x:c>
      <x:c r="F226" s="18" t="n">
        <x:v>4637.46</x:v>
      </x:c>
      <x:c r="G226" s="18" t="n">
        <x:v>4637.46</x:v>
      </x:c>
      <x:c r="H226" t="str">
        <x:v>Client 30</x:v>
      </x:c>
      <x:c r="I226" s="16" t="n">
        <x:v>46219</x:v>
      </x:c>
    </x:row>
    <x:row r="227">
      <x:c r="A227" t="str">
        <x:v>DV-2024-00226</x:v>
      </x:c>
      <x:c r="B227" s="16" t="n">
        <x:v>45610</x:v>
      </x:c>
      <x:c r="C227" t="str">
        <x:v>Client 26</x:v>
      </x:c>
      <x:c r="D227" t="str">
        <x:v>Fret aérien</x:v>
      </x:c>
      <x:c r="E227" t="str">
        <x:v>Pôle E</x:v>
      </x:c>
      <x:c r="F227" s="18" t="n">
        <x:v>3804.44</x:v>
      </x:c>
      <x:c r="G227" s="18" t="n">
        <x:v>3804.44</x:v>
      </x:c>
      <x:c r="H227" t="str">
        <x:v>Client 26</x:v>
      </x:c>
      <x:c r="I227" s="16" t="n">
        <x:v>45670</x:v>
      </x:c>
    </x:row>
    <x:row r="228">
      <x:c r="A228" t="str">
        <x:v>DV-2026-00227</x:v>
      </x:c>
      <x:c r="B228" s="16" t="n">
        <x:v>46190</x:v>
      </x:c>
      <x:c r="C228" t="str">
        <x:v>Client 07</x:v>
      </x:c>
      <x:c r="D228" t="str">
        <x:v>Express</x:v>
      </x:c>
      <x:c r="E228" t="str">
        <x:v>Pôle E</x:v>
      </x:c>
      <x:c r="F228" s="18" t="n">
        <x:v>13855.13</x:v>
      </x:c>
      <x:c r="G228" s="18" t="n">
        <x:v>13855.13</x:v>
      </x:c>
      <x:c r="H228" t="str">
        <x:v>Client 07</x:v>
      </x:c>
      <x:c r="I228" s="16" t="n">
        <x:v>46238</x:v>
      </x:c>
    </x:row>
    <x:row r="229">
      <x:c r="A229" t="str">
        <x:v>DV-2025-00228</x:v>
      </x:c>
      <x:c r="B229" s="16" t="n">
        <x:v>45851</x:v>
      </x:c>
      <x:c r="C229" t="str">
        <x:v>Client 20</x:v>
      </x:c>
      <x:c r="D229" t="str">
        <x:v>Logistique</x:v>
      </x:c>
      <x:c r="E229" t="str">
        <x:v>Pôle C</x:v>
      </x:c>
      <x:c r="F229" s="18" t="n">
        <x:v>1937.84</x:v>
      </x:c>
      <x:c r="G229" s="18" t="n">
        <x:v>840.91</x:v>
      </x:c>
      <x:c r="H229" t="str">
        <x:v>Client 20</x:v>
      </x:c>
      <x:c r="I229" s="16" t="n">
        <x:v>45864</x:v>
      </x:c>
    </x:row>
    <x:row r="230">
      <x:c r="A230" t="str">
        <x:v>DV-2025-00229</x:v>
      </x:c>
      <x:c r="B230" s="16" t="n">
        <x:v>45800</x:v>
      </x:c>
      <x:c r="C230" t="str">
        <x:v>Client 39</x:v>
      </x:c>
      <x:c r="D230" t="str">
        <x:v>Fret aérien</x:v>
      </x:c>
      <x:c r="E230" t="str">
        <x:v>Pôle D</x:v>
      </x:c>
      <x:c r="F230" s="18" t="n">
        <x:v>4692.09</x:v>
      </x:c>
      <x:c r="G230" s="18" t="n">
        <x:v>4692.09</x:v>
      </x:c>
      <x:c r="H230" t="str">
        <x:v>Client 38</x:v>
      </x:c>
      <x:c r="I230" s="16" t="n">
        <x:v>45886</x:v>
      </x:c>
    </x:row>
    <x:row r="231">
      <x:c r="A231" t="str">
        <x:v>DV-2024-00230</x:v>
      </x:c>
      <x:c r="B231" s="16" t="n">
        <x:v>45512</x:v>
      </x:c>
      <x:c r="C231" t="str">
        <x:v>Client 29</x:v>
      </x:c>
      <x:c r="D231" t="str">
        <x:v>Fret aérien</x:v>
      </x:c>
      <x:c r="E231" t="str">
        <x:v>Pôle A</x:v>
      </x:c>
      <x:c r="F231" s="18" t="n">
        <x:v>7635.94</x:v>
      </x:c>
      <x:c r="G231" s="18" t="n">
        <x:v>7635.94</x:v>
      </x:c>
      <x:c r="H231" t="str">
        <x:v>Client 29</x:v>
      </x:c>
      <x:c r="I231" s="16" t="n">
        <x:v>45542</x:v>
      </x:c>
    </x:row>
    <x:row r="232">
      <x:c r="A232" t="str">
        <x:v>DV-2026-00231</x:v>
      </x:c>
      <x:c r="B232" s="16" t="n">
        <x:v>46280</x:v>
      </x:c>
      <x:c r="C232" t="str">
        <x:v>Client 13</x:v>
      </x:c>
      <x:c r="D232" t="str">
        <x:v>Fret maritime</x:v>
      </x:c>
      <x:c r="E232" t="str">
        <x:v>Pôle B</x:v>
      </x:c>
      <x:c r="F232" s="18" t="n">
        <x:v>18506.28</x:v>
      </x:c>
      <x:c r="G232" s="18" t="n">
        <x:v>18506.28</x:v>
      </x:c>
      <x:c r="H232" t="str">
        <x:v>Client 13</x:v>
      </x:c>
      <x:c r="I232" s="16" t="n">
        <x:v>46288</x:v>
      </x:c>
    </x:row>
    <x:row r="233">
      <x:c r="A233" t="str">
        <x:v>DV-2024-00232</x:v>
      </x:c>
      <x:c r="B233" s="16" t="n">
        <x:v>45505</x:v>
      </x:c>
      <x:c r="C233" t="str">
        <x:v>Client 34</x:v>
      </x:c>
      <x:c r="D233" t="str">
        <x:v>Fret maritime</x:v>
      </x:c>
      <x:c r="E233" t="str">
        <x:v>Pôle B</x:v>
      </x:c>
      <x:c r="F233" s="18" t="n">
        <x:v>14069.55</x:v>
      </x:c>
      <x:c r="G233" s="18" t="n">
        <x:v>14069.55</x:v>
      </x:c>
      <x:c r="H233" t="str">
        <x:v>Client 34</x:v>
      </x:c>
      <x:c r="I233" s="16" t="n">
        <x:v>45597</x:v>
      </x:c>
    </x:row>
    <x:row r="234">
      <x:c r="A234" t="str">
        <x:v>DV-2025-00233</x:v>
      </x:c>
      <x:c r="B234" s="16" t="n">
        <x:v>45739</x:v>
      </x:c>
      <x:c r="C234" t="str">
        <x:v>Client 12</x:v>
      </x:c>
      <x:c r="D234" t="str">
        <x:v>Logistique</x:v>
      </x:c>
      <x:c r="E234" t="str">
        <x:v>Pôle C</x:v>
      </x:c>
      <x:c r="F234" s="18" t="n">
        <x:v>22839.68</x:v>
      </x:c>
      <x:c r="G234" s="18" t="n">
        <x:v>8820.92</x:v>
      </x:c>
      <x:c r="H234" t="str">
        <x:v>Client 12</x:v>
      </x:c>
      <x:c r="I234" s="16" t="n">
        <x:v>45753</x:v>
      </x:c>
    </x:row>
    <x:row r="235">
      <x:c r="A235" t="str">
        <x:v>DV-2026-00234</x:v>
      </x:c>
      <x:c r="B235" s="16" t="n">
        <x:v>46257</x:v>
      </x:c>
      <x:c r="C235" t="str">
        <x:v>Client 13</x:v>
      </x:c>
      <x:c r="D235" t="str">
        <x:v>Logistique</x:v>
      </x:c>
      <x:c r="E235" t="str">
        <x:v>Pôle B</x:v>
      </x:c>
      <x:c r="F235" s="18" t="n">
        <x:v>9350.37</x:v>
      </x:c>
      <x:c r="G235" s="18" t="n">
        <x:v>0</x:v>
      </x:c>
      <x:c r="H235" t="str">
        <x:v>Client 13</x:v>
      </x:c>
      <x:c r="I235" s="16"/>
    </x:row>
    <x:row r="236">
      <x:c r="A236" t="str">
        <x:v>DV-2026-00235</x:v>
      </x:c>
      <x:c r="B236" s="16" t="n">
        <x:v>46136</x:v>
      </x:c>
      <x:c r="C236" t="str">
        <x:v>Client 10</x:v>
      </x:c>
      <x:c r="D236" t="str">
        <x:v>Douane</x:v>
      </x:c>
      <x:c r="E236" t="str">
        <x:v>Pôle D</x:v>
      </x:c>
      <x:c r="F236" s="18" t="n">
        <x:v>23650.06</x:v>
      </x:c>
      <x:c r="G236" s="18" t="n">
        <x:v>23650.06</x:v>
      </x:c>
      <x:c r="H236" t="str">
        <x:v>Client 10</x:v>
      </x:c>
      <x:c r="I236" s="16" t="n">
        <x:v>46216</x:v>
      </x:c>
    </x:row>
    <x:row r="237">
      <x:c r="A237" t="str">
        <x:v>DV-2024-00236</x:v>
      </x:c>
      <x:c r="B237" s="16" t="n">
        <x:v>45648</x:v>
      </x:c>
      <x:c r="C237" t="str">
        <x:v>Client 11</x:v>
      </x:c>
      <x:c r="D237" t="str">
        <x:v>Douane</x:v>
      </x:c>
      <x:c r="E237" t="str">
        <x:v>Pôle E</x:v>
      </x:c>
      <x:c r="F237" s="18" t="n">
        <x:v>3323.82</x:v>
      </x:c>
      <x:c r="G237" s="18" t="n">
        <x:v>3323.82</x:v>
      </x:c>
      <x:c r="H237" t="str">
        <x:v>Client 11</x:v>
      </x:c>
      <x:c r="I237" s="16" t="n">
        <x:v>45655</x:v>
      </x:c>
    </x:row>
    <x:row r="238">
      <x:c r="A238" t="str">
        <x:v>DV-2025-00237</x:v>
      </x:c>
      <x:c r="B238" s="16" t="n">
        <x:v>45758</x:v>
      </x:c>
      <x:c r="C238" t="str">
        <x:v>Client 19</x:v>
      </x:c>
      <x:c r="D238" t="str">
        <x:v>Logistique</x:v>
      </x:c>
      <x:c r="E238" t="str">
        <x:v>Pôle D</x:v>
      </x:c>
      <x:c r="F238" s="18" t="n">
        <x:v>24146.27</x:v>
      </x:c>
      <x:c r="G238" s="18" t="n">
        <x:v>24146.27</x:v>
      </x:c>
      <x:c r="H238" t="str">
        <x:v>Client 19</x:v>
      </x:c>
      <x:c r="I238" s="16" t="n">
        <x:v>45766</x:v>
      </x:c>
    </x:row>
    <x:row r="239">
      <x:c r="A239" t="str">
        <x:v>DV-2026-00238</x:v>
      </x:c>
      <x:c r="B239" s="16" t="n">
        <x:v>46192</x:v>
      </x:c>
      <x:c r="C239" t="str">
        <x:v>Client 18</x:v>
      </x:c>
      <x:c r="D239" t="str">
        <x:v>Fret maritime</x:v>
      </x:c>
      <x:c r="E239" t="str">
        <x:v>Pôle B</x:v>
      </x:c>
      <x:c r="F239" s="18" t="n">
        <x:v>378.28</x:v>
      </x:c>
      <x:c r="G239" s="18" t="n">
        <x:v>91.62</x:v>
      </x:c>
      <x:c r="H239" t="str">
        <x:v>Client 18</x:v>
      </x:c>
      <x:c r="I239" s="16" t="n">
        <x:v>46234</x:v>
      </x:c>
    </x:row>
    <x:row r="240">
      <x:c r="A240" t="str">
        <x:v>DV-2025-00239</x:v>
      </x:c>
      <x:c r="B240" s="16" t="n">
        <x:v>46022</x:v>
      </x:c>
      <x:c r="C240" t="str">
        <x:v>Client 25</x:v>
      </x:c>
      <x:c r="D240" t="str">
        <x:v>Fret maritime</x:v>
      </x:c>
      <x:c r="E240" t="str">
        <x:v>Pôle D</x:v>
      </x:c>
      <x:c r="F240" s="18" t="n">
        <x:v>19504.43</x:v>
      </x:c>
      <x:c r="G240" s="18" t="n">
        <x:v>19504.43</x:v>
      </x:c>
      <x:c r="H240" t="str">
        <x:v>Client 36</x:v>
      </x:c>
      <x:c r="I240" s="16" t="n">
        <x:v>46042</x:v>
      </x:c>
    </x:row>
    <x:row r="241">
      <x:c r="A241" t="str">
        <x:v>DV-2025-00240</x:v>
      </x:c>
      <x:c r="B241" s="16" t="n">
        <x:v>46004</x:v>
      </x:c>
      <x:c r="C241" t="str">
        <x:v>Client 09</x:v>
      </x:c>
      <x:c r="D241" t="str">
        <x:v>Douane</x:v>
      </x:c>
      <x:c r="E241" t="str">
        <x:v>Pôle D</x:v>
      </x:c>
      <x:c r="F241" s="18" t="n">
        <x:v>21543.44</x:v>
      </x:c>
      <x:c r="G241" s="18" t="n">
        <x:v>12991.05</x:v>
      </x:c>
      <x:c r="H241" t="str">
        <x:v>Client 09</x:v>
      </x:c>
      <x:c r="I241" s="16" t="n">
        <x:v>46021</x:v>
      </x:c>
    </x:row>
    <x:row r="242">
      <x:c r="A242" t="str">
        <x:v>DV-2024-00241</x:v>
      </x:c>
      <x:c r="B242" s="16" t="n">
        <x:v>45336</x:v>
      </x:c>
      <x:c r="C242" t="str">
        <x:v>Client 21</x:v>
      </x:c>
      <x:c r="D242" t="str">
        <x:v>Express</x:v>
      </x:c>
      <x:c r="E242" t="str">
        <x:v>Pôle A</x:v>
      </x:c>
      <x:c r="F242" s="18" t="n">
        <x:v>22505.86</x:v>
      </x:c>
      <x:c r="G242" s="18" t="n">
        <x:v>22505.86</x:v>
      </x:c>
      <x:c r="H242" t="str">
        <x:v>Client 27</x:v>
      </x:c>
      <x:c r="I242" s="16" t="n">
        <x:v>45373</x:v>
      </x:c>
    </x:row>
    <x:row r="243">
      <x:c r="A243" t="str">
        <x:v>DV-2024-00242</x:v>
      </x:c>
      <x:c r="B243" s="16" t="n">
        <x:v>45309</x:v>
      </x:c>
      <x:c r="C243" t="str">
        <x:v>Client 06</x:v>
      </x:c>
      <x:c r="D243" t="str">
        <x:v>Express</x:v>
      </x:c>
      <x:c r="E243" t="str">
        <x:v>Pôle A</x:v>
      </x:c>
      <x:c r="F243" s="18" t="n">
        <x:v>14406.98</x:v>
      </x:c>
      <x:c r="G243" s="18" t="n">
        <x:v>14406.98</x:v>
      </x:c>
      <x:c r="H243" t="str">
        <x:v>Client 06</x:v>
      </x:c>
      <x:c r="I243" s="16" t="n">
        <x:v>45326</x:v>
      </x:c>
    </x:row>
    <x:row r="244">
      <x:c r="A244" t="str">
        <x:v>DV-2025-00243</x:v>
      </x:c>
      <x:c r="B244" s="16" t="n">
        <x:v>45953</x:v>
      </x:c>
      <x:c r="C244" t="str">
        <x:v>Client 48</x:v>
      </x:c>
      <x:c r="D244" t="str">
        <x:v>Douane</x:v>
      </x:c>
      <x:c r="E244" t="str">
        <x:v>Pôle C</x:v>
      </x:c>
      <x:c r="F244" s="18" t="n">
        <x:v>5653.14</x:v>
      </x:c>
      <x:c r="G244" s="18" t="n">
        <x:v>1581.47</x:v>
      </x:c>
      <x:c r="H244" t="str">
        <x:v>Client 48</x:v>
      </x:c>
      <x:c r="I244" s="16" t="n">
        <x:v>45975</x:v>
      </x:c>
    </x:row>
    <x:row r="245">
      <x:c r="A245" t="str">
        <x:v>DV-2026-00244</x:v>
      </x:c>
      <x:c r="B245" s="16" t="n">
        <x:v>46095</x:v>
      </x:c>
      <x:c r="C245" t="str">
        <x:v>Client 34</x:v>
      </x:c>
      <x:c r="D245" t="str">
        <x:v>Fret maritime</x:v>
      </x:c>
      <x:c r="E245" t="str">
        <x:v>Pôle A</x:v>
      </x:c>
      <x:c r="F245" s="18" t="n">
        <x:v>5183.89</x:v>
      </x:c>
      <x:c r="G245" s="18" t="n">
        <x:v>5183.89</x:v>
      </x:c>
      <x:c r="H245" t="str">
        <x:v>Client 34</x:v>
      </x:c>
      <x:c r="I245" s="16" t="n">
        <x:v>46109</x:v>
      </x:c>
    </x:row>
    <x:row r="246">
      <x:c r="A246" t="str">
        <x:v>DV-2024-00245</x:v>
      </x:c>
      <x:c r="B246" s="16" t="n">
        <x:v>45339</x:v>
      </x:c>
      <x:c r="C246" t="str">
        <x:v>Client 43</x:v>
      </x:c>
      <x:c r="D246" t="str">
        <x:v>Fret maritime</x:v>
      </x:c>
      <x:c r="E246" t="str">
        <x:v>Pôle C</x:v>
      </x:c>
      <x:c r="F246" s="18" t="n">
        <x:v>18383.62</x:v>
      </x:c>
      <x:c r="G246" s="18" t="n">
        <x:v>18383.62</x:v>
      </x:c>
      <x:c r="H246" t="str">
        <x:v>Client 43</x:v>
      </x:c>
      <x:c r="I246" s="16" t="n">
        <x:v>45430</x:v>
      </x:c>
    </x:row>
    <x:row r="247">
      <x:c r="A247" t="str">
        <x:v>DV-2025-00246</x:v>
      </x:c>
      <x:c r="B247" s="16" t="n">
        <x:v>45689</x:v>
      </x:c>
      <x:c r="C247" t="str">
        <x:v>Client 26</x:v>
      </x:c>
      <x:c r="D247" t="str">
        <x:v>Express</x:v>
      </x:c>
      <x:c r="E247" t="str">
        <x:v>Pôle E</x:v>
      </x:c>
      <x:c r="F247" s="18" t="n">
        <x:v>21195.17</x:v>
      </x:c>
      <x:c r="G247" s="18" t="n">
        <x:v>21195.17</x:v>
      </x:c>
      <x:c r="H247" t="str">
        <x:v>Client 26</x:v>
      </x:c>
      <x:c r="I247" s="16" t="n">
        <x:v>45780</x:v>
      </x:c>
    </x:row>
    <x:row r="248">
      <x:c r="A248" t="str">
        <x:v>DV-2025-00247</x:v>
      </x:c>
      <x:c r="B248" s="16" t="n">
        <x:v>45728</x:v>
      </x:c>
      <x:c r="C248" t="str">
        <x:v>Client 20</x:v>
      </x:c>
      <x:c r="D248" t="str">
        <x:v>Fret maritime</x:v>
      </x:c>
      <x:c r="E248" t="str">
        <x:v>Pôle A</x:v>
      </x:c>
      <x:c r="F248" s="18" t="n">
        <x:v>13015.91</x:v>
      </x:c>
      <x:c r="G248" s="18" t="n">
        <x:v>0</x:v>
      </x:c>
      <x:c r="H248" t="str">
        <x:v>Client 20</x:v>
      </x:c>
      <x:c r="I248" s="16"/>
    </x:row>
    <x:row r="249">
      <x:c r="A249" t="str">
        <x:v>DV-2024-00248</x:v>
      </x:c>
      <x:c r="B249" s="16" t="n">
        <x:v>45409</x:v>
      </x:c>
      <x:c r="C249" t="str">
        <x:v>Client 42</x:v>
      </x:c>
      <x:c r="D249" t="str">
        <x:v>Fret maritime</x:v>
      </x:c>
      <x:c r="E249" t="str">
        <x:v>Pôle D</x:v>
      </x:c>
      <x:c r="F249" s="18" t="n">
        <x:v>17082.13</x:v>
      </x:c>
      <x:c r="G249" s="18" t="n">
        <x:v>17082.13</x:v>
      </x:c>
      <x:c r="H249" t="str">
        <x:v>Client 42</x:v>
      </x:c>
      <x:c r="I249" s="16" t="n">
        <x:v>45424</x:v>
      </x:c>
    </x:row>
    <x:row r="250">
      <x:c r="A250" t="str">
        <x:v>DV-2024-00249</x:v>
      </x:c>
      <x:c r="B250" s="16" t="n">
        <x:v>45535</x:v>
      </x:c>
      <x:c r="C250" t="str">
        <x:v>Client 33</x:v>
      </x:c>
      <x:c r="D250" t="str">
        <x:v>Douane</x:v>
      </x:c>
      <x:c r="E250" t="str">
        <x:v>Pôle B</x:v>
      </x:c>
      <x:c r="F250" s="18" t="n">
        <x:v>11145.66</x:v>
      </x:c>
      <x:c r="G250" s="18" t="n">
        <x:v>11145.66</x:v>
      </x:c>
      <x:c r="H250" t="str">
        <x:v>Client 33</x:v>
      </x:c>
      <x:c r="I250" s="16" t="n">
        <x:v>45594</x:v>
      </x:c>
    </x:row>
    <x:row r="251">
      <x:c r="A251" t="str">
        <x:v>DV-2025-00250</x:v>
      </x:c>
      <x:c r="B251" s="16" t="n">
        <x:v>45683</x:v>
      </x:c>
      <x:c r="C251" t="str">
        <x:v>Client 41</x:v>
      </x:c>
      <x:c r="D251" t="str">
        <x:v>Express</x:v>
      </x:c>
      <x:c r="E251" t="str">
        <x:v>Pôle A</x:v>
      </x:c>
      <x:c r="F251" s="18" t="n">
        <x:v>16871.07</x:v>
      </x:c>
      <x:c r="G251" s="18" t="n">
        <x:v>13993.09</x:v>
      </x:c>
      <x:c r="H251" t="str">
        <x:v>Client 41</x:v>
      </x:c>
      <x:c r="I251" s="16" t="n">
        <x:v>45771</x:v>
      </x:c>
    </x:row>
    <x:row r="252">
      <x:c r="A252" t="str">
        <x:v>DV-2025-00251</x:v>
      </x:c>
      <x:c r="B252" s="16" t="n">
        <x:v>45762</x:v>
      </x:c>
      <x:c r="C252" t="str">
        <x:v>Client 13</x:v>
      </x:c>
      <x:c r="D252" t="str">
        <x:v>Fret maritime</x:v>
      </x:c>
      <x:c r="E252" t="str">
        <x:v>Pôle C</x:v>
      </x:c>
      <x:c r="F252" s="18" t="n">
        <x:v>4710.53</x:v>
      </x:c>
      <x:c r="G252" s="18" t="n">
        <x:v>0</x:v>
      </x:c>
      <x:c r="H252" t="str">
        <x:v>Client 13</x:v>
      </x:c>
      <x:c r="I252" s="16"/>
    </x:row>
    <x:row r="253">
      <x:c r="A253" t="str">
        <x:v>DV-2025-00252</x:v>
      </x:c>
      <x:c r="B253" s="16" t="n">
        <x:v>45734</x:v>
      </x:c>
      <x:c r="C253" t="str">
        <x:v>Client 18</x:v>
      </x:c>
      <x:c r="D253" t="str">
        <x:v>Fret maritime</x:v>
      </x:c>
      <x:c r="E253" t="str">
        <x:v>Pôle C</x:v>
      </x:c>
      <x:c r="F253" s="18" t="n">
        <x:v>4258.1</x:v>
      </x:c>
      <x:c r="G253" s="18" t="n">
        <x:v>4258.1</x:v>
      </x:c>
      <x:c r="H253" t="str">
        <x:v>Client 34</x:v>
      </x:c>
      <x:c r="I253" s="16" t="n">
        <x:v>45775</x:v>
      </x:c>
    </x:row>
    <x:row r="254">
      <x:c r="A254" t="str">
        <x:v>DV-2024-00253</x:v>
      </x:c>
      <x:c r="B254" s="16" t="n">
        <x:v>45554</x:v>
      </x:c>
      <x:c r="C254" t="str">
        <x:v>Client 03</x:v>
      </x:c>
      <x:c r="D254" t="str">
        <x:v>Fret maritime</x:v>
      </x:c>
      <x:c r="E254" t="str">
        <x:v>Pôle B</x:v>
      </x:c>
      <x:c r="F254" s="18" t="n">
        <x:v>11060.32</x:v>
      </x:c>
      <x:c r="G254" s="18" t="n">
        <x:v>4018.97</x:v>
      </x:c>
      <x:c r="H254" t="str">
        <x:v>Client 03</x:v>
      </x:c>
      <x:c r="I254" s="16" t="n">
        <x:v>45642</x:v>
      </x:c>
    </x:row>
    <x:row r="255">
      <x:c r="A255" t="str">
        <x:v>DV-2026-00254</x:v>
      </x:c>
      <x:c r="B255" s="16" t="n">
        <x:v>46169</x:v>
      </x:c>
      <x:c r="C255" t="str">
        <x:v>Client 34</x:v>
      </x:c>
      <x:c r="D255" t="str">
        <x:v>Douane</x:v>
      </x:c>
      <x:c r="E255" t="str">
        <x:v>Pôle E</x:v>
      </x:c>
      <x:c r="F255" s="18" t="n">
        <x:v>19059.29</x:v>
      </x:c>
      <x:c r="G255" s="18" t="n">
        <x:v>19059.29</x:v>
      </x:c>
      <x:c r="H255" t="str">
        <x:v>Client 34</x:v>
      </x:c>
      <x:c r="I255" s="16" t="n">
        <x:v>46228</x:v>
      </x:c>
    </x:row>
    <x:row r="256">
      <x:c r="A256" t="str">
        <x:v>DV-2024-00255</x:v>
      </x:c>
      <x:c r="B256" s="16" t="n">
        <x:v>45544</x:v>
      </x:c>
      <x:c r="C256" t="str">
        <x:v>Client 01</x:v>
      </x:c>
      <x:c r="D256" t="str">
        <x:v>Fret aérien</x:v>
      </x:c>
      <x:c r="E256" t="str">
        <x:v>Pôle E</x:v>
      </x:c>
      <x:c r="F256" s="18" t="n">
        <x:v>18234.48</x:v>
      </x:c>
      <x:c r="G256" s="18" t="n">
        <x:v>18234.48</x:v>
      </x:c>
      <x:c r="H256" t="str">
        <x:v>Client 11</x:v>
      </x:c>
      <x:c r="I256" s="16" t="n">
        <x:v>45624</x:v>
      </x:c>
    </x:row>
    <x:row r="257">
      <x:c r="A257" t="str">
        <x:v>DV-2025-00256</x:v>
      </x:c>
      <x:c r="B257" s="16" t="n">
        <x:v>45825</x:v>
      </x:c>
      <x:c r="C257" t="str">
        <x:v>Client 01</x:v>
      </x:c>
      <x:c r="D257" t="str">
        <x:v>Fret maritime</x:v>
      </x:c>
      <x:c r="E257" t="str">
        <x:v>Pôle D</x:v>
      </x:c>
      <x:c r="F257" s="18" t="n">
        <x:v>1607.83</x:v>
      </x:c>
      <x:c r="G257" s="18" t="n">
        <x:v>0</x:v>
      </x:c>
      <x:c r="H257" t="str">
        <x:v>Client 01</x:v>
      </x:c>
      <x:c r="I257" s="16"/>
    </x:row>
    <x:row r="258">
      <x:c r="A258" t="str">
        <x:v>DV-2024-00257</x:v>
      </x:c>
      <x:c r="B258" s="16" t="n">
        <x:v>45559</x:v>
      </x:c>
      <x:c r="C258" t="str">
        <x:v>Client 32</x:v>
      </x:c>
      <x:c r="D258" t="str">
        <x:v>Douane</x:v>
      </x:c>
      <x:c r="E258" t="str">
        <x:v>Pôle B</x:v>
      </x:c>
      <x:c r="F258" s="18" t="n">
        <x:v>6183.55</x:v>
      </x:c>
      <x:c r="G258" s="18" t="n">
        <x:v>4551.08</x:v>
      </x:c>
      <x:c r="H258" t="str">
        <x:v>Client 32</x:v>
      </x:c>
      <x:c r="I258" s="16" t="n">
        <x:v>45607</x:v>
      </x:c>
    </x:row>
    <x:row r="259">
      <x:c r="A259" t="str">
        <x:v>DV-2024-00258</x:v>
      </x:c>
      <x:c r="B259" s="16" t="n">
        <x:v>45416</x:v>
      </x:c>
      <x:c r="C259" t="str">
        <x:v>Client 27</x:v>
      </x:c>
      <x:c r="D259" t="str">
        <x:v>Logistique</x:v>
      </x:c>
      <x:c r="E259" t="str">
        <x:v>Pôle D</x:v>
      </x:c>
      <x:c r="F259" s="18" t="n">
        <x:v>2198.43</x:v>
      </x:c>
      <x:c r="G259" s="18" t="n">
        <x:v>2198.43</x:v>
      </x:c>
      <x:c r="H259" t="str">
        <x:v>Client 27</x:v>
      </x:c>
      <x:c r="I259" s="16" t="n">
        <x:v>45429</x:v>
      </x:c>
    </x:row>
    <x:row r="260">
      <x:c r="A260" t="str">
        <x:v>DV-2024-00259</x:v>
      </x:c>
      <x:c r="B260" s="16" t="n">
        <x:v>45649</x:v>
      </x:c>
      <x:c r="C260" t="str">
        <x:v>Client 40</x:v>
      </x:c>
      <x:c r="D260" t="str">
        <x:v>Express</x:v>
      </x:c>
      <x:c r="E260" t="str">
        <x:v>Pôle C</x:v>
      </x:c>
      <x:c r="F260" s="18" t="n">
        <x:v>5161.78</x:v>
      </x:c>
      <x:c r="G260" s="18" t="n">
        <x:v>5161.78</x:v>
      </x:c>
      <x:c r="H260" t="str">
        <x:v>Client 40</x:v>
      </x:c>
      <x:c r="I260" s="16" t="n">
        <x:v>45663</x:v>
      </x:c>
    </x:row>
    <x:row r="261">
      <x:c r="A261" t="str">
        <x:v>DV-2026-00260</x:v>
      </x:c>
      <x:c r="B261" s="16" t="n">
        <x:v>46184</x:v>
      </x:c>
      <x:c r="C261" t="str">
        <x:v>Client 45</x:v>
      </x:c>
      <x:c r="D261" t="str">
        <x:v>Logistique</x:v>
      </x:c>
      <x:c r="E261" t="str">
        <x:v>Pôle B</x:v>
      </x:c>
      <x:c r="F261" s="18" t="n">
        <x:v>22053.78</x:v>
      </x:c>
      <x:c r="G261" s="18" t="n">
        <x:v>22053.78</x:v>
      </x:c>
      <x:c r="H261" t="str">
        <x:v>Client 07</x:v>
      </x:c>
      <x:c r="I261" s="16" t="n">
        <x:v>46252</x:v>
      </x:c>
    </x:row>
    <x:row r="262">
      <x:c r="A262" t="str">
        <x:v>DV-2026-00261</x:v>
      </x:c>
      <x:c r="B262" s="16" t="n">
        <x:v>46212</x:v>
      </x:c>
      <x:c r="C262" t="str">
        <x:v>Client 09</x:v>
      </x:c>
      <x:c r="D262" t="str">
        <x:v>Fret maritime</x:v>
      </x:c>
      <x:c r="E262" t="str">
        <x:v>Pôle C</x:v>
      </x:c>
      <x:c r="F262" s="18" t="n">
        <x:v>11494.22</x:v>
      </x:c>
      <x:c r="G262" s="18" t="n">
        <x:v>11494.22</x:v>
      </x:c>
      <x:c r="H262" t="str">
        <x:v>Client 09</x:v>
      </x:c>
      <x:c r="I262" s="16" t="n">
        <x:v>46241</x:v>
      </x:c>
    </x:row>
    <x:row r="263">
      <x:c r="A263" t="str">
        <x:v>DV-2025-00262</x:v>
      </x:c>
      <x:c r="B263" s="16" t="n">
        <x:v>46022</x:v>
      </x:c>
      <x:c r="C263" t="str">
        <x:v>Client 33</x:v>
      </x:c>
      <x:c r="D263" t="str">
        <x:v>Fret aérien</x:v>
      </x:c>
      <x:c r="E263" t="str">
        <x:v>Pôle B</x:v>
      </x:c>
      <x:c r="F263" s="18" t="n">
        <x:v>18269.7</x:v>
      </x:c>
      <x:c r="G263" s="18" t="n">
        <x:v>3698.93</x:v>
      </x:c>
      <x:c r="H263" t="str">
        <x:v>Client 33</x:v>
      </x:c>
      <x:c r="I263" s="16" t="n">
        <x:v>46051</x:v>
      </x:c>
    </x:row>
    <x:row r="264">
      <x:c r="A264" t="str">
        <x:v>DV-2024-00263</x:v>
      </x:c>
      <x:c r="B264" s="16" t="n">
        <x:v>45533</x:v>
      </x:c>
      <x:c r="C264" t="str">
        <x:v>Client 40</x:v>
      </x:c>
      <x:c r="D264" t="str">
        <x:v>Fret aérien</x:v>
      </x:c>
      <x:c r="E264" t="str">
        <x:v>Pôle C</x:v>
      </x:c>
      <x:c r="F264" s="18" t="n">
        <x:v>14633.42</x:v>
      </x:c>
      <x:c r="G264" s="18" t="n">
        <x:v>14633.42</x:v>
      </x:c>
      <x:c r="H264" t="str">
        <x:v>Client 40</x:v>
      </x:c>
      <x:c r="I264" s="16" t="n">
        <x:v>45558</x:v>
      </x:c>
    </x:row>
    <x:row r="265">
      <x:c r="A265" t="str">
        <x:v>DV-2026-00264</x:v>
      </x:c>
      <x:c r="B265" s="16" t="n">
        <x:v>46180</x:v>
      </x:c>
      <x:c r="C265" t="str">
        <x:v>Client 13</x:v>
      </x:c>
      <x:c r="D265" t="str">
        <x:v>Express</x:v>
      </x:c>
      <x:c r="E265" t="str">
        <x:v>Pôle D</x:v>
      </x:c>
      <x:c r="F265" s="18" t="n">
        <x:v>2145.24</x:v>
      </x:c>
      <x:c r="G265" s="18" t="n">
        <x:v>724.37</x:v>
      </x:c>
      <x:c r="H265" t="str">
        <x:v>Client 13</x:v>
      </x:c>
      <x:c r="I265" s="16" t="n">
        <x:v>46227</x:v>
      </x:c>
    </x:row>
    <x:row r="266">
      <x:c r="A266" t="str">
        <x:v>DV-2026-00265</x:v>
      </x:c>
      <x:c r="B266" s="16" t="n">
        <x:v>46193</x:v>
      </x:c>
      <x:c r="C266" t="str">
        <x:v>Client 33</x:v>
      </x:c>
      <x:c r="D266" t="str">
        <x:v>Fret maritime</x:v>
      </x:c>
      <x:c r="E266" t="str">
        <x:v>Pôle A</x:v>
      </x:c>
      <x:c r="F266" s="18" t="n">
        <x:v>19650.87</x:v>
      </x:c>
      <x:c r="G266" s="18" t="n">
        <x:v>9751.88</x:v>
      </x:c>
      <x:c r="H266" t="str">
        <x:v>Client 33</x:v>
      </x:c>
      <x:c r="I266" s="16" t="n">
        <x:v>46255</x:v>
      </x:c>
    </x:row>
    <x:row r="267">
      <x:c r="A267" t="str">
        <x:v>DV-2026-00266</x:v>
      </x:c>
      <x:c r="B267" s="16" t="n">
        <x:v>46142</x:v>
      </x:c>
      <x:c r="C267" t="str">
        <x:v>Client 40</x:v>
      </x:c>
      <x:c r="D267" t="str">
        <x:v>Fret aérien</x:v>
      </x:c>
      <x:c r="E267" t="str">
        <x:v>Pôle D</x:v>
      </x:c>
      <x:c r="F267" s="18" t="n">
        <x:v>17018.77</x:v>
      </x:c>
      <x:c r="G267" s="18" t="n">
        <x:v>17018.77</x:v>
      </x:c>
      <x:c r="H267" t="str">
        <x:v>Client 40</x:v>
      </x:c>
      <x:c r="I267" s="16" t="n">
        <x:v>46189</x:v>
      </x:c>
    </x:row>
    <x:row r="268">
      <x:c r="A268" t="str">
        <x:v>DV-2024-00267</x:v>
      </x:c>
      <x:c r="B268" s="16" t="n">
        <x:v>45344</x:v>
      </x:c>
      <x:c r="C268" t="str">
        <x:v>Client 43</x:v>
      </x:c>
      <x:c r="D268" t="str">
        <x:v>Fret maritime</x:v>
      </x:c>
      <x:c r="E268" t="str">
        <x:v>Pôle A</x:v>
      </x:c>
      <x:c r="F268" s="18" t="n">
        <x:v>5970.97</x:v>
      </x:c>
      <x:c r="G268" s="18" t="n">
        <x:v>5970.97</x:v>
      </x:c>
      <x:c r="H268" t="str">
        <x:v>Client 43</x:v>
      </x:c>
      <x:c r="I268" s="16" t="n">
        <x:v>45437</x:v>
      </x:c>
    </x:row>
    <x:row r="269">
      <x:c r="A269" t="str">
        <x:v>DV-2025-00268</x:v>
      </x:c>
      <x:c r="B269" s="16" t="n">
        <x:v>45877</x:v>
      </x:c>
      <x:c r="C269" t="str">
        <x:v>Client 33</x:v>
      </x:c>
      <x:c r="D269" t="str">
        <x:v>Fret maritime</x:v>
      </x:c>
      <x:c r="E269" t="str">
        <x:v>Pôle C</x:v>
      </x:c>
      <x:c r="F269" s="18" t="n">
        <x:v>4356.74</x:v>
      </x:c>
      <x:c r="G269" s="18" t="n">
        <x:v>4356.74</x:v>
      </x:c>
      <x:c r="H269" t="str">
        <x:v>Client 33</x:v>
      </x:c>
      <x:c r="I269" s="16" t="n">
        <x:v>45964</x:v>
      </x:c>
    </x:row>
    <x:row r="270">
      <x:c r="A270" t="str">
        <x:v>DV-2026-00269</x:v>
      </x:c>
      <x:c r="B270" s="16" t="n">
        <x:v>46212</x:v>
      </x:c>
      <x:c r="C270" t="str">
        <x:v>Client 50</x:v>
      </x:c>
      <x:c r="D270" t="str">
        <x:v>Douane</x:v>
      </x:c>
      <x:c r="E270" t="str">
        <x:v>Pôle C</x:v>
      </x:c>
      <x:c r="F270" s="18" t="n">
        <x:v>14202.11</x:v>
      </x:c>
      <x:c r="G270" s="18" t="n">
        <x:v>14202.11</x:v>
      </x:c>
      <x:c r="H270" t="str">
        <x:v>Client 50</x:v>
      </x:c>
      <x:c r="I270" s="16" t="n">
        <x:v>46252</x:v>
      </x:c>
    </x:row>
    <x:row r="271">
      <x:c r="A271" t="str">
        <x:v>DV-2024-00270</x:v>
      </x:c>
      <x:c r="B271" s="16" t="n">
        <x:v>45582</x:v>
      </x:c>
      <x:c r="C271" t="str">
        <x:v>Client 38</x:v>
      </x:c>
      <x:c r="D271" t="str">
        <x:v>Express</x:v>
      </x:c>
      <x:c r="E271" t="str">
        <x:v>Pôle A</x:v>
      </x:c>
      <x:c r="F271" s="18" t="n">
        <x:v>17702.02</x:v>
      </x:c>
      <x:c r="G271" s="18" t="n">
        <x:v>17702.02</x:v>
      </x:c>
      <x:c r="H271" t="str">
        <x:v>Client 38</x:v>
      </x:c>
      <x:c r="I271" s="16" t="n">
        <x:v>45662</x:v>
      </x:c>
    </x:row>
    <x:row r="272">
      <x:c r="A272" t="str">
        <x:v>DV-2024-00271</x:v>
      </x:c>
      <x:c r="B272" s="16" t="n">
        <x:v>45634</x:v>
      </x:c>
      <x:c r="C272" t="str">
        <x:v>Client 34</x:v>
      </x:c>
      <x:c r="D272" t="str">
        <x:v>Fret aérien</x:v>
      </x:c>
      <x:c r="E272" t="str">
        <x:v>Pôle C</x:v>
      </x:c>
      <x:c r="F272" s="18" t="n">
        <x:v>24086.54</x:v>
      </x:c>
      <x:c r="G272" s="18" t="n">
        <x:v>20405.98</x:v>
      </x:c>
      <x:c r="H272" t="str">
        <x:v>Client 34</x:v>
      </x:c>
      <x:c r="I272" s="16" t="n">
        <x:v>45654</x:v>
      </x:c>
    </x:row>
    <x:row r="273">
      <x:c r="A273" t="str">
        <x:v>DV-2025-00272</x:v>
      </x:c>
      <x:c r="B273" s="16" t="n">
        <x:v>45698</x:v>
      </x:c>
      <x:c r="C273" t="str">
        <x:v>Client 16</x:v>
      </x:c>
      <x:c r="D273" t="str">
        <x:v>Fret maritime</x:v>
      </x:c>
      <x:c r="E273" t="str">
        <x:v>Pôle A</x:v>
      </x:c>
      <x:c r="F273" s="18" t="n">
        <x:v>5738.09</x:v>
      </x:c>
      <x:c r="G273" s="18" t="n">
        <x:v>5738.09</x:v>
      </x:c>
      <x:c r="H273" t="str">
        <x:v>Client 16</x:v>
      </x:c>
      <x:c r="I273" s="16" t="n">
        <x:v>45724</x:v>
      </x:c>
    </x:row>
    <x:row r="274">
      <x:c r="A274" t="str">
        <x:v>DV-2024-00273</x:v>
      </x:c>
      <x:c r="B274" s="16" t="n">
        <x:v>45552</x:v>
      </x:c>
      <x:c r="C274" t="str">
        <x:v>Client 19</x:v>
      </x:c>
      <x:c r="D274" t="str">
        <x:v>Logistique</x:v>
      </x:c>
      <x:c r="E274" t="str">
        <x:v>Pôle A</x:v>
      </x:c>
      <x:c r="F274" s="18" t="n">
        <x:v>17961.25</x:v>
      </x:c>
      <x:c r="G274" s="18" t="n">
        <x:v>17961.25</x:v>
      </x:c>
      <x:c r="H274" t="str">
        <x:v>Client 19</x:v>
      </x:c>
      <x:c r="I274" s="16" t="n">
        <x:v>45646</x:v>
      </x:c>
    </x:row>
    <x:row r="275">
      <x:c r="A275" t="str">
        <x:v>DV-2025-00274</x:v>
      </x:c>
      <x:c r="B275" s="16" t="n">
        <x:v>45804</x:v>
      </x:c>
      <x:c r="C275" t="str">
        <x:v>Client 02</x:v>
      </x:c>
      <x:c r="D275" t="str">
        <x:v>Express</x:v>
      </x:c>
      <x:c r="E275" t="str">
        <x:v>Pôle A</x:v>
      </x:c>
      <x:c r="F275" s="18" t="n">
        <x:v>15278.51</x:v>
      </x:c>
      <x:c r="G275" s="18" t="n">
        <x:v>15278.51</x:v>
      </x:c>
      <x:c r="H275" t="str">
        <x:v>Client 02</x:v>
      </x:c>
      <x:c r="I275" s="16" t="n">
        <x:v>45898</x:v>
      </x:c>
    </x:row>
    <x:row r="276">
      <x:c r="A276" t="str">
        <x:v>DV-2024-00275</x:v>
      </x:c>
      <x:c r="B276" s="16" t="n">
        <x:v>45484</x:v>
      </x:c>
      <x:c r="C276" t="str">
        <x:v>Client 44 </x:v>
      </x:c>
      <x:c r="D276" t="str">
        <x:v>Express</x:v>
      </x:c>
      <x:c r="E276" t="str">
        <x:v>Pôle B</x:v>
      </x:c>
      <x:c r="F276" s="18" t="n">
        <x:v>10044.04</x:v>
      </x:c>
      <x:c r="G276" s="18" t="n">
        <x:v>10044.04</x:v>
      </x:c>
      <x:c r="H276" t="str">
        <x:v>Client 27</x:v>
      </x:c>
      <x:c r="I276" s="16" t="n">
        <x:v>45548</x:v>
      </x:c>
    </x:row>
    <x:row r="277">
      <x:c r="A277" t="str">
        <x:v>DV-2025-00276</x:v>
      </x:c>
      <x:c r="B277" s="16" t="n">
        <x:v>45731</x:v>
      </x:c>
      <x:c r="C277" t="str">
        <x:v>Client 30</x:v>
      </x:c>
      <x:c r="D277" t="str">
        <x:v>Fret maritime</x:v>
      </x:c>
      <x:c r="E277" t="str">
        <x:v>Pôle C</x:v>
      </x:c>
      <x:c r="F277" s="18" t="n">
        <x:v>18194.95</x:v>
      </x:c>
      <x:c r="G277" s="18" t="n">
        <x:v>0</x:v>
      </x:c>
      <x:c r="H277" t="str">
        <x:v>Client 30</x:v>
      </x:c>
      <x:c r="I277" s="16"/>
    </x:row>
    <x:row r="278">
      <x:c r="A278" t="str">
        <x:v>DV-2024-00277</x:v>
      </x:c>
      <x:c r="B278" s="16" t="n">
        <x:v>45353</x:v>
      </x:c>
      <x:c r="C278" t="str">
        <x:v>Client 29</x:v>
      </x:c>
      <x:c r="D278" t="str">
        <x:v>Logistique</x:v>
      </x:c>
      <x:c r="E278" t="str">
        <x:v>Pôle B</x:v>
      </x:c>
      <x:c r="F278" s="18" t="n">
        <x:v>254.68</x:v>
      </x:c>
      <x:c r="G278" s="18" t="n">
        <x:v>254.68</x:v>
      </x:c>
      <x:c r="H278" t="str">
        <x:v>Client 29</x:v>
      </x:c>
      <x:c r="I278" s="16" t="n">
        <x:v>45365</x:v>
      </x:c>
    </x:row>
    <x:row r="279">
      <x:c r="A279" t="str">
        <x:v>DV-2026-00278</x:v>
      </x:c>
      <x:c r="B279" s="16" t="n">
        <x:v>46148</x:v>
      </x:c>
      <x:c r="C279" t="str">
        <x:v>Client 05</x:v>
      </x:c>
      <x:c r="D279" t="str">
        <x:v>Fret maritime</x:v>
      </x:c>
      <x:c r="E279" t="str">
        <x:v>Pôle D</x:v>
      </x:c>
      <x:c r="F279" s="18" t="n">
        <x:v>2856.7</x:v>
      </x:c>
      <x:c r="G279" s="18" t="n">
        <x:v>2856.7</x:v>
      </x:c>
      <x:c r="H279" t="str">
        <x:v>Client 18</x:v>
      </x:c>
      <x:c r="I279" s="16" t="n">
        <x:v>46206</x:v>
      </x:c>
    </x:row>
    <x:row r="280">
      <x:c r="A280" t="str">
        <x:v>DV-2024-00279</x:v>
      </x:c>
      <x:c r="B280" s="16" t="n">
        <x:v>45324</x:v>
      </x:c>
      <x:c r="C280" t="str">
        <x:v>Client 43</x:v>
      </x:c>
      <x:c r="D280" t="str">
        <x:v>Logistique</x:v>
      </x:c>
      <x:c r="E280" t="str">
        <x:v>Pôle A</x:v>
      </x:c>
      <x:c r="F280" s="18" t="n">
        <x:v>6109.86</x:v>
      </x:c>
      <x:c r="G280" s="18" t="n">
        <x:v>6109.86</x:v>
      </x:c>
      <x:c r="H280" t="str">
        <x:v>Client 43</x:v>
      </x:c>
      <x:c r="I280" s="16" t="n">
        <x:v>45384</x:v>
      </x:c>
    </x:row>
    <x:row r="281">
      <x:c r="A281" t="str">
        <x:v>DV-2026-00280</x:v>
      </x:c>
      <x:c r="B281" s="16" t="n">
        <x:v>46037</x:v>
      </x:c>
      <x:c r="C281" t="str">
        <x:v>Client 10</x:v>
      </x:c>
      <x:c r="D281" t="str">
        <x:v>Logistique</x:v>
      </x:c>
      <x:c r="E281" t="str">
        <x:v>Pôle B</x:v>
      </x:c>
      <x:c r="F281" s="18" t="n">
        <x:v>20006.8</x:v>
      </x:c>
      <x:c r="G281" s="18" t="n">
        <x:v>20006.8</x:v>
      </x:c>
      <x:c r="H281" t="str">
        <x:v>Client 10</x:v>
      </x:c>
      <x:c r="I281" s="16" t="n">
        <x:v>46057</x:v>
      </x:c>
    </x:row>
    <x:row r="282">
      <x:c r="A282" t="str">
        <x:v>DV-2025-00281</x:v>
      </x:c>
      <x:c r="B282" s="16" t="n">
        <x:v>45910</x:v>
      </x:c>
      <x:c r="C282" t="str">
        <x:v>Client 21</x:v>
      </x:c>
      <x:c r="D282" t="str">
        <x:v>Fret maritime</x:v>
      </x:c>
      <x:c r="E282" t="str">
        <x:v>Pôle B</x:v>
      </x:c>
      <x:c r="F282" s="18" t="n">
        <x:v>5952.41</x:v>
      </x:c>
      <x:c r="G282" s="18" t="n">
        <x:v>0</x:v>
      </x:c>
      <x:c r="H282" t="str">
        <x:v>Client 21</x:v>
      </x:c>
      <x:c r="I282" s="16"/>
    </x:row>
    <x:row r="283">
      <x:c r="A283" t="str">
        <x:v>DV-2024-00282</x:v>
      </x:c>
      <x:c r="B283" s="16" t="n">
        <x:v>45458</x:v>
      </x:c>
      <x:c r="C283" t="str">
        <x:v>Client 39</x:v>
      </x:c>
      <x:c r="D283" t="str">
        <x:v>Fret aérien</x:v>
      </x:c>
      <x:c r="E283" t="str">
        <x:v>Pôle C</x:v>
      </x:c>
      <x:c r="F283" s="18" t="n">
        <x:v>19353.29</x:v>
      </x:c>
      <x:c r="G283" s="18" t="n">
        <x:v>19353.29</x:v>
      </x:c>
      <x:c r="H283" t="str">
        <x:v>Client 39</x:v>
      </x:c>
      <x:c r="I283" s="16" t="n">
        <x:v>45522</x:v>
      </x:c>
    </x:row>
    <x:row r="284">
      <x:c r="A284" t="str">
        <x:v>DV-2025-00283</x:v>
      </x:c>
      <x:c r="B284" s="16" t="n">
        <x:v>45683</x:v>
      </x:c>
      <x:c r="C284" t="str">
        <x:v>Client 34</x:v>
      </x:c>
      <x:c r="D284" t="str">
        <x:v>Fret aérien</x:v>
      </x:c>
      <x:c r="E284" t="str">
        <x:v>Pôle E</x:v>
      </x:c>
      <x:c r="F284" s="18" t="n">
        <x:v>16550.08</x:v>
      </x:c>
      <x:c r="G284" s="18" t="n">
        <x:v>16550.08</x:v>
      </x:c>
      <x:c r="H284" t="str">
        <x:v>Client 34</x:v>
      </x:c>
      <x:c r="I284" s="16" t="n">
        <x:v>45713</x:v>
      </x:c>
    </x:row>
    <x:row r="285">
      <x:c r="A285" t="str">
        <x:v>DV-2026-00284</x:v>
      </x:c>
      <x:c r="B285" s="16" t="n">
        <x:v>46137</x:v>
      </x:c>
      <x:c r="C285" t="str">
        <x:v>Client 11</x:v>
      </x:c>
      <x:c r="D285" t="str">
        <x:v>Logistique</x:v>
      </x:c>
      <x:c r="E285" t="str">
        <x:v>Pôle B</x:v>
      </x:c>
      <x:c r="F285" s="18" t="n">
        <x:v>5119.29</x:v>
      </x:c>
      <x:c r="G285" s="18" t="n">
        <x:v>5119.29</x:v>
      </x:c>
      <x:c r="H285" t="str">
        <x:v>Client 11</x:v>
      </x:c>
      <x:c r="I285" s="16" t="n">
        <x:v>46191</x:v>
      </x:c>
    </x:row>
    <x:row r="286">
      <x:c r="A286" t="str">
        <x:v>DV-2026-00285</x:v>
      </x:c>
      <x:c r="B286" s="16" t="n">
        <x:v>46145</x:v>
      </x:c>
      <x:c r="C286" t="str">
        <x:v>Client 07</x:v>
      </x:c>
      <x:c r="D286" t="str">
        <x:v>Douane</x:v>
      </x:c>
      <x:c r="E286" t="str">
        <x:v>Pôle C</x:v>
      </x:c>
      <x:c r="F286" s="18" t="n">
        <x:v>14087.65</x:v>
      </x:c>
      <x:c r="G286" s="18" t="n">
        <x:v>14087.65</x:v>
      </x:c>
      <x:c r="H286" t="str">
        <x:v>Client 28</x:v>
      </x:c>
      <x:c r="I286" s="16" t="n">
        <x:v>46183</x:v>
      </x:c>
    </x:row>
    <x:row r="287">
      <x:c r="A287" t="str">
        <x:v>DV-2026-00286</x:v>
      </x:c>
      <x:c r="B287" s="16" t="n">
        <x:v>46230</x:v>
      </x:c>
      <x:c r="C287" t="str">
        <x:v>Client 45</x:v>
      </x:c>
      <x:c r="D287" t="str">
        <x:v>Fret maritime</x:v>
      </x:c>
      <x:c r="E287" t="str">
        <x:v>Pôle E</x:v>
      </x:c>
      <x:c r="F287" s="18" t="n">
        <x:v>14405.99</x:v>
      </x:c>
      <x:c r="G287" s="18" t="n">
        <x:v>14405.99</x:v>
      </x:c>
      <x:c r="H287" t="str">
        <x:v>Client 45</x:v>
      </x:c>
      <x:c r="I287" s="16" t="n">
        <x:v>46272</x:v>
      </x:c>
    </x:row>
    <x:row r="288">
      <x:c r="A288" t="str">
        <x:v>DV-2025-00287</x:v>
      </x:c>
      <x:c r="B288" s="16" t="n">
        <x:v>45675</x:v>
      </x:c>
      <x:c r="C288" t="str">
        <x:v>Client 10</x:v>
      </x:c>
      <x:c r="D288" t="str">
        <x:v>Fret maritime</x:v>
      </x:c>
      <x:c r="E288" t="str">
        <x:v>Pôle A</x:v>
      </x:c>
      <x:c r="F288" s="18" t="n">
        <x:v>8458.46</x:v>
      </x:c>
      <x:c r="G288" s="18" t="n">
        <x:v>8458.46</x:v>
      </x:c>
      <x:c r="H288" t="str">
        <x:v>Client 10</x:v>
      </x:c>
      <x:c r="I288" s="16" t="n">
        <x:v>45756</x:v>
      </x:c>
    </x:row>
    <x:row r="289">
      <x:c r="A289" t="str">
        <x:v>DV-2026-00288</x:v>
      </x:c>
      <x:c r="B289" s="16" t="n">
        <x:v>46029</x:v>
      </x:c>
      <x:c r="C289" t="str">
        <x:v>Client 09</x:v>
      </x:c>
      <x:c r="D289" t="str">
        <x:v>Fret maritime</x:v>
      </x:c>
      <x:c r="E289" t="str">
        <x:v>Pôle C</x:v>
      </x:c>
      <x:c r="F289" s="18" t="n">
        <x:v>7425.05</x:v>
      </x:c>
      <x:c r="G289" s="18" t="n">
        <x:v>7425.05</x:v>
      </x:c>
      <x:c r="H289" t="str">
        <x:v>Client 09</x:v>
      </x:c>
      <x:c r="I289" s="16" t="n">
        <x:v>46120</x:v>
      </x:c>
    </x:row>
    <x:row r="290">
      <x:c r="A290" t="str">
        <x:v>DV-2025-00289</x:v>
      </x:c>
      <x:c r="B290" s="16" t="n">
        <x:v>45717</x:v>
      </x:c>
      <x:c r="C290" t="str">
        <x:v>Client 28</x:v>
      </x:c>
      <x:c r="D290" t="str">
        <x:v>Fret maritime</x:v>
      </x:c>
      <x:c r="E290" t="str">
        <x:v>Pôle E</x:v>
      </x:c>
      <x:c r="F290" s="18" t="n">
        <x:v>18753.07</x:v>
      </x:c>
      <x:c r="G290" s="18" t="n">
        <x:v>8454.79</x:v>
      </x:c>
      <x:c r="H290" t="str">
        <x:v>Client 28</x:v>
      </x:c>
      <x:c r="I290" s="16" t="n">
        <x:v>45770</x:v>
      </x:c>
    </x:row>
    <x:row r="291">
      <x:c r="A291" t="str">
        <x:v>DV-2025-00290</x:v>
      </x:c>
      <x:c r="B291" s="16" t="n">
        <x:v>45977</x:v>
      </x:c>
      <x:c r="C291" t="str">
        <x:v>Client 05</x:v>
      </x:c>
      <x:c r="D291" t="str">
        <x:v>Express</x:v>
      </x:c>
      <x:c r="E291" t="str">
        <x:v>Pôle B</x:v>
      </x:c>
      <x:c r="F291" s="18" t="n">
        <x:v>14139.42</x:v>
      </x:c>
      <x:c r="G291" s="18" t="n">
        <x:v>14139.42</x:v>
      </x:c>
      <x:c r="H291" t="str">
        <x:v>Client 05</x:v>
      </x:c>
      <x:c r="I291" s="16" t="n">
        <x:v>46020</x:v>
      </x:c>
    </x:row>
    <x:row r="292">
      <x:c r="A292" t="str">
        <x:v>DV-2026-00291</x:v>
      </x:c>
      <x:c r="B292" s="16" t="n">
        <x:v>46137</x:v>
      </x:c>
      <x:c r="C292" t="str">
        <x:v>Client 26</x:v>
      </x:c>
      <x:c r="D292" t="str">
        <x:v>Express</x:v>
      </x:c>
      <x:c r="E292" t="str">
        <x:v>Pôle C</x:v>
      </x:c>
      <x:c r="F292" s="18" t="n">
        <x:v>16772.81</x:v>
      </x:c>
      <x:c r="G292" s="18" t="n">
        <x:v>2589</x:v>
      </x:c>
      <x:c r="H292" t="str">
        <x:v>Client 26</x:v>
      </x:c>
      <x:c r="I292" s="16" t="n">
        <x:v>46218</x:v>
      </x:c>
    </x:row>
    <x:row r="293">
      <x:c r="A293" t="str">
        <x:v>DV-2024-00292</x:v>
      </x:c>
      <x:c r="B293" s="16" t="n">
        <x:v>45464</x:v>
      </x:c>
      <x:c r="C293" t="str">
        <x:v>Client 50</x:v>
      </x:c>
      <x:c r="D293" t="str">
        <x:v>Douane</x:v>
      </x:c>
      <x:c r="E293" t="str">
        <x:v>Pôle A</x:v>
      </x:c>
      <x:c r="F293" s="18" t="n">
        <x:v>2690.69</x:v>
      </x:c>
      <x:c r="G293" s="18" t="n">
        <x:v>1583.65</x:v>
      </x:c>
      <x:c r="H293" t="str">
        <x:v>Client 50</x:v>
      </x:c>
      <x:c r="I293" s="16" t="n">
        <x:v>45516</x:v>
      </x:c>
    </x:row>
    <x:row r="294">
      <x:c r="A294" t="str">
        <x:v>DV-2026-00293</x:v>
      </x:c>
      <x:c r="B294" s="16" t="n">
        <x:v>46067</x:v>
      </x:c>
      <x:c r="C294" t="str">
        <x:v>Client 15</x:v>
      </x:c>
      <x:c r="D294" t="str">
        <x:v>Douane</x:v>
      </x:c>
      <x:c r="E294" t="str">
        <x:v>Pôle E</x:v>
      </x:c>
      <x:c r="F294" s="18" t="n">
        <x:v>24278.81</x:v>
      </x:c>
      <x:c r="G294" s="18" t="n">
        <x:v>24278.81</x:v>
      </x:c>
      <x:c r="H294" t="str">
        <x:v>Client 15</x:v>
      </x:c>
      <x:c r="I294" s="16" t="n">
        <x:v>46075</x:v>
      </x:c>
    </x:row>
    <x:row r="295">
      <x:c r="A295" t="str">
        <x:v>DV-2026-00294</x:v>
      </x:c>
      <x:c r="B295" s="16" t="n">
        <x:v>46084</x:v>
      </x:c>
      <x:c r="C295" t="str">
        <x:v>Client 02</x:v>
      </x:c>
      <x:c r="D295" t="str">
        <x:v>Logistique</x:v>
      </x:c>
      <x:c r="E295" t="str">
        <x:v>Pôle E</x:v>
      </x:c>
      <x:c r="F295" s="18" t="n">
        <x:v>23314.28</x:v>
      </x:c>
      <x:c r="G295" s="18" t="n">
        <x:v>13153.98</x:v>
      </x:c>
      <x:c r="H295" t="str">
        <x:v>Client 20</x:v>
      </x:c>
      <x:c r="I295" s="16" t="n">
        <x:v>46131</x:v>
      </x:c>
    </x:row>
    <x:row r="296">
      <x:c r="A296" t="str">
        <x:v>DV-2026-00295</x:v>
      </x:c>
      <x:c r="B296" s="16" t="n">
        <x:v>46278</x:v>
      </x:c>
      <x:c r="C296" t="str">
        <x:v>Client 08</x:v>
      </x:c>
      <x:c r="D296" t="str">
        <x:v>Fret maritime</x:v>
      </x:c>
      <x:c r="E296" t="str">
        <x:v>Pôle E</x:v>
      </x:c>
      <x:c r="F296" s="18" t="n">
        <x:v>2177.76</x:v>
      </x:c>
      <x:c r="G296" s="18" t="n">
        <x:v>2177.76</x:v>
      </x:c>
      <x:c r="H296" t="str">
        <x:v>Client 08</x:v>
      </x:c>
      <x:c r="I296" s="16" t="n">
        <x:v>46350</x:v>
      </x:c>
    </x:row>
    <x:row r="297">
      <x:c r="A297" t="str">
        <x:v>DV-2026-00296</x:v>
      </x:c>
      <x:c r="B297" s="16" t="n">
        <x:v>46211</x:v>
      </x:c>
      <x:c r="C297" t="str">
        <x:v>Client 27</x:v>
      </x:c>
      <x:c r="D297" t="str">
        <x:v>Douane</x:v>
      </x:c>
      <x:c r="E297" t="str">
        <x:v>Pôle C</x:v>
      </x:c>
      <x:c r="F297" s="18" t="n">
        <x:v>9379.17</x:v>
      </x:c>
      <x:c r="G297" s="18" t="n">
        <x:v>4934.68</x:v>
      </x:c>
      <x:c r="H297" t="str">
        <x:v>Client 27</x:v>
      </x:c>
      <x:c r="I297" s="16" t="n">
        <x:v>46270</x:v>
      </x:c>
    </x:row>
    <x:row r="298">
      <x:c r="A298" t="str">
        <x:v>DV-2024-00297</x:v>
      </x:c>
      <x:c r="B298" s="16" t="n">
        <x:v>45378</x:v>
      </x:c>
      <x:c r="C298" t="str">
        <x:v>Client 35</x:v>
      </x:c>
      <x:c r="D298" t="str">
        <x:v>Fret aérien</x:v>
      </x:c>
      <x:c r="E298" t="str">
        <x:v>Pôle A</x:v>
      </x:c>
      <x:c r="F298" s="18" t="n">
        <x:v>21938.74</x:v>
      </x:c>
      <x:c r="G298" s="18" t="n">
        <x:v>21938.74</x:v>
      </x:c>
      <x:c r="H298" t="str">
        <x:v>Client 35</x:v>
      </x:c>
      <x:c r="I298" s="16" t="n">
        <x:v>45428</x:v>
      </x:c>
    </x:row>
    <x:row r="299">
      <x:c r="A299" t="str">
        <x:v>DV-2026-00298</x:v>
      </x:c>
      <x:c r="B299" s="16" t="n">
        <x:v>46246</x:v>
      </x:c>
      <x:c r="C299" t="str">
        <x:v>Client 33</x:v>
      </x:c>
      <x:c r="D299" t="str">
        <x:v>Express</x:v>
      </x:c>
      <x:c r="E299" t="str">
        <x:v>Pôle E</x:v>
      </x:c>
      <x:c r="F299" s="18" t="n">
        <x:v>18938.31</x:v>
      </x:c>
      <x:c r="G299" s="18" t="n">
        <x:v>18938.31</x:v>
      </x:c>
      <x:c r="H299" t="str">
        <x:v>Client 41</x:v>
      </x:c>
      <x:c r="I299" s="16" t="n">
        <x:v>46333</x:v>
      </x:c>
    </x:row>
    <x:row r="300">
      <x:c r="A300" t="str">
        <x:v>DV-2026-00299</x:v>
      </x:c>
      <x:c r="B300" s="16" t="n">
        <x:v>46031</x:v>
      </x:c>
      <x:c r="C300" t="str">
        <x:v>Client 21</x:v>
      </x:c>
      <x:c r="D300" t="str">
        <x:v>Express</x:v>
      </x:c>
      <x:c r="E300" t="str">
        <x:v>Pôle B</x:v>
      </x:c>
      <x:c r="F300" s="18" t="n">
        <x:v>21331.26</x:v>
      </x:c>
      <x:c r="G300" s="18" t="n">
        <x:v>21331.26</x:v>
      </x:c>
      <x:c r="H300" t="str">
        <x:v>Client 21</x:v>
      </x:c>
      <x:c r="I300" s="16" t="n">
        <x:v>46096</x:v>
      </x:c>
    </x:row>
    <x:row r="301">
      <x:c r="A301" t="str">
        <x:v>DV-2024-00300</x:v>
      </x:c>
      <x:c r="B301" s="16" t="n">
        <x:v>45549</x:v>
      </x:c>
      <x:c r="C301" t="str">
        <x:v>Client 43</x:v>
      </x:c>
      <x:c r="D301" t="str">
        <x:v>Fret maritime</x:v>
      </x:c>
      <x:c r="E301" t="str">
        <x:v>Pôle C</x:v>
      </x:c>
      <x:c r="F301" s="18" t="n">
        <x:v>5506.88</x:v>
      </x:c>
      <x:c r="G301" s="18" t="n">
        <x:v>0</x:v>
      </x:c>
      <x:c r="H301" t="str">
        <x:v>Client 43</x:v>
      </x:c>
      <x:c r="I301" s="16"/>
    </x:row>
    <x:row r="302">
      <x:c r="A302" t="str">
        <x:v>DV-2024-00301</x:v>
      </x:c>
      <x:c r="B302" s="16" t="n">
        <x:v>45485</x:v>
      </x:c>
      <x:c r="C302" t="str">
        <x:v>Client 22</x:v>
      </x:c>
      <x:c r="D302" t="str">
        <x:v>Douane</x:v>
      </x:c>
      <x:c r="E302" t="str">
        <x:v>Pôle C</x:v>
      </x:c>
      <x:c r="F302" s="18" t="n">
        <x:v>15960.49</x:v>
      </x:c>
      <x:c r="G302" s="18" t="n">
        <x:v>12715.04</x:v>
      </x:c>
      <x:c r="H302" t="str">
        <x:v>Client 22</x:v>
      </x:c>
      <x:c r="I302" s="16" t="n">
        <x:v>45533</x:v>
      </x:c>
    </x:row>
    <x:row r="303">
      <x:c r="A303" t="str">
        <x:v>DV-2024-00302</x:v>
      </x:c>
      <x:c r="B303" s="16" t="n">
        <x:v>45358</x:v>
      </x:c>
      <x:c r="C303" t="str">
        <x:v>Client 33</x:v>
      </x:c>
      <x:c r="D303" t="str">
        <x:v>Fret maritime</x:v>
      </x:c>
      <x:c r="E303" t="str">
        <x:v>Pôle E</x:v>
      </x:c>
      <x:c r="F303" s="18" t="n">
        <x:v>21459.74</x:v>
      </x:c>
      <x:c r="G303" s="18" t="n">
        <x:v>21459.74</x:v>
      </x:c>
      <x:c r="H303" t="str">
        <x:v>Client 33</x:v>
      </x:c>
      <x:c r="I303" s="16" t="n">
        <x:v>45417</x:v>
      </x:c>
    </x:row>
    <x:row r="304">
      <x:c r="A304" t="str">
        <x:v>DV-2026-00303</x:v>
      </x:c>
      <x:c r="B304" s="16" t="n">
        <x:v>46145</x:v>
      </x:c>
      <x:c r="C304" t="str">
        <x:v>Client 41</x:v>
      </x:c>
      <x:c r="D304" t="str">
        <x:v>Fret aérien</x:v>
      </x:c>
      <x:c r="E304" t="str">
        <x:v>Pôle B</x:v>
      </x:c>
      <x:c r="F304" s="18" t="n">
        <x:v>9436.69</x:v>
      </x:c>
      <x:c r="G304" s="18" t="n">
        <x:v>9436.69</x:v>
      </x:c>
      <x:c r="H304" t="str">
        <x:v>Client 41</x:v>
      </x:c>
      <x:c r="I304" s="16" t="n">
        <x:v>46217</x:v>
      </x:c>
    </x:row>
    <x:row r="305">
      <x:c r="A305" t="str">
        <x:v>DV-2024-00304</x:v>
      </x:c>
      <x:c r="B305" s="16" t="n">
        <x:v>45394</x:v>
      </x:c>
      <x:c r="C305" t="str">
        <x:v>Client 30</x:v>
      </x:c>
      <x:c r="D305" t="str">
        <x:v>Fret maritime</x:v>
      </x:c>
      <x:c r="E305" t="str">
        <x:v>Pôle C</x:v>
      </x:c>
      <x:c r="F305" s="18" t="n">
        <x:v>5278.79</x:v>
      </x:c>
      <x:c r="G305" s="18" t="n">
        <x:v>5278.79</x:v>
      </x:c>
      <x:c r="H305" t="str">
        <x:v>Client 30</x:v>
      </x:c>
      <x:c r="I305" s="16" t="n">
        <x:v>45475</x:v>
      </x:c>
    </x:row>
    <x:row r="306">
      <x:c r="A306" t="str">
        <x:v>DV-2025-00305</x:v>
      </x:c>
      <x:c r="B306" s="16" t="n">
        <x:v>45661</x:v>
      </x:c>
      <x:c r="C306" t="str">
        <x:v>Client 13</x:v>
      </x:c>
      <x:c r="D306" t="str">
        <x:v>Fret maritime</x:v>
      </x:c>
      <x:c r="E306" t="str">
        <x:v>Pôle A</x:v>
      </x:c>
      <x:c r="F306" s="18" t="n">
        <x:v>18299.33</x:v>
      </x:c>
      <x:c r="G306" s="18" t="n">
        <x:v>18299.33</x:v>
      </x:c>
      <x:c r="H306" t="str">
        <x:v>Client 13</x:v>
      </x:c>
      <x:c r="I306" s="16" t="n">
        <x:v>45701</x:v>
      </x:c>
    </x:row>
    <x:row r="307">
      <x:c r="A307" t="str">
        <x:v>DV-2025-00306</x:v>
      </x:c>
      <x:c r="B307" s="16" t="n">
        <x:v>45764</x:v>
      </x:c>
      <x:c r="C307" t="str">
        <x:v>Client 47</x:v>
      </x:c>
      <x:c r="D307" t="str">
        <x:v>Fret aérien</x:v>
      </x:c>
      <x:c r="E307" t="str">
        <x:v>Pôle E</x:v>
      </x:c>
      <x:c r="F307" s="18" t="n">
        <x:v>12312.72</x:v>
      </x:c>
      <x:c r="G307" s="18" t="n">
        <x:v>0</x:v>
      </x:c>
      <x:c r="H307" t="str">
        <x:v>Client 47</x:v>
      </x:c>
      <x:c r="I307" s="16"/>
    </x:row>
    <x:row r="308">
      <x:c r="A308" t="str">
        <x:v>DV-2025-00307</x:v>
      </x:c>
      <x:c r="B308" s="16" t="n">
        <x:v>45835</x:v>
      </x:c>
      <x:c r="C308" t="str">
        <x:v>Client 10</x:v>
      </x:c>
      <x:c r="D308" t="str">
        <x:v>Express</x:v>
      </x:c>
      <x:c r="E308" t="str">
        <x:v>Pôle B</x:v>
      </x:c>
      <x:c r="F308" s="18" t="n">
        <x:v>19994.44</x:v>
      </x:c>
      <x:c r="G308" s="18" t="n">
        <x:v>19994.44</x:v>
      </x:c>
      <x:c r="H308" t="str">
        <x:v>Client 10</x:v>
      </x:c>
      <x:c r="I308" s="16" t="n">
        <x:v>45852</x:v>
      </x:c>
    </x:row>
    <x:row r="309">
      <x:c r="A309" t="str">
        <x:v>DV-2025-00308</x:v>
      </x:c>
      <x:c r="B309" s="16" t="n">
        <x:v>45813</x:v>
      </x:c>
      <x:c r="C309" t="str">
        <x:v>Client 31</x:v>
      </x:c>
      <x:c r="D309" t="str">
        <x:v>Fret aérien</x:v>
      </x:c>
      <x:c r="E309" t="str">
        <x:v>Pôle D</x:v>
      </x:c>
      <x:c r="F309" s="18" t="n">
        <x:v>1329.89</x:v>
      </x:c>
      <x:c r="G309" s="18" t="n">
        <x:v>1329.89</x:v>
      </x:c>
      <x:c r="H309" t="str">
        <x:v>Client 31</x:v>
      </x:c>
      <x:c r="I309" s="16" t="n">
        <x:v>45868</x:v>
      </x:c>
    </x:row>
    <x:row r="310">
      <x:c r="A310" t="str">
        <x:v>DV-2026-00309</x:v>
      </x:c>
      <x:c r="B310" s="16" t="n">
        <x:v>46103</x:v>
      </x:c>
      <x:c r="C310" t="str">
        <x:v>Client 10</x:v>
      </x:c>
      <x:c r="D310" t="str">
        <x:v>Fret maritime</x:v>
      </x:c>
      <x:c r="E310" t="str">
        <x:v>Pôle A</x:v>
      </x:c>
      <x:c r="F310" s="18" t="n">
        <x:v>24472.15</x:v>
      </x:c>
      <x:c r="G310" s="18" t="n">
        <x:v>0</x:v>
      </x:c>
      <x:c r="H310" t="str">
        <x:v>Client 10</x:v>
      </x:c>
      <x:c r="I310" s="16"/>
    </x:row>
    <x:row r="311">
      <x:c r="A311" t="str">
        <x:v>DV-2025-00310</x:v>
      </x:c>
      <x:c r="B311" s="16" t="n">
        <x:v>45943</x:v>
      </x:c>
      <x:c r="C311" t="str">
        <x:v>Client 16</x:v>
      </x:c>
      <x:c r="D311" t="str">
        <x:v>Logistique</x:v>
      </x:c>
      <x:c r="E311" t="str">
        <x:v>Pôle E</x:v>
      </x:c>
      <x:c r="F311" s="18" t="n">
        <x:v>278.77</x:v>
      </x:c>
      <x:c r="G311" s="18" t="n">
        <x:v>278.77</x:v>
      </x:c>
      <x:c r="H311" t="str">
        <x:v>Client 16</x:v>
      </x:c>
      <x:c r="I311" s="16" t="n">
        <x:v>45952</x:v>
      </x:c>
    </x:row>
    <x:row r="312">
      <x:c r="A312" t="str">
        <x:v>DV-2025-00311</x:v>
      </x:c>
      <x:c r="B312" s="16" t="n">
        <x:v>45946</x:v>
      </x:c>
      <x:c r="C312" t="str">
        <x:v>Client 46</x:v>
      </x:c>
      <x:c r="D312" t="str">
        <x:v>Logistique</x:v>
      </x:c>
      <x:c r="E312" t="str">
        <x:v>Pôle D</x:v>
      </x:c>
      <x:c r="F312" s="18" t="n">
        <x:v>13255.97</x:v>
      </x:c>
      <x:c r="G312" s="18" t="n">
        <x:v>13255.97</x:v>
      </x:c>
      <x:c r="H312" t="str">
        <x:v>Client 31</x:v>
      </x:c>
      <x:c r="I312" s="16" t="n">
        <x:v>45975</x:v>
      </x:c>
    </x:row>
    <x:row r="313">
      <x:c r="A313" t="str">
        <x:v>DV-2026-00312</x:v>
      </x:c>
      <x:c r="B313" s="16" t="n">
        <x:v>46104</x:v>
      </x:c>
      <x:c r="C313" t="str">
        <x:v>Client 22</x:v>
      </x:c>
      <x:c r="D313" t="str">
        <x:v>Douane</x:v>
      </x:c>
      <x:c r="E313" t="str">
        <x:v>Pôle D</x:v>
      </x:c>
      <x:c r="F313" s="18" t="n">
        <x:v>13039.17</x:v>
      </x:c>
      <x:c r="G313" s="18" t="n">
        <x:v>13039.17</x:v>
      </x:c>
      <x:c r="H313" t="str">
        <x:v>Client 22</x:v>
      </x:c>
      <x:c r="I313" s="16" t="n">
        <x:v>46171</x:v>
      </x:c>
    </x:row>
    <x:row r="314">
      <x:c r="A314" t="str">
        <x:v>DV-2024-00313</x:v>
      </x:c>
      <x:c r="B314" s="16" t="n">
        <x:v>45404</x:v>
      </x:c>
      <x:c r="C314" t="str">
        <x:v>Client 11</x:v>
      </x:c>
      <x:c r="D314" t="str">
        <x:v>Logistique</x:v>
      </x:c>
      <x:c r="E314" t="str">
        <x:v>Pôle B</x:v>
      </x:c>
      <x:c r="F314" s="18" t="n">
        <x:v>23628.09</x:v>
      </x:c>
      <x:c r="G314" s="18" t="n">
        <x:v>23628.09</x:v>
      </x:c>
      <x:c r="H314" t="str">
        <x:v>Client 11</x:v>
      </x:c>
      <x:c r="I314" s="16" t="n">
        <x:v>45434</x:v>
      </x:c>
    </x:row>
    <x:row r="315">
      <x:c r="A315" t="str">
        <x:v>DV-2025-00314</x:v>
      </x:c>
      <x:c r="B315" s="16" t="n">
        <x:v>46012</x:v>
      </x:c>
      <x:c r="C315" t="str">
        <x:v>Client 45</x:v>
      </x:c>
      <x:c r="D315" t="str">
        <x:v>Fret maritime</x:v>
      </x:c>
      <x:c r="E315" t="str">
        <x:v>Pôle B</x:v>
      </x:c>
      <x:c r="F315" s="18" t="n">
        <x:v>20687.46</x:v>
      </x:c>
      <x:c r="G315" s="18" t="n">
        <x:v>6818.11</x:v>
      </x:c>
      <x:c r="H315" t="str">
        <x:v>Client 45</x:v>
      </x:c>
      <x:c r="I315" s="16" t="n">
        <x:v>46060</x:v>
      </x:c>
    </x:row>
    <x:row r="316">
      <x:c r="A316" t="str">
        <x:v>DV-2024-00315</x:v>
      </x:c>
      <x:c r="B316" s="16" t="n">
        <x:v>45574</x:v>
      </x:c>
      <x:c r="C316" t="str">
        <x:v>Client 03</x:v>
      </x:c>
      <x:c r="D316" t="str">
        <x:v>Douane</x:v>
      </x:c>
      <x:c r="E316" t="str">
        <x:v>Pôle D</x:v>
      </x:c>
      <x:c r="F316" s="18" t="n">
        <x:v>18134.23</x:v>
      </x:c>
      <x:c r="G316" s="18" t="n">
        <x:v>18134.23</x:v>
      </x:c>
      <x:c r="H316" t="str">
        <x:v>Client 39</x:v>
      </x:c>
      <x:c r="I316" s="16" t="n">
        <x:v>45649</x:v>
      </x:c>
    </x:row>
    <x:row r="317">
      <x:c r="A317" t="str">
        <x:v>DV-2026-00316</x:v>
      </x:c>
      <x:c r="B317" s="16" t="n">
        <x:v>46277</x:v>
      </x:c>
      <x:c r="C317" t="str">
        <x:v>Client 30</x:v>
      </x:c>
      <x:c r="D317" t="str">
        <x:v>Douane</x:v>
      </x:c>
      <x:c r="E317" t="str">
        <x:v>Pôle A</x:v>
      </x:c>
      <x:c r="F317" s="18" t="n">
        <x:v>2166.27</x:v>
      </x:c>
      <x:c r="G317" s="18" t="n">
        <x:v>2166.27</x:v>
      </x:c>
      <x:c r="H317" t="str">
        <x:v>Client 30</x:v>
      </x:c>
      <x:c r="I317" s="16" t="n">
        <x:v>46308</x:v>
      </x:c>
    </x:row>
    <x:row r="318">
      <x:c r="A318" t="str">
        <x:v>DV-2025-00317</x:v>
      </x:c>
      <x:c r="B318" s="16" t="n">
        <x:v>45667</x:v>
      </x:c>
      <x:c r="C318" t="str">
        <x:v>Client 43</x:v>
      </x:c>
      <x:c r="D318" t="str">
        <x:v>Fret aérien</x:v>
      </x:c>
      <x:c r="E318" t="str">
        <x:v>Pôle D</x:v>
      </x:c>
      <x:c r="F318" s="18" t="n">
        <x:v>11897.16</x:v>
      </x:c>
      <x:c r="G318" s="18" t="n">
        <x:v>11897.16</x:v>
      </x:c>
      <x:c r="H318" t="str">
        <x:v>Client 43</x:v>
      </x:c>
      <x:c r="I318" s="16" t="n">
        <x:v>45749</x:v>
      </x:c>
    </x:row>
    <x:row r="319">
      <x:c r="A319" t="str">
        <x:v>DV-2025-00318</x:v>
      </x:c>
      <x:c r="B319" s="16" t="n">
        <x:v>45818</x:v>
      </x:c>
      <x:c r="C319" t="str">
        <x:v>Client 31</x:v>
      </x:c>
      <x:c r="D319" t="str">
        <x:v>Fret aérien</x:v>
      </x:c>
      <x:c r="E319" t="str">
        <x:v>Pôle E</x:v>
      </x:c>
      <x:c r="F319" s="18" t="n">
        <x:v>23753.67</x:v>
      </x:c>
      <x:c r="G319" s="18" t="n">
        <x:v>23753.67</x:v>
      </x:c>
      <x:c r="H319" t="str">
        <x:v>Client 31</x:v>
      </x:c>
      <x:c r="I319" s="16" t="n">
        <x:v>45834</x:v>
      </x:c>
    </x:row>
    <x:row r="320">
      <x:c r="A320" t="str">
        <x:v>DV-2025-00319</x:v>
      </x:c>
      <x:c r="B320" s="16" t="n">
        <x:v>45719</x:v>
      </x:c>
      <x:c r="C320" t="str">
        <x:v>Client 06</x:v>
      </x:c>
      <x:c r="D320" t="str">
        <x:v>Fret maritime</x:v>
      </x:c>
      <x:c r="E320" t="str">
        <x:v>Pôle B</x:v>
      </x:c>
      <x:c r="F320" s="18" t="n">
        <x:v>15235.71</x:v>
      </x:c>
      <x:c r="G320" s="18" t="n">
        <x:v>15235.71</x:v>
      </x:c>
      <x:c r="H320" t="str">
        <x:v>Client 06</x:v>
      </x:c>
      <x:c r="I320" s="16" t="n">
        <x:v>45814</x:v>
      </x:c>
    </x:row>
    <x:row r="321">
      <x:c r="A321" t="str">
        <x:v>DV-2024-00320</x:v>
      </x:c>
      <x:c r="B321" s="16" t="n">
        <x:v>45442</x:v>
      </x:c>
      <x:c r="C321" t="str">
        <x:v>Client 31</x:v>
      </x:c>
      <x:c r="D321" t="str">
        <x:v>Logistique</x:v>
      </x:c>
      <x:c r="E321" t="str">
        <x:v>Pôle B</x:v>
      </x:c>
      <x:c r="F321" s="18" t="n">
        <x:v>24035.35</x:v>
      </x:c>
      <x:c r="G321" s="18" t="n">
        <x:v>24035.35</x:v>
      </x:c>
      <x:c r="H321" t="str">
        <x:v>Client 31</x:v>
      </x:c>
      <x:c r="I321" s="16" t="n">
        <x:v>45473</x:v>
      </x:c>
    </x:row>
    <x:row r="322">
      <x:c r="A322" t="str">
        <x:v>DV-2026-00321</x:v>
      </x:c>
      <x:c r="B322" s="16" t="n">
        <x:v>46210</x:v>
      </x:c>
      <x:c r="C322" t="str">
        <x:v>Client 21</x:v>
      </x:c>
      <x:c r="D322" t="str">
        <x:v>Fret aérien</x:v>
      </x:c>
      <x:c r="E322" t="str">
        <x:v>Pôle A</x:v>
      </x:c>
      <x:c r="F322" s="18" t="n">
        <x:v>16599.89</x:v>
      </x:c>
      <x:c r="G322" s="18" t="n">
        <x:v>6161.01</x:v>
      </x:c>
      <x:c r="H322" t="str">
        <x:v>Client 21</x:v>
      </x:c>
      <x:c r="I322" s="16" t="n">
        <x:v>46278</x:v>
      </x:c>
    </x:row>
    <x:row r="323">
      <x:c r="A323" t="str">
        <x:v>DV-2025-00322</x:v>
      </x:c>
      <x:c r="B323" s="16" t="n">
        <x:v>45835</x:v>
      </x:c>
      <x:c r="C323" t="str">
        <x:v>Client 25</x:v>
      </x:c>
      <x:c r="D323" t="str">
        <x:v>Logistique</x:v>
      </x:c>
      <x:c r="E323" t="str">
        <x:v>Pôle B</x:v>
      </x:c>
      <x:c r="F323" s="18" t="n">
        <x:v>22408.38</x:v>
      </x:c>
      <x:c r="G323" s="18" t="n">
        <x:v>22408.38</x:v>
      </x:c>
      <x:c r="H323" t="str">
        <x:v>Client 25</x:v>
      </x:c>
      <x:c r="I323" s="16" t="n">
        <x:v>45870</x:v>
      </x:c>
    </x:row>
    <x:row r="324">
      <x:c r="A324" t="str">
        <x:v>DV-2024-00323</x:v>
      </x:c>
      <x:c r="B324" s="16" t="n">
        <x:v>45325</x:v>
      </x:c>
      <x:c r="C324" t="str">
        <x:v>Client 11</x:v>
      </x:c>
      <x:c r="D324" t="str">
        <x:v>Logistique</x:v>
      </x:c>
      <x:c r="E324" t="str">
        <x:v>Pôle E</x:v>
      </x:c>
      <x:c r="F324" s="18" t="n">
        <x:v>768.54</x:v>
      </x:c>
      <x:c r="G324" s="18" t="n">
        <x:v>0</x:v>
      </x:c>
      <x:c r="H324" t="str">
        <x:v>Client 01</x:v>
      </x:c>
      <x:c r="I324" s="16"/>
    </x:row>
    <x:row r="325">
      <x:c r="A325" t="str">
        <x:v>DV-2024-00324</x:v>
      </x:c>
      <x:c r="B325" s="16" t="n">
        <x:v>45653</x:v>
      </x:c>
      <x:c r="C325" t="str">
        <x:v>Client 01</x:v>
      </x:c>
      <x:c r="D325" t="str">
        <x:v>Fret aérien</x:v>
      </x:c>
      <x:c r="E325" t="str">
        <x:v>Pôle C</x:v>
      </x:c>
      <x:c r="F325" s="18" t="n">
        <x:v>21799.96</x:v>
      </x:c>
      <x:c r="G325" s="18" t="n">
        <x:v>21799.96</x:v>
      </x:c>
      <x:c r="H325" t="str">
        <x:v>Client 01</x:v>
      </x:c>
      <x:c r="I325" s="16" t="n">
        <x:v>45673</x:v>
      </x:c>
    </x:row>
    <x:row r="326">
      <x:c r="A326" t="str">
        <x:v>DV-2026-00325</x:v>
      </x:c>
      <x:c r="B326" s="16" t="n">
        <x:v>46105</x:v>
      </x:c>
      <x:c r="C326" t="str">
        <x:v>Client 13</x:v>
      </x:c>
      <x:c r="D326" t="str">
        <x:v>Express</x:v>
      </x:c>
      <x:c r="E326" t="str">
        <x:v>Pôle D</x:v>
      </x:c>
      <x:c r="F326" s="18" t="n">
        <x:v>24333.7</x:v>
      </x:c>
      <x:c r="G326" s="18" t="n">
        <x:v>24333.7</x:v>
      </x:c>
      <x:c r="H326" t="str">
        <x:v>Client 13</x:v>
      </x:c>
      <x:c r="I326" s="16" t="n">
        <x:v>46179</x:v>
      </x:c>
    </x:row>
    <x:row r="327">
      <x:c r="A327" t="str">
        <x:v>DV-2026-00326</x:v>
      </x:c>
      <x:c r="B327" s="16" t="n">
        <x:v>46170</x:v>
      </x:c>
      <x:c r="C327" t="str">
        <x:v>Client 12</x:v>
      </x:c>
      <x:c r="D327" t="str">
        <x:v>Logistique</x:v>
      </x:c>
      <x:c r="E327" t="str">
        <x:v>Pôle D</x:v>
      </x:c>
      <x:c r="F327" s="18" t="n">
        <x:v>22602.6</x:v>
      </x:c>
      <x:c r="G327" s="18" t="n">
        <x:v>22602.6</x:v>
      </x:c>
      <x:c r="H327" t="str">
        <x:v>Client 12</x:v>
      </x:c>
      <x:c r="I327" s="16" t="n">
        <x:v>46251</x:v>
      </x:c>
    </x:row>
    <x:row r="328">
      <x:c r="A328" t="str">
        <x:v>DV-2024-00327</x:v>
      </x:c>
      <x:c r="B328" s="16" t="n">
        <x:v>45399</x:v>
      </x:c>
      <x:c r="C328" t="str">
        <x:v>Client 01</x:v>
      </x:c>
      <x:c r="D328" t="str">
        <x:v>Express</x:v>
      </x:c>
      <x:c r="E328" t="str">
        <x:v>Pôle E</x:v>
      </x:c>
      <x:c r="F328" s="18" t="n">
        <x:v>1356.44</x:v>
      </x:c>
      <x:c r="G328" s="18" t="n">
        <x:v>1356.44</x:v>
      </x:c>
      <x:c r="H328" t="str">
        <x:v>Client 01</x:v>
      </x:c>
      <x:c r="I328" s="16" t="n">
        <x:v>45475</x:v>
      </x:c>
    </x:row>
    <x:row r="329">
      <x:c r="A329" t="str">
        <x:v>DV-2025-00328</x:v>
      </x:c>
      <x:c r="B329" s="16" t="n">
        <x:v>45868</x:v>
      </x:c>
      <x:c r="C329" t="str">
        <x:v>Client 37</x:v>
      </x:c>
      <x:c r="D329" t="str">
        <x:v>Express</x:v>
      </x:c>
      <x:c r="E329" t="str">
        <x:v>Pôle E</x:v>
      </x:c>
      <x:c r="F329" s="18" t="n">
        <x:v>13234.59</x:v>
      </x:c>
      <x:c r="G329" s="18" t="n">
        <x:v>13234.59</x:v>
      </x:c>
      <x:c r="H329" t="str">
        <x:v>Client 37</x:v>
      </x:c>
      <x:c r="I329" s="16" t="n">
        <x:v>45884</x:v>
      </x:c>
    </x:row>
    <x:row r="330">
      <x:c r="A330" t="str">
        <x:v>DV-2025-00329</x:v>
      </x:c>
      <x:c r="B330" s="16" t="n">
        <x:v>45955</x:v>
      </x:c>
      <x:c r="C330" t="str">
        <x:v>Client 31</x:v>
      </x:c>
      <x:c r="D330" t="str">
        <x:v>Logistique</x:v>
      </x:c>
      <x:c r="E330" t="str">
        <x:v>Pôle E</x:v>
      </x:c>
      <x:c r="F330" s="18" t="n">
        <x:v>7884.04</x:v>
      </x:c>
      <x:c r="G330" s="18" t="n">
        <x:v>7884.04</x:v>
      </x:c>
      <x:c r="H330" t="str">
        <x:v>Client 31</x:v>
      </x:c>
      <x:c r="I330" s="16" t="n">
        <x:v>46030</x:v>
      </x:c>
    </x:row>
    <x:row r="331">
      <x:c r="A331" t="str">
        <x:v>DV-2026-00330</x:v>
      </x:c>
      <x:c r="B331" s="16" t="n">
        <x:v>46148</x:v>
      </x:c>
      <x:c r="C331" t="str">
        <x:v>Client 02</x:v>
      </x:c>
      <x:c r="D331" t="str">
        <x:v>Logistique</x:v>
      </x:c>
      <x:c r="E331" t="str">
        <x:v>Pôle A</x:v>
      </x:c>
      <x:c r="F331" s="18" t="n">
        <x:v>8380.75</x:v>
      </x:c>
      <x:c r="G331" s="18" t="n">
        <x:v>8380.75</x:v>
      </x:c>
      <x:c r="H331" t="str">
        <x:v>Client 02</x:v>
      </x:c>
      <x:c r="I331" s="16" t="n">
        <x:v>46237</x:v>
      </x:c>
    </x:row>
    <x:row r="332">
      <x:c r="A332" t="str">
        <x:v>DV-2024-00331</x:v>
      </x:c>
      <x:c r="B332" s="16" t="n">
        <x:v>45539</x:v>
      </x:c>
      <x:c r="C332" t="str">
        <x:v>Client 03</x:v>
      </x:c>
      <x:c r="D332" t="str">
        <x:v>Fret aérien</x:v>
      </x:c>
      <x:c r="E332" t="str">
        <x:v>Pôle A</x:v>
      </x:c>
      <x:c r="F332" s="18" t="n">
        <x:v>2811.48</x:v>
      </x:c>
      <x:c r="G332" s="18" t="n">
        <x:v>2811.48</x:v>
      </x:c>
      <x:c r="H332" t="str">
        <x:v>Client 03</x:v>
      </x:c>
      <x:c r="I332" s="16" t="n">
        <x:v>45571</x:v>
      </x:c>
    </x:row>
    <x:row r="333">
      <x:c r="A333" t="str">
        <x:v>DV-2025-00332</x:v>
      </x:c>
      <x:c r="B333" s="16" t="n">
        <x:v>45974</x:v>
      </x:c>
      <x:c r="C333" t="str">
        <x:v>Client 22</x:v>
      </x:c>
      <x:c r="D333" t="str">
        <x:v>Express</x:v>
      </x:c>
      <x:c r="E333" t="str">
        <x:v>Pôle C</x:v>
      </x:c>
      <x:c r="F333" s="18" t="n">
        <x:v>10576.65</x:v>
      </x:c>
      <x:c r="G333" s="18" t="n">
        <x:v>10576.65</x:v>
      </x:c>
      <x:c r="H333" t="str">
        <x:v>Client 22</x:v>
      </x:c>
      <x:c r="I333" s="16" t="n">
        <x:v>46039</x:v>
      </x:c>
    </x:row>
    <x:row r="334">
      <x:c r="A334" t="str">
        <x:v>DV-2024-00333</x:v>
      </x:c>
      <x:c r="B334" s="16" t="n">
        <x:v>45556</x:v>
      </x:c>
      <x:c r="C334" t="str">
        <x:v>Client 20</x:v>
      </x:c>
      <x:c r="D334" t="str">
        <x:v>Fret maritime</x:v>
      </x:c>
      <x:c r="E334" t="str">
        <x:v>Pôle D</x:v>
      </x:c>
      <x:c r="F334" s="18" t="n">
        <x:v>7908.15</x:v>
      </x:c>
      <x:c r="G334" s="18" t="n">
        <x:v>0</x:v>
      </x:c>
      <x:c r="H334" t="str">
        <x:v>Client 20</x:v>
      </x:c>
      <x:c r="I334" s="16"/>
    </x:row>
    <x:row r="335">
      <x:c r="A335" t="str">
        <x:v>DV-2026-00334</x:v>
      </x:c>
      <x:c r="B335" s="16" t="n">
        <x:v>46259</x:v>
      </x:c>
      <x:c r="C335" t="str">
        <x:v>Client 22</x:v>
      </x:c>
      <x:c r="D335" t="str">
        <x:v>Fret maritime</x:v>
      </x:c>
      <x:c r="E335" t="str">
        <x:v>Pôle B</x:v>
      </x:c>
      <x:c r="F335" s="18" t="n">
        <x:v>4301.85</x:v>
      </x:c>
      <x:c r="G335" s="18" t="n">
        <x:v>4301.85</x:v>
      </x:c>
      <x:c r="H335" t="str">
        <x:v>Client 22</x:v>
      </x:c>
      <x:c r="I335" s="16" t="n">
        <x:v>46273</x:v>
      </x:c>
    </x:row>
    <x:row r="336">
      <x:c r="A336" t="str">
        <x:v>DV-2024-00335</x:v>
      </x:c>
      <x:c r="B336" s="16" t="n">
        <x:v>45420</x:v>
      </x:c>
      <x:c r="C336" t="str">
        <x:v>Client 35</x:v>
      </x:c>
      <x:c r="D336" t="str">
        <x:v>Douane</x:v>
      </x:c>
      <x:c r="E336" t="str">
        <x:v>Pôle C</x:v>
      </x:c>
      <x:c r="F336" s="18" t="n">
        <x:v>9535.52</x:v>
      </x:c>
      <x:c r="G336" s="18" t="n">
        <x:v>9535.52</x:v>
      </x:c>
      <x:c r="H336" t="str">
        <x:v>Client 17</x:v>
      </x:c>
      <x:c r="I336" s="16" t="n">
        <x:v>45484</x:v>
      </x:c>
    </x:row>
    <x:row r="337">
      <x:c r="A337" t="str">
        <x:v>DV-2025-00336</x:v>
      </x:c>
      <x:c r="B337" s="16" t="n">
        <x:v>45765</x:v>
      </x:c>
      <x:c r="C337" t="str">
        <x:v>Client 11</x:v>
      </x:c>
      <x:c r="D337" t="str">
        <x:v>Douane</x:v>
      </x:c>
      <x:c r="E337" t="str">
        <x:v>Pôle C</x:v>
      </x:c>
      <x:c r="F337" s="18" t="n">
        <x:v>18767.71</x:v>
      </x:c>
      <x:c r="G337" s="18" t="n">
        <x:v>18767.71</x:v>
      </x:c>
      <x:c r="H337" t="str">
        <x:v>Client 11</x:v>
      </x:c>
      <x:c r="I337" s="16" t="n">
        <x:v>45814</x:v>
      </x:c>
    </x:row>
    <x:row r="338">
      <x:c r="A338" t="str">
        <x:v>DV-2024-00337</x:v>
      </x:c>
      <x:c r="B338" s="16" t="n">
        <x:v>45634</x:v>
      </x:c>
      <x:c r="C338" t="str">
        <x:v>Client 43</x:v>
      </x:c>
      <x:c r="D338" t="str">
        <x:v>Douane</x:v>
      </x:c>
      <x:c r="E338" t="str">
        <x:v>Pôle A</x:v>
      </x:c>
      <x:c r="F338" s="18" t="n">
        <x:v>24455.49</x:v>
      </x:c>
      <x:c r="G338" s="18" t="n">
        <x:v>24455.49</x:v>
      </x:c>
      <x:c r="H338" t="str">
        <x:v>Client 43</x:v>
      </x:c>
      <x:c r="I338" s="16" t="n">
        <x:v>45697</x:v>
      </x:c>
    </x:row>
    <x:row r="339">
      <x:c r="A339" t="str">
        <x:v>DV-2024-00338</x:v>
      </x:c>
      <x:c r="B339" s="16" t="n">
        <x:v>45378</x:v>
      </x:c>
      <x:c r="C339" t="str">
        <x:v>Client 07</x:v>
      </x:c>
      <x:c r="D339" t="str">
        <x:v>Logistique</x:v>
      </x:c>
      <x:c r="E339" t="str">
        <x:v>Pôle D</x:v>
      </x:c>
      <x:c r="F339" s="18" t="n">
        <x:v>4035.32</x:v>
      </x:c>
      <x:c r="G339" s="18" t="n">
        <x:v>4035.32</x:v>
      </x:c>
      <x:c r="H339" t="str">
        <x:v>Client 07</x:v>
      </x:c>
      <x:c r="I339" s="16" t="n">
        <x:v>45447</x:v>
      </x:c>
    </x:row>
    <x:row r="340">
      <x:c r="A340" t="str">
        <x:v>DV-2025-00339</x:v>
      </x:c>
      <x:c r="B340" s="16" t="n">
        <x:v>45829</x:v>
      </x:c>
      <x:c r="C340" t="str">
        <x:v>Client 14</x:v>
      </x:c>
      <x:c r="D340" t="str">
        <x:v>Express</x:v>
      </x:c>
      <x:c r="E340" t="str">
        <x:v>Pôle C</x:v>
      </x:c>
      <x:c r="F340" s="18" t="n">
        <x:v>16532.75</x:v>
      </x:c>
      <x:c r="G340" s="18" t="n">
        <x:v>16532.75</x:v>
      </x:c>
      <x:c r="H340" t="str">
        <x:v>Client 09</x:v>
      </x:c>
      <x:c r="I340" s="16" t="n">
        <x:v>45870</x:v>
      </x:c>
    </x:row>
    <x:row r="341">
      <x:c r="A341" t="str">
        <x:v>DV-2026-00340</x:v>
      </x:c>
      <x:c r="B341" s="16" t="n">
        <x:v>46244</x:v>
      </x:c>
      <x:c r="C341" t="str">
        <x:v>Client 39</x:v>
      </x:c>
      <x:c r="D341" t="str">
        <x:v>Logistique</x:v>
      </x:c>
      <x:c r="E341" t="str">
        <x:v>Pôle B</x:v>
      </x:c>
      <x:c r="F341" s="18" t="n">
        <x:v>6779.72</x:v>
      </x:c>
      <x:c r="G341" s="18" t="n">
        <x:v>6779.72</x:v>
      </x:c>
      <x:c r="H341" t="str">
        <x:v>Client 39</x:v>
      </x:c>
      <x:c r="I341" s="16" t="n">
        <x:v>46325</x:v>
      </x:c>
    </x:row>
    <x:row r="342">
      <x:c r="A342" t="str">
        <x:v>DV-2024-00341</x:v>
      </x:c>
      <x:c r="B342" s="16" t="n">
        <x:v>45481</x:v>
      </x:c>
      <x:c r="C342" t="str">
        <x:v>Client 28</x:v>
      </x:c>
      <x:c r="D342" t="str">
        <x:v>Douane</x:v>
      </x:c>
      <x:c r="E342" t="str">
        <x:v>Pôle A</x:v>
      </x:c>
      <x:c r="F342" s="18" t="n">
        <x:v>18510.1</x:v>
      </x:c>
      <x:c r="G342" s="18" t="n">
        <x:v>18510.1</x:v>
      </x:c>
      <x:c r="H342" t="str">
        <x:v>Client 28</x:v>
      </x:c>
      <x:c r="I342" s="16" t="n">
        <x:v>45572</x:v>
      </x:c>
    </x:row>
    <x:row r="343">
      <x:c r="A343" t="str">
        <x:v>DV-2024-00342</x:v>
      </x:c>
      <x:c r="B343" s="16" t="n">
        <x:v>45567</x:v>
      </x:c>
      <x:c r="C343" t="str">
        <x:v>Client 17</x:v>
      </x:c>
      <x:c r="D343" t="str">
        <x:v>Fret maritime</x:v>
      </x:c>
      <x:c r="E343" t="str">
        <x:v>Pôle C</x:v>
      </x:c>
      <x:c r="F343" s="18" t="n">
        <x:v>6743.54</x:v>
      </x:c>
      <x:c r="G343" s="18" t="n">
        <x:v>0</x:v>
      </x:c>
      <x:c r="H343" t="str">
        <x:v>Client 17</x:v>
      </x:c>
      <x:c r="I343" s="16"/>
    </x:row>
    <x:row r="344">
      <x:c r="A344" t="str">
        <x:v>DV-2026-00343</x:v>
      </x:c>
      <x:c r="B344" s="16" t="n">
        <x:v>46053</x:v>
      </x:c>
      <x:c r="C344" t="str">
        <x:v>Client 20</x:v>
      </x:c>
      <x:c r="D344" t="str">
        <x:v>Douane</x:v>
      </x:c>
      <x:c r="E344" t="str">
        <x:v>Pôle E</x:v>
      </x:c>
      <x:c r="F344" s="18" t="n">
        <x:v>18446.77</x:v>
      </x:c>
      <x:c r="G344" s="18" t="n">
        <x:v>18446.77</x:v>
      </x:c>
      <x:c r="H344" t="str">
        <x:v>Client 18</x:v>
      </x:c>
      <x:c r="I344" s="16" t="n">
        <x:v>46142</x:v>
      </x:c>
    </x:row>
    <x:row r="345">
      <x:c r="A345" t="str">
        <x:v>DV-2026-00344</x:v>
      </x:c>
      <x:c r="B345" s="16" t="n">
        <x:v>46275</x:v>
      </x:c>
      <x:c r="C345" t="str">
        <x:v>Client 05</x:v>
      </x:c>
      <x:c r="D345" t="str">
        <x:v>Douane</x:v>
      </x:c>
      <x:c r="E345" t="str">
        <x:v>Pôle E</x:v>
      </x:c>
      <x:c r="F345" s="18" t="n">
        <x:v>8086.64</x:v>
      </x:c>
      <x:c r="G345" s="18" t="n">
        <x:v>8086.64</x:v>
      </x:c>
      <x:c r="H345" t="str">
        <x:v>Client 05</x:v>
      </x:c>
      <x:c r="I345" s="16" t="n">
        <x:v>46330</x:v>
      </x:c>
    </x:row>
    <x:row r="346">
      <x:c r="A346" t="str">
        <x:v>DV-2024-00345</x:v>
      </x:c>
      <x:c r="B346" s="16" t="n">
        <x:v>45535</x:v>
      </x:c>
      <x:c r="C346" t="str">
        <x:v>Client 20</x:v>
      </x:c>
      <x:c r="D346" t="str">
        <x:v>Fret aérien</x:v>
      </x:c>
      <x:c r="E346" t="str">
        <x:v>Pôle B</x:v>
      </x:c>
      <x:c r="F346" s="18" t="n">
        <x:v>8555.42</x:v>
      </x:c>
      <x:c r="G346" s="18" t="n">
        <x:v>8555.42</x:v>
      </x:c>
      <x:c r="H346" t="str">
        <x:v>Client 20</x:v>
      </x:c>
      <x:c r="I346" s="16" t="n">
        <x:v>45551</x:v>
      </x:c>
    </x:row>
    <x:row r="347">
      <x:c r="A347" t="str">
        <x:v>DV-2026-00346</x:v>
      </x:c>
      <x:c r="B347" s="16" t="n">
        <x:v>46103</x:v>
      </x:c>
      <x:c r="C347" t="str">
        <x:v>Client 03</x:v>
      </x:c>
      <x:c r="D347" t="str">
        <x:v>Express</x:v>
      </x:c>
      <x:c r="E347" t="str">
        <x:v>Pôle A</x:v>
      </x:c>
      <x:c r="F347" s="18" t="n">
        <x:v>5630.6</x:v>
      </x:c>
      <x:c r="G347" s="18" t="n">
        <x:v>2530.48</x:v>
      </x:c>
      <x:c r="H347" t="str">
        <x:v>Client 03</x:v>
      </x:c>
      <x:c r="I347" s="16" t="n">
        <x:v>46194</x:v>
      </x:c>
    </x:row>
    <x:row r="348">
      <x:c r="A348" t="str">
        <x:v>DV-2025-00347</x:v>
      </x:c>
      <x:c r="B348" s="16" t="n">
        <x:v>45964</x:v>
      </x:c>
      <x:c r="C348" t="str">
        <x:v>Client 06</x:v>
      </x:c>
      <x:c r="D348" t="str">
        <x:v>Fret maritime</x:v>
      </x:c>
      <x:c r="E348" t="str">
        <x:v>Pôle E</x:v>
      </x:c>
      <x:c r="F348" s="18" t="n">
        <x:v>21118.14</x:v>
      </x:c>
      <x:c r="G348" s="18" t="n">
        <x:v>21118.14</x:v>
      </x:c>
      <x:c r="H348" t="str">
        <x:v>Client 08</x:v>
      </x:c>
      <x:c r="I348" s="16" t="n">
        <x:v>46023</x:v>
      </x:c>
    </x:row>
    <x:row r="349">
      <x:c r="A349" t="str">
        <x:v>DV-2026-00348</x:v>
      </x:c>
      <x:c r="B349" s="16" t="n">
        <x:v>46033</x:v>
      </x:c>
      <x:c r="C349" t="str">
        <x:v>Client 18</x:v>
      </x:c>
      <x:c r="D349" t="str">
        <x:v>Logistique</x:v>
      </x:c>
      <x:c r="E349" t="str">
        <x:v>Pôle D</x:v>
      </x:c>
      <x:c r="F349" s="18" t="n">
        <x:v>22684.97</x:v>
      </x:c>
      <x:c r="G349" s="18" t="n">
        <x:v>0</x:v>
      </x:c>
      <x:c r="H349" t="str">
        <x:v>Client 18</x:v>
      </x:c>
      <x:c r="I349" s="16"/>
    </x:row>
    <x:row r="350">
      <x:c r="A350" t="str">
        <x:v>DV-2024-00349</x:v>
      </x:c>
      <x:c r="B350" s="16" t="n">
        <x:v>45505</x:v>
      </x:c>
      <x:c r="C350" t="str">
        <x:v>Client 16</x:v>
      </x:c>
      <x:c r="D350" t="str">
        <x:v>Fret maritime</x:v>
      </x:c>
      <x:c r="E350" t="str">
        <x:v>Pôle E</x:v>
      </x:c>
      <x:c r="F350" s="18" t="n">
        <x:v>1465.51</x:v>
      </x:c>
      <x:c r="G350" s="18" t="n">
        <x:v>1465.51</x:v>
      </x:c>
      <x:c r="H350" t="str">
        <x:v>Client 16</x:v>
      </x:c>
      <x:c r="I350" s="16" t="n">
        <x:v>45575</x:v>
      </x:c>
    </x:row>
    <x:row r="351">
      <x:c r="A351" t="str">
        <x:v>DV-2025-00350</x:v>
      </x:c>
      <x:c r="B351" s="16" t="n">
        <x:v>45749</x:v>
      </x:c>
      <x:c r="C351" t="str">
        <x:v>Client 33</x:v>
      </x:c>
      <x:c r="D351" t="str">
        <x:v>Express</x:v>
      </x:c>
      <x:c r="E351" t="str">
        <x:v>Pôle C</x:v>
      </x:c>
      <x:c r="F351" s="18" t="n">
        <x:v>23389.35</x:v>
      </x:c>
      <x:c r="G351" s="18" t="n">
        <x:v>23389.35</x:v>
      </x:c>
      <x:c r="H351" t="str">
        <x:v>Client 33</x:v>
      </x:c>
      <x:c r="I351" s="16" t="n">
        <x:v>45818</x:v>
      </x:c>
    </x:row>
    <x:row r="352">
      <x:c r="A352" t="str">
        <x:v>DV-2026-00351</x:v>
      </x:c>
      <x:c r="B352" s="16" t="n">
        <x:v>46100</x:v>
      </x:c>
      <x:c r="C352" t="str">
        <x:v>Client 43</x:v>
      </x:c>
      <x:c r="D352" t="str">
        <x:v>Fret maritime</x:v>
      </x:c>
      <x:c r="E352" t="str">
        <x:v>Pôle C</x:v>
      </x:c>
      <x:c r="F352" s="18" t="n">
        <x:v>5848.17</x:v>
      </x:c>
      <x:c r="G352" s="18" t="n">
        <x:v>1593.87</x:v>
      </x:c>
      <x:c r="H352" t="str">
        <x:v>Client 43</x:v>
      </x:c>
      <x:c r="I352" s="16" t="n">
        <x:v>46115</x:v>
      </x:c>
    </x:row>
    <x:row r="353">
      <x:c r="A353" t="str">
        <x:v>DV-2024-00352</x:v>
      </x:c>
      <x:c r="B353" s="16" t="n">
        <x:v>45635</x:v>
      </x:c>
      <x:c r="C353" t="str">
        <x:v>Client 21</x:v>
      </x:c>
      <x:c r="D353" t="str">
        <x:v>Fret aérien</x:v>
      </x:c>
      <x:c r="E353" t="str">
        <x:v>Pôle B</x:v>
      </x:c>
      <x:c r="F353" s="18" t="n">
        <x:v>4365.3</x:v>
      </x:c>
      <x:c r="G353" s="18" t="n">
        <x:v>4365.3</x:v>
      </x:c>
      <x:c r="H353" t="str">
        <x:v>Client 21</x:v>
      </x:c>
      <x:c r="I353" s="16" t="n">
        <x:v>45723</x:v>
      </x:c>
    </x:row>
    <x:row r="354">
      <x:c r="A354" t="str">
        <x:v>DV-2024-00353</x:v>
      </x:c>
      <x:c r="B354" s="16" t="n">
        <x:v>45471</x:v>
      </x:c>
      <x:c r="C354" t="str">
        <x:v>Client 38</x:v>
      </x:c>
      <x:c r="D354" t="str">
        <x:v>Fret maritime</x:v>
      </x:c>
      <x:c r="E354" t="str">
        <x:v>Pôle E</x:v>
      </x:c>
      <x:c r="F354" s="18" t="n">
        <x:v>15199</x:v>
      </x:c>
      <x:c r="G354" s="18" t="n">
        <x:v>10154.32</x:v>
      </x:c>
      <x:c r="H354" t="str">
        <x:v>Client 38</x:v>
      </x:c>
      <x:c r="I354" s="16" t="n">
        <x:v>45500</x:v>
      </x:c>
    </x:row>
    <x:row r="355">
      <x:c r="A355" t="str">
        <x:v>DV-2024-00354</x:v>
      </x:c>
      <x:c r="B355" s="16" t="n">
        <x:v>45374</x:v>
      </x:c>
      <x:c r="C355" t="str">
        <x:v>Client 03</x:v>
      </x:c>
      <x:c r="D355" t="str">
        <x:v>Fret maritime</x:v>
      </x:c>
      <x:c r="E355" t="str">
        <x:v>Pôle D</x:v>
      </x:c>
      <x:c r="F355" s="18" t="n">
        <x:v>3962.17</x:v>
      </x:c>
      <x:c r="G355" s="18" t="n">
        <x:v>3962.17</x:v>
      </x:c>
      <x:c r="H355" t="str">
        <x:v>Client 03</x:v>
      </x:c>
      <x:c r="I355" s="16" t="n">
        <x:v>45440</x:v>
      </x:c>
    </x:row>
    <x:row r="356">
      <x:c r="A356" t="str">
        <x:v>DV-2024-00355</x:v>
      </x:c>
      <x:c r="B356" s="16" t="n">
        <x:v>45336</x:v>
      </x:c>
      <x:c r="C356" t="str">
        <x:v>Client 17</x:v>
      </x:c>
      <x:c r="D356" t="str">
        <x:v>Express</x:v>
      </x:c>
      <x:c r="E356" t="str">
        <x:v>Pôle A</x:v>
      </x:c>
      <x:c r="F356" s="18" t="n">
        <x:v>14295.44</x:v>
      </x:c>
      <x:c r="G356" s="18" t="n">
        <x:v>14295.44</x:v>
      </x:c>
      <x:c r="H356" t="str">
        <x:v>Client 17</x:v>
      </x:c>
      <x:c r="I356" s="16" t="n">
        <x:v>45377</x:v>
      </x:c>
    </x:row>
    <x:row r="357">
      <x:c r="A357" t="str">
        <x:v>DV-2026-00356</x:v>
      </x:c>
      <x:c r="B357" s="16" t="n">
        <x:v>46133</x:v>
      </x:c>
      <x:c r="C357" t="str">
        <x:v>Client 34</x:v>
      </x:c>
      <x:c r="D357" t="str">
        <x:v>Douane</x:v>
      </x:c>
      <x:c r="E357" t="str">
        <x:v>Pôle A</x:v>
      </x:c>
      <x:c r="F357" s="18" t="n">
        <x:v>14078.67</x:v>
      </x:c>
      <x:c r="G357" s="18" t="n">
        <x:v>14078.67</x:v>
      </x:c>
      <x:c r="H357" t="str">
        <x:v>Client 34</x:v>
      </x:c>
      <x:c r="I357" s="16" t="n">
        <x:v>46195</x:v>
      </x:c>
    </x:row>
    <x:row r="358">
      <x:c r="A358" t="str">
        <x:v>DV-2024-00357</x:v>
      </x:c>
      <x:c r="B358" s="16" t="n">
        <x:v>45326</x:v>
      </x:c>
      <x:c r="C358" t="str">
        <x:v>Client 13</x:v>
      </x:c>
      <x:c r="D358" t="str">
        <x:v>Douane</x:v>
      </x:c>
      <x:c r="E358" t="str">
        <x:v>Pôle E</x:v>
      </x:c>
      <x:c r="F358" s="18" t="n">
        <x:v>6868.85</x:v>
      </x:c>
      <x:c r="G358" s="18" t="n">
        <x:v>1339.6</x:v>
      </x:c>
      <x:c r="H358" t="str">
        <x:v>Client 13</x:v>
      </x:c>
      <x:c r="I358" s="16" t="n">
        <x:v>45340</x:v>
      </x:c>
    </x:row>
    <x:row r="359">
      <x:c r="A359" t="str">
        <x:v>DV-2025-00358</x:v>
      </x:c>
      <x:c r="B359" s="16" t="n">
        <x:v>45725</x:v>
      </x:c>
      <x:c r="C359" t="str">
        <x:v>Client 29</x:v>
      </x:c>
      <x:c r="D359" t="str">
        <x:v>Fret aérien</x:v>
      </x:c>
      <x:c r="E359" t="str">
        <x:v>Pôle C</x:v>
      </x:c>
      <x:c r="F359" s="18" t="n">
        <x:v>12537.49</x:v>
      </x:c>
      <x:c r="G359" s="18" t="n">
        <x:v>12537.49</x:v>
      </x:c>
      <x:c r="H359" t="str">
        <x:v>Client 29</x:v>
      </x:c>
      <x:c r="I359" s="16" t="n">
        <x:v>45818</x:v>
      </x:c>
    </x:row>
    <x:row r="360">
      <x:c r="A360" t="str">
        <x:v>DV-2024-00359</x:v>
      </x:c>
      <x:c r="B360" s="16" t="n">
        <x:v>45649</x:v>
      </x:c>
      <x:c r="C360" t="str">
        <x:v>Client 33</x:v>
      </x:c>
      <x:c r="D360" t="str">
        <x:v>Fret aérien</x:v>
      </x:c>
      <x:c r="E360" t="str">
        <x:v>Pôle C</x:v>
      </x:c>
      <x:c r="F360" s="18" t="n">
        <x:v>2133.46</x:v>
      </x:c>
      <x:c r="G360" s="18" t="n">
        <x:v>2133.46</x:v>
      </x:c>
      <x:c r="H360" t="str">
        <x:v>Client 42</x:v>
      </x:c>
      <x:c r="I360" s="16" t="n">
        <x:v>45676</x:v>
      </x:c>
    </x:row>
    <x:row r="361">
      <x:c r="A361" t="str">
        <x:v>DV-2024-00360</x:v>
      </x:c>
      <x:c r="B361" s="16" t="n">
        <x:v>45412</x:v>
      </x:c>
      <x:c r="C361" t="str">
        <x:v>Client 23</x:v>
      </x:c>
      <x:c r="D361" t="str">
        <x:v>Douane</x:v>
      </x:c>
      <x:c r="E361" t="str">
        <x:v>Pôle A</x:v>
      </x:c>
      <x:c r="F361" s="18" t="n">
        <x:v>24643.53</x:v>
      </x:c>
      <x:c r="G361" s="18" t="n">
        <x:v>3836.9</x:v>
      </x:c>
      <x:c r="H361" t="str">
        <x:v>Client 23</x:v>
      </x:c>
      <x:c r="I361" s="16" t="n">
        <x:v>45465</x:v>
      </x:c>
    </x:row>
    <x:row r="362">
      <x:c r="A362" t="str">
        <x:v>DV-2025-00361</x:v>
      </x:c>
      <x:c r="B362" s="16" t="n">
        <x:v>45835</x:v>
      </x:c>
      <x:c r="C362" t="str">
        <x:v>Client 43</x:v>
      </x:c>
      <x:c r="D362" t="str">
        <x:v>Fret aérien</x:v>
      </x:c>
      <x:c r="E362" t="str">
        <x:v>Pôle D</x:v>
      </x:c>
      <x:c r="F362" s="18" t="n">
        <x:v>16304.88</x:v>
      </x:c>
      <x:c r="G362" s="18" t="n">
        <x:v>16304.88</x:v>
      </x:c>
      <x:c r="H362" t="str">
        <x:v>Client 43</x:v>
      </x:c>
      <x:c r="I362" s="16" t="n">
        <x:v>45841</x:v>
      </x:c>
    </x:row>
    <x:row r="363">
      <x:c r="A363" t="str">
        <x:v>DV-2026-00362</x:v>
      </x:c>
      <x:c r="B363" s="16" t="n">
        <x:v>46209</x:v>
      </x:c>
      <x:c r="C363" t="str">
        <x:v>Client 41</x:v>
      </x:c>
      <x:c r="D363" t="str">
        <x:v>Fret maritime</x:v>
      </x:c>
      <x:c r="E363" t="str">
        <x:v>Pôle E</x:v>
      </x:c>
      <x:c r="F363" s="18" t="n">
        <x:v>8108.15</x:v>
      </x:c>
      <x:c r="G363" s="18" t="n">
        <x:v>8108.15</x:v>
      </x:c>
      <x:c r="H363" t="str">
        <x:v>Client 41</x:v>
      </x:c>
      <x:c r="I363" s="16" t="n">
        <x:v>46231</x:v>
      </x:c>
    </x:row>
    <x:row r="364">
      <x:c r="A364" t="str">
        <x:v>DV-2024-00363</x:v>
      </x:c>
      <x:c r="B364" s="16" t="n">
        <x:v>45510</x:v>
      </x:c>
      <x:c r="C364" t="str">
        <x:v>Client 02</x:v>
      </x:c>
      <x:c r="D364" t="str">
        <x:v>Logistique</x:v>
      </x:c>
      <x:c r="E364" t="str">
        <x:v>Pôle B</x:v>
      </x:c>
      <x:c r="F364" s="18" t="n">
        <x:v>526.55</x:v>
      </x:c>
      <x:c r="G364" s="18" t="n">
        <x:v>526.55</x:v>
      </x:c>
      <x:c r="H364" t="str">
        <x:v>Client 02</x:v>
      </x:c>
      <x:c r="I364" s="16" t="n">
        <x:v>45579</x:v>
      </x:c>
    </x:row>
    <x:row r="365">
      <x:c r="A365" t="str">
        <x:v>DV-2026-00364</x:v>
      </x:c>
      <x:c r="B365" s="16" t="n">
        <x:v>46121</x:v>
      </x:c>
      <x:c r="C365" t="str">
        <x:v>Client 43</x:v>
      </x:c>
      <x:c r="D365" t="str">
        <x:v>Fret aérien</x:v>
      </x:c>
      <x:c r="E365" t="str">
        <x:v>Pôle C</x:v>
      </x:c>
      <x:c r="F365" s="18" t="n">
        <x:v>18038.28</x:v>
      </x:c>
      <x:c r="G365" s="18" t="n">
        <x:v>18038.28</x:v>
      </x:c>
      <x:c r="H365" t="str">
        <x:v>Client 43</x:v>
      </x:c>
      <x:c r="I365" s="16" t="n">
        <x:v>46148</x:v>
      </x:c>
    </x:row>
    <x:row r="366">
      <x:c r="A366" t="str">
        <x:v>DV-2025-00365</x:v>
      </x:c>
      <x:c r="B366" s="16" t="n">
        <x:v>45693</x:v>
      </x:c>
      <x:c r="C366" t="str">
        <x:v>Client 01</x:v>
      </x:c>
      <x:c r="D366" t="str">
        <x:v>Logistique</x:v>
      </x:c>
      <x:c r="E366" t="str">
        <x:v>Pôle C</x:v>
      </x:c>
      <x:c r="F366" s="18" t="n">
        <x:v>11227.72</x:v>
      </x:c>
      <x:c r="G366" s="18" t="n">
        <x:v>9625.15</x:v>
      </x:c>
      <x:c r="H366" t="str">
        <x:v>Client 01</x:v>
      </x:c>
      <x:c r="I366" s="16" t="n">
        <x:v>45759</x:v>
      </x:c>
    </x:row>
    <x:row r="367">
      <x:c r="A367" t="str">
        <x:v>DV-2025-00366</x:v>
      </x:c>
      <x:c r="B367" s="16" t="n">
        <x:v>45743</x:v>
      </x:c>
      <x:c r="C367" t="str">
        <x:v>Client 23</x:v>
      </x:c>
      <x:c r="D367" t="str">
        <x:v>Express</x:v>
      </x:c>
      <x:c r="E367" t="str">
        <x:v>Pôle A</x:v>
      </x:c>
      <x:c r="F367" s="18" t="n">
        <x:v>13677.59</x:v>
      </x:c>
      <x:c r="G367" s="18" t="n">
        <x:v>13677.59</x:v>
      </x:c>
      <x:c r="H367" t="str">
        <x:v>Client 23</x:v>
      </x:c>
      <x:c r="I367" s="16" t="n">
        <x:v>45792</x:v>
      </x:c>
    </x:row>
    <x:row r="368">
      <x:c r="A368" t="str">
        <x:v>DV-2024-00367</x:v>
      </x:c>
      <x:c r="B368" s="16" t="n">
        <x:v>45611</x:v>
      </x:c>
      <x:c r="C368" t="str">
        <x:v>Client 48</x:v>
      </x:c>
      <x:c r="D368" t="str">
        <x:v>Fret maritime</x:v>
      </x:c>
      <x:c r="E368" t="str">
        <x:v>Pôle B</x:v>
      </x:c>
      <x:c r="F368" s="18" t="n">
        <x:v>2884.46</x:v>
      </x:c>
      <x:c r="G368" s="18" t="n">
        <x:v>0</x:v>
      </x:c>
      <x:c r="H368" t="str">
        <x:v>Client 48</x:v>
      </x:c>
      <x:c r="I368" s="16"/>
    </x:row>
    <x:row r="369">
      <x:c r="A369" t="str">
        <x:v>DV-2025-00368</x:v>
      </x:c>
      <x:c r="B369" s="16" t="n">
        <x:v>45849</x:v>
      </x:c>
      <x:c r="C369" t="str">
        <x:v>Client 32</x:v>
      </x:c>
      <x:c r="D369" t="str">
        <x:v>Fret maritime</x:v>
      </x:c>
      <x:c r="E369" t="str">
        <x:v>Pôle C</x:v>
      </x:c>
      <x:c r="F369" s="18" t="n">
        <x:v>6782.15</x:v>
      </x:c>
      <x:c r="G369" s="18" t="n">
        <x:v>6782.15</x:v>
      </x:c>
      <x:c r="H369" t="str">
        <x:v>Client 32</x:v>
      </x:c>
      <x:c r="I369" s="16" t="n">
        <x:v>45880</x:v>
      </x:c>
    </x:row>
    <x:row r="370">
      <x:c r="A370" t="str">
        <x:v>DV-2025-00369</x:v>
      </x:c>
      <x:c r="B370" s="16" t="n">
        <x:v>45855</x:v>
      </x:c>
      <x:c r="C370" t="str">
        <x:v>Client 17</x:v>
      </x:c>
      <x:c r="D370" t="str">
        <x:v>Fret maritime</x:v>
      </x:c>
      <x:c r="E370" t="str">
        <x:v>Pôle B</x:v>
      </x:c>
      <x:c r="F370" s="18" t="n">
        <x:v>1309.07</x:v>
      </x:c>
      <x:c r="G370" s="18" t="n">
        <x:v>1309.07</x:v>
      </x:c>
      <x:c r="H370" t="str">
        <x:v>Client 17</x:v>
      </x:c>
      <x:c r="I370" s="16" t="n">
        <x:v>45946</x:v>
      </x:c>
    </x:row>
    <x:row r="371">
      <x:c r="A371" t="str">
        <x:v>DV-2026-00370</x:v>
      </x:c>
      <x:c r="B371" s="16" t="n">
        <x:v>46231</x:v>
      </x:c>
      <x:c r="C371" t="str">
        <x:v>Client 15</x:v>
      </x:c>
      <x:c r="D371" t="str">
        <x:v>Logistique</x:v>
      </x:c>
      <x:c r="E371" t="str">
        <x:v>Pôle E</x:v>
      </x:c>
      <x:c r="F371" s="18" t="n">
        <x:v>18028.48</x:v>
      </x:c>
      <x:c r="G371" s="18" t="n">
        <x:v>3497.72</x:v>
      </x:c>
      <x:c r="H371" t="str">
        <x:v>Client 15</x:v>
      </x:c>
      <x:c r="I371" s="16" t="n">
        <x:v>46272</x:v>
      </x:c>
    </x:row>
    <x:row r="372">
      <x:c r="A372" t="str">
        <x:v>DV-2024-00371</x:v>
      </x:c>
      <x:c r="B372" s="16" t="n">
        <x:v>45559</x:v>
      </x:c>
      <x:c r="C372" t="str">
        <x:v>Client 14</x:v>
      </x:c>
      <x:c r="D372" t="str">
        <x:v>Logistique</x:v>
      </x:c>
      <x:c r="E372" t="str">
        <x:v>Pôle E</x:v>
      </x:c>
      <x:c r="F372" s="18" t="n">
        <x:v>6513.15</x:v>
      </x:c>
      <x:c r="G372" s="18" t="n">
        <x:v>6513.15</x:v>
      </x:c>
      <x:c r="H372" t="str">
        <x:v>Client 14</x:v>
      </x:c>
      <x:c r="I372" s="16" t="n">
        <x:v>45603</x:v>
      </x:c>
    </x:row>
    <x:row r="373">
      <x:c r="A373" t="str">
        <x:v>DV-2024-00372</x:v>
      </x:c>
      <x:c r="B373" s="16" t="n">
        <x:v>45326</x:v>
      </x:c>
      <x:c r="C373" t="str">
        <x:v>Client 12</x:v>
      </x:c>
      <x:c r="D373" t="str">
        <x:v>Douane</x:v>
      </x:c>
      <x:c r="E373" t="str">
        <x:v>Pôle B</x:v>
      </x:c>
      <x:c r="F373" s="18" t="n">
        <x:v>16330.51</x:v>
      </x:c>
      <x:c r="G373" s="18" t="n">
        <x:v>16330.51</x:v>
      </x:c>
      <x:c r="H373" t="str">
        <x:v>Client 02</x:v>
      </x:c>
      <x:c r="I373" s="16" t="n">
        <x:v>45343</x:v>
      </x:c>
    </x:row>
    <x:row r="374">
      <x:c r="A374" t="str">
        <x:v>DV-2025-00373</x:v>
      </x:c>
      <x:c r="B374" s="16" t="n">
        <x:v>45703</x:v>
      </x:c>
      <x:c r="C374" t="str">
        <x:v>Client 01</x:v>
      </x:c>
      <x:c r="D374" t="str">
        <x:v>Logistique</x:v>
      </x:c>
      <x:c r="E374" t="str">
        <x:v>Pôle E</x:v>
      </x:c>
      <x:c r="F374" s="18" t="n">
        <x:v>9286.49</x:v>
      </x:c>
      <x:c r="G374" s="18" t="n">
        <x:v>7261.27</x:v>
      </x:c>
      <x:c r="H374" t="str">
        <x:v>Client 01</x:v>
      </x:c>
      <x:c r="I374" s="16" t="n">
        <x:v>45774</x:v>
      </x:c>
    </x:row>
    <x:row r="375">
      <x:c r="A375" t="str">
        <x:v>DV-2025-00374</x:v>
      </x:c>
      <x:c r="B375" s="16" t="n">
        <x:v>45742</x:v>
      </x:c>
      <x:c r="C375" t="str">
        <x:v>Client 07</x:v>
      </x:c>
      <x:c r="D375" t="str">
        <x:v>Fret maritime</x:v>
      </x:c>
      <x:c r="E375" t="str">
        <x:v>Pôle E</x:v>
      </x:c>
      <x:c r="F375" s="18" t="n">
        <x:v>11346.71</x:v>
      </x:c>
      <x:c r="G375" s="18" t="n">
        <x:v>6232.24</x:v>
      </x:c>
      <x:c r="H375" t="str">
        <x:v>Client 07</x:v>
      </x:c>
      <x:c r="I375" s="16" t="n">
        <x:v>45788</x:v>
      </x:c>
    </x:row>
    <x:row r="376">
      <x:c r="A376" t="str">
        <x:v>DV-2024-00375</x:v>
      </x:c>
      <x:c r="B376" s="16" t="n">
        <x:v>45321</x:v>
      </x:c>
      <x:c r="C376" t="str">
        <x:v>Client 35</x:v>
      </x:c>
      <x:c r="D376" t="str">
        <x:v>Logistique</x:v>
      </x:c>
      <x:c r="E376" t="str">
        <x:v>Pôle E</x:v>
      </x:c>
      <x:c r="F376" s="18" t="n">
        <x:v>20919.99</x:v>
      </x:c>
      <x:c r="G376" s="18" t="n">
        <x:v>20919.99</x:v>
      </x:c>
      <x:c r="H376" t="str">
        <x:v>Client 35</x:v>
      </x:c>
      <x:c r="I376" s="16" t="n">
        <x:v>45386</x:v>
      </x:c>
    </x:row>
    <x:row r="377">
      <x:c r="A377" t="str">
        <x:v>DV-2025-00376</x:v>
      </x:c>
      <x:c r="B377" s="16" t="n">
        <x:v>45742</x:v>
      </x:c>
      <x:c r="C377" t="str">
        <x:v>Client 07</x:v>
      </x:c>
      <x:c r="D377" t="str">
        <x:v>Fret aérien</x:v>
      </x:c>
      <x:c r="E377" t="str">
        <x:v>Pôle E</x:v>
      </x:c>
      <x:c r="F377" s="18" t="n">
        <x:v>7602.12</x:v>
      </x:c>
      <x:c r="G377" s="18" t="n">
        <x:v>2750.47</x:v>
      </x:c>
      <x:c r="H377" t="str">
        <x:v>Client 07</x:v>
      </x:c>
      <x:c r="I377" s="16" t="n">
        <x:v>45752</x:v>
      </x:c>
    </x:row>
    <x:row r="378">
      <x:c r="A378" t="str">
        <x:v>DV-2024-00377</x:v>
      </x:c>
      <x:c r="B378" s="16" t="n">
        <x:v>45610</x:v>
      </x:c>
      <x:c r="C378" t="str">
        <x:v>Client 48</x:v>
      </x:c>
      <x:c r="D378" t="str">
        <x:v>Express</x:v>
      </x:c>
      <x:c r="E378" t="str">
        <x:v>Pôle D</x:v>
      </x:c>
      <x:c r="F378" s="18" t="n">
        <x:v>13982.52</x:v>
      </x:c>
      <x:c r="G378" s="18" t="n">
        <x:v>13982.52</x:v>
      </x:c>
      <x:c r="H378" t="str">
        <x:v>Client 48</x:v>
      </x:c>
      <x:c r="I378" s="16" t="n">
        <x:v>45672</x:v>
      </x:c>
    </x:row>
    <x:row r="379">
      <x:c r="A379" t="str">
        <x:v>DV-2024-00378</x:v>
      </x:c>
      <x:c r="B379" s="16" t="n">
        <x:v>45463</x:v>
      </x:c>
      <x:c r="C379" t="str">
        <x:v>Client 01</x:v>
      </x:c>
      <x:c r="D379" t="str">
        <x:v>Fret aérien</x:v>
      </x:c>
      <x:c r="E379" t="str">
        <x:v>Pôle C</x:v>
      </x:c>
      <x:c r="F379" s="18" t="n">
        <x:v>1406.9</x:v>
      </x:c>
      <x:c r="G379" s="18" t="n">
        <x:v>1406.9</x:v>
      </x:c>
      <x:c r="H379" t="str">
        <x:v>Client 01</x:v>
      </x:c>
      <x:c r="I379" s="16" t="n">
        <x:v>45522</x:v>
      </x:c>
    </x:row>
    <x:row r="380">
      <x:c r="A380" t="str">
        <x:v>DV-2024-00379</x:v>
      </x:c>
      <x:c r="B380" s="16" t="n">
        <x:v>45655</x:v>
      </x:c>
      <x:c r="C380" t="str">
        <x:v>Client 32</x:v>
      </x:c>
      <x:c r="D380" t="str">
        <x:v>Logistique</x:v>
      </x:c>
      <x:c r="E380" t="str">
        <x:v>Pôle A</x:v>
      </x:c>
      <x:c r="F380" s="18" t="n">
        <x:v>17785.24</x:v>
      </x:c>
      <x:c r="G380" s="18" t="n">
        <x:v>17785.24</x:v>
      </x:c>
      <x:c r="H380" t="str">
        <x:v>Client 32</x:v>
      </x:c>
      <x:c r="I380" s="16" t="n">
        <x:v>45714</x:v>
      </x:c>
    </x:row>
    <x:row r="381">
      <x:c r="A381" t="str">
        <x:v>DV-2025-00380</x:v>
      </x:c>
      <x:c r="B381" s="16" t="n">
        <x:v>45920</x:v>
      </x:c>
      <x:c r="C381" t="str">
        <x:v>Client 36</x:v>
      </x:c>
      <x:c r="D381" t="str">
        <x:v>Fret aérien</x:v>
      </x:c>
      <x:c r="E381" t="str">
        <x:v>Pôle B</x:v>
      </x:c>
      <x:c r="F381" s="18" t="n">
        <x:v>1547.87</x:v>
      </x:c>
      <x:c r="G381" s="18" t="n">
        <x:v>1547.87</x:v>
      </x:c>
      <x:c r="H381" t="str">
        <x:v>Client 36</x:v>
      </x:c>
      <x:c r="I381" s="16" t="n">
        <x:v>45965</x:v>
      </x:c>
    </x:row>
    <x:row r="382">
      <x:c r="A382" t="str">
        <x:v>DV-2025-00381</x:v>
      </x:c>
      <x:c r="B382" s="16" t="n">
        <x:v>45784</x:v>
      </x:c>
      <x:c r="C382" t="str">
        <x:v>Client 50</x:v>
      </x:c>
      <x:c r="D382" t="str">
        <x:v>Express</x:v>
      </x:c>
      <x:c r="E382" t="str">
        <x:v>Pôle E</x:v>
      </x:c>
      <x:c r="F382" s="18" t="n">
        <x:v>5543.42</x:v>
      </x:c>
      <x:c r="G382" s="18" t="n">
        <x:v>2550.78</x:v>
      </x:c>
      <x:c r="H382" t="str">
        <x:v>Client 50</x:v>
      </x:c>
      <x:c r="I382" s="16" t="n">
        <x:v>45833</x:v>
      </x:c>
    </x:row>
    <x:row r="383">
      <x:c r="A383" t="str">
        <x:v>DV-2026-00382</x:v>
      </x:c>
      <x:c r="B383" s="16" t="n">
        <x:v>46163</x:v>
      </x:c>
      <x:c r="C383" t="str">
        <x:v>Client 49</x:v>
      </x:c>
      <x:c r="D383" t="str">
        <x:v>Express</x:v>
      </x:c>
      <x:c r="E383" t="str">
        <x:v>Pôle E</x:v>
      </x:c>
      <x:c r="F383" s="18" t="n">
        <x:v>22731.78</x:v>
      </x:c>
      <x:c r="G383" s="18" t="n">
        <x:v>10119.37</x:v>
      </x:c>
      <x:c r="H383" t="str">
        <x:v>Client 49</x:v>
      </x:c>
      <x:c r="I383" s="16" t="n">
        <x:v>46243</x:v>
      </x:c>
    </x:row>
    <x:row r="384">
      <x:c r="A384" t="str">
        <x:v>DV-2025-00383</x:v>
      </x:c>
      <x:c r="B384" s="16" t="n">
        <x:v>45991</x:v>
      </x:c>
      <x:c r="C384" t="str">
        <x:v>Client 25</x:v>
      </x:c>
      <x:c r="D384" t="str">
        <x:v>Douane</x:v>
      </x:c>
      <x:c r="E384" t="str">
        <x:v>Pôle E</x:v>
      </x:c>
      <x:c r="F384" s="18" t="n">
        <x:v>11895.23</x:v>
      </x:c>
      <x:c r="G384" s="18" t="n">
        <x:v>11895.23</x:v>
      </x:c>
      <x:c r="H384" t="str">
        <x:v>Client 25</x:v>
      </x:c>
      <x:c r="I384" s="16" t="n">
        <x:v>46063</x:v>
      </x:c>
    </x:row>
    <x:row r="385">
      <x:c r="A385" t="str">
        <x:v>DV-2025-00384</x:v>
      </x:c>
      <x:c r="B385" s="16" t="n">
        <x:v>45919</x:v>
      </x:c>
      <x:c r="C385" t="str">
        <x:v>Client 33</x:v>
      </x:c>
      <x:c r="D385" t="str">
        <x:v>Fret maritime</x:v>
      </x:c>
      <x:c r="E385" t="str">
        <x:v>Pôle D</x:v>
      </x:c>
      <x:c r="F385" s="18" t="n">
        <x:v>7384.31</x:v>
      </x:c>
      <x:c r="G385" s="18" t="n">
        <x:v>7384.31</x:v>
      </x:c>
      <x:c r="H385" t="str">
        <x:v>Client 33</x:v>
      </x:c>
      <x:c r="I385" s="16" t="n">
        <x:v>45978</x:v>
      </x:c>
    </x:row>
    <x:row r="386">
      <x:c r="A386" t="str">
        <x:v>DV-2025-00385</x:v>
      </x:c>
      <x:c r="B386" s="16" t="n">
        <x:v>45814</x:v>
      </x:c>
      <x:c r="C386" t="str">
        <x:v>Client 03</x:v>
      </x:c>
      <x:c r="D386" t="str">
        <x:v>Express</x:v>
      </x:c>
      <x:c r="E386" t="str">
        <x:v>Pôle E</x:v>
      </x:c>
      <x:c r="F386" s="18" t="n">
        <x:v>23348.39</x:v>
      </x:c>
      <x:c r="G386" s="18" t="n">
        <x:v>23348.39</x:v>
      </x:c>
      <x:c r="H386" t="str">
        <x:v>Client 03</x:v>
      </x:c>
      <x:c r="I386" s="16" t="n">
        <x:v>45884</x:v>
      </x:c>
    </x:row>
    <x:row r="387">
      <x:c r="A387" t="str">
        <x:v>DV-2025-00386</x:v>
      </x:c>
      <x:c r="B387" s="16" t="n">
        <x:v>45902</x:v>
      </x:c>
      <x:c r="C387" t="str">
        <x:v>Client 35</x:v>
      </x:c>
      <x:c r="D387" t="str">
        <x:v>Douane</x:v>
      </x:c>
      <x:c r="E387" t="str">
        <x:v>Pôle E</x:v>
      </x:c>
      <x:c r="F387" s="18" t="n">
        <x:v>22424.29</x:v>
      </x:c>
      <x:c r="G387" s="18" t="n">
        <x:v>0</x:v>
      </x:c>
      <x:c r="H387" t="str">
        <x:v>Client 39</x:v>
      </x:c>
      <x:c r="I387" s="16"/>
    </x:row>
    <x:row r="388">
      <x:c r="A388" t="str">
        <x:v>DV-2025-00387</x:v>
      </x:c>
      <x:c r="B388" s="16" t="n">
        <x:v>45937</x:v>
      </x:c>
      <x:c r="C388" t="str">
        <x:v>Client 29</x:v>
      </x:c>
      <x:c r="D388" t="str">
        <x:v>Douane</x:v>
      </x:c>
      <x:c r="E388" t="str">
        <x:v>Pôle E</x:v>
      </x:c>
      <x:c r="F388" s="18" t="n">
        <x:v>21693.78</x:v>
      </x:c>
      <x:c r="G388" s="18" t="n">
        <x:v>21693.78</x:v>
      </x:c>
      <x:c r="H388" t="str">
        <x:v>Client 14</x:v>
      </x:c>
      <x:c r="I388" s="16" t="n">
        <x:v>46000</x:v>
      </x:c>
    </x:row>
    <x:row r="389">
      <x:c r="A389" t="str">
        <x:v>DV-2024-00388</x:v>
      </x:c>
      <x:c r="B389" s="16" t="n">
        <x:v>45319</x:v>
      </x:c>
      <x:c r="C389" t="str">
        <x:v>Client 06</x:v>
      </x:c>
      <x:c r="D389" t="str">
        <x:v>Fret aérien</x:v>
      </x:c>
      <x:c r="E389" t="str">
        <x:v>Pôle B</x:v>
      </x:c>
      <x:c r="F389" s="18" t="n">
        <x:v>3856.5</x:v>
      </x:c>
      <x:c r="G389" s="18" t="n">
        <x:v>2283.52</x:v>
      </x:c>
      <x:c r="H389" t="str">
        <x:v>Client 48</x:v>
      </x:c>
      <x:c r="I389" s="16" t="n">
        <x:v>45330</x:v>
      </x:c>
    </x:row>
    <x:row r="390">
      <x:c r="A390" t="str">
        <x:v>DV-2025-00389</x:v>
      </x:c>
      <x:c r="B390" s="16" t="n">
        <x:v>45939</x:v>
      </x:c>
      <x:c r="C390" t="str">
        <x:v>Client 43</x:v>
      </x:c>
      <x:c r="D390" t="str">
        <x:v>Logistique</x:v>
      </x:c>
      <x:c r="E390" t="str">
        <x:v>Pôle A</x:v>
      </x:c>
      <x:c r="F390" s="18" t="n">
        <x:v>16410.17</x:v>
      </x:c>
      <x:c r="G390" s="18" t="n">
        <x:v>9202.25</x:v>
      </x:c>
      <x:c r="H390" t="str">
        <x:v>Client 43</x:v>
      </x:c>
      <x:c r="I390" s="16" t="n">
        <x:v>45993</x:v>
      </x:c>
    </x:row>
    <x:row r="391">
      <x:c r="A391" t="str">
        <x:v>DV-2024-00390</x:v>
      </x:c>
      <x:c r="B391" s="16" t="n">
        <x:v>45587</x:v>
      </x:c>
      <x:c r="C391" t="str">
        <x:v>Client 42</x:v>
      </x:c>
      <x:c r="D391" t="str">
        <x:v>Express</x:v>
      </x:c>
      <x:c r="E391" t="str">
        <x:v>Pôle B</x:v>
      </x:c>
      <x:c r="F391" s="18" t="n">
        <x:v>13423.03</x:v>
      </x:c>
      <x:c r="G391" s="18" t="n">
        <x:v>13423.03</x:v>
      </x:c>
      <x:c r="H391" t="str">
        <x:v>Client 42</x:v>
      </x:c>
      <x:c r="I391" s="16" t="n">
        <x:v>45619</x:v>
      </x:c>
    </x:row>
    <x:row r="392">
      <x:c r="A392" t="str">
        <x:v>DV-2025-00391</x:v>
      </x:c>
      <x:c r="B392" s="16" t="n">
        <x:v>46007</x:v>
      </x:c>
      <x:c r="C392" t="str">
        <x:v>Client 49</x:v>
      </x:c>
      <x:c r="D392" t="str">
        <x:v>Douane</x:v>
      </x:c>
      <x:c r="E392" t="str">
        <x:v>Pôle D</x:v>
      </x:c>
      <x:c r="F392" s="18" t="n">
        <x:v>23353.38</x:v>
      </x:c>
      <x:c r="G392" s="18" t="n">
        <x:v>23353.38</x:v>
      </x:c>
      <x:c r="H392" t="str">
        <x:v>Client 49</x:v>
      </x:c>
      <x:c r="I392" s="16" t="n">
        <x:v>46047</x:v>
      </x:c>
    </x:row>
    <x:row r="393">
      <x:c r="A393" t="str">
        <x:v>DV-2024-00392</x:v>
      </x:c>
      <x:c r="B393" s="16" t="n">
        <x:v>45567</x:v>
      </x:c>
      <x:c r="C393" t="str">
        <x:v>Client 22</x:v>
      </x:c>
      <x:c r="D393" t="str">
        <x:v>Douane</x:v>
      </x:c>
      <x:c r="E393" t="str">
        <x:v>Pôle E</x:v>
      </x:c>
      <x:c r="F393" s="18" t="n">
        <x:v>3949.57</x:v>
      </x:c>
      <x:c r="G393" s="18" t="n">
        <x:v>3949.57</x:v>
      </x:c>
      <x:c r="H393" t="str">
        <x:v>Client 22</x:v>
      </x:c>
      <x:c r="I393" s="16" t="n">
        <x:v>45635</x:v>
      </x:c>
    </x:row>
    <x:row r="394">
      <x:c r="A394" t="str">
        <x:v>DV-2026-00393</x:v>
      </x:c>
      <x:c r="B394" s="16" t="n">
        <x:v>46150</x:v>
      </x:c>
      <x:c r="C394" t="str">
        <x:v>Client 47</x:v>
      </x:c>
      <x:c r="D394" t="str">
        <x:v>Fret aérien</x:v>
      </x:c>
      <x:c r="E394" t="str">
        <x:v>Pôle A</x:v>
      </x:c>
      <x:c r="F394" s="18" t="n">
        <x:v>21807.78</x:v>
      </x:c>
      <x:c r="G394" s="18" t="n">
        <x:v>21807.78</x:v>
      </x:c>
      <x:c r="H394" t="str">
        <x:v>Client 47</x:v>
      </x:c>
      <x:c r="I394" s="16" t="n">
        <x:v>46193</x:v>
      </x:c>
    </x:row>
    <x:row r="395">
      <x:c r="A395" t="str">
        <x:v>DV-2026-00394</x:v>
      </x:c>
      <x:c r="B395" s="16" t="n">
        <x:v>46185</x:v>
      </x:c>
      <x:c r="C395" t="str">
        <x:v>Client 05</x:v>
      </x:c>
      <x:c r="D395" t="str">
        <x:v>Douane</x:v>
      </x:c>
      <x:c r="E395" t="str">
        <x:v>Pôle C</x:v>
      </x:c>
      <x:c r="F395" s="18" t="n">
        <x:v>14666.51</x:v>
      </x:c>
      <x:c r="G395" s="18" t="n">
        <x:v>14666.51</x:v>
      </x:c>
      <x:c r="H395" t="str">
        <x:v>Client 05</x:v>
      </x:c>
      <x:c r="I395" s="16" t="n">
        <x:v>46280</x:v>
      </x:c>
    </x:row>
    <x:row r="396">
      <x:c r="A396" t="str">
        <x:v>DV-2024-00395</x:v>
      </x:c>
      <x:c r="B396" s="16" t="n">
        <x:v>45566</x:v>
      </x:c>
      <x:c r="C396" t="str">
        <x:v>Client 17</x:v>
      </x:c>
      <x:c r="D396" t="str">
        <x:v>Douane</x:v>
      </x:c>
      <x:c r="E396" t="str">
        <x:v>Pôle D</x:v>
      </x:c>
      <x:c r="F396" s="18" t="n">
        <x:v>17331.11</x:v>
      </x:c>
      <x:c r="G396" s="18" t="n">
        <x:v>17331.11</x:v>
      </x:c>
      <x:c r="H396" t="str">
        <x:v>Client 07</x:v>
      </x:c>
      <x:c r="I396" s="16" t="n">
        <x:v>45650</x:v>
      </x:c>
    </x:row>
    <x:row r="397">
      <x:c r="A397" t="str">
        <x:v>DV-2024-00396</x:v>
      </x:c>
      <x:c r="B397" s="16" t="n">
        <x:v>45358</x:v>
      </x:c>
      <x:c r="C397" t="str">
        <x:v>Client 22</x:v>
      </x:c>
      <x:c r="D397" t="str">
        <x:v>Fret maritime</x:v>
      </x:c>
      <x:c r="E397" t="str">
        <x:v>Pôle D</x:v>
      </x:c>
      <x:c r="F397" s="18" t="n">
        <x:v>18572.57</x:v>
      </x:c>
      <x:c r="G397" s="18" t="n">
        <x:v>18572.57</x:v>
      </x:c>
      <x:c r="H397" t="str">
        <x:v>Client 22</x:v>
      </x:c>
      <x:c r="I397" s="16" t="n">
        <x:v>45379</x:v>
      </x:c>
    </x:row>
    <x:row r="398">
      <x:c r="A398" t="str">
        <x:v>DV-2025-00397</x:v>
      </x:c>
      <x:c r="B398" s="16" t="n">
        <x:v>45743</x:v>
      </x:c>
      <x:c r="C398" t="str">
        <x:v>Client 28</x:v>
      </x:c>
      <x:c r="D398" t="str">
        <x:v>Fret maritime</x:v>
      </x:c>
      <x:c r="E398" t="str">
        <x:v>Pôle C</x:v>
      </x:c>
      <x:c r="F398" s="18" t="n">
        <x:v>2129.97</x:v>
      </x:c>
      <x:c r="G398" s="18" t="n">
        <x:v>2129.97</x:v>
      </x:c>
      <x:c r="H398" t="str">
        <x:v>Client 28</x:v>
      </x:c>
      <x:c r="I398" s="16" t="n">
        <x:v>45817</x:v>
      </x:c>
    </x:row>
    <x:row r="399">
      <x:c r="A399" t="str">
        <x:v>DV-2025-00398</x:v>
      </x:c>
      <x:c r="B399" s="16" t="n">
        <x:v>45862</x:v>
      </x:c>
      <x:c r="C399" t="str">
        <x:v>Client 37</x:v>
      </x:c>
      <x:c r="D399" t="str">
        <x:v>Logistique</x:v>
      </x:c>
      <x:c r="E399" t="str">
        <x:v>Pôle B</x:v>
      </x:c>
      <x:c r="F399" s="18" t="n">
        <x:v>21661.26</x:v>
      </x:c>
      <x:c r="G399" s="18" t="n">
        <x:v>4193.52</x:v>
      </x:c>
      <x:c r="H399" t="str">
        <x:v>Client 37</x:v>
      </x:c>
      <x:c r="I399" s="16" t="n">
        <x:v>45878</x:v>
      </x:c>
    </x:row>
    <x:row r="400">
      <x:c r="A400" t="str">
        <x:v>DV-2026-00399</x:v>
      </x:c>
      <x:c r="B400" s="16" t="n">
        <x:v>46199</x:v>
      </x:c>
      <x:c r="C400" t="str">
        <x:v>Client 39</x:v>
      </x:c>
      <x:c r="D400" t="str">
        <x:v>Douane</x:v>
      </x:c>
      <x:c r="E400" t="str">
        <x:v>Pôle B</x:v>
      </x:c>
      <x:c r="F400" s="18" t="n">
        <x:v>6480.73</x:v>
      </x:c>
      <x:c r="G400" s="18" t="n">
        <x:v>6480.73</x:v>
      </x:c>
      <x:c r="H400" t="str">
        <x:v>Client 39</x:v>
      </x:c>
      <x:c r="I400" s="16" t="n">
        <x:v>46240</x:v>
      </x:c>
    </x:row>
    <x:row r="401">
      <x:c r="A401" t="str">
        <x:v>DV-2025-00400</x:v>
      </x:c>
      <x:c r="B401" s="16" t="n">
        <x:v>45761</x:v>
      </x:c>
      <x:c r="C401" t="str">
        <x:v>Client 45</x:v>
      </x:c>
      <x:c r="D401" t="str">
        <x:v>Fret aérien</x:v>
      </x:c>
      <x:c r="E401" t="str">
        <x:v>Pôle C</x:v>
      </x:c>
      <x:c r="F401" s="18" t="n">
        <x:v>2775.27</x:v>
      </x:c>
      <x:c r="G401" s="18" t="n">
        <x:v>2775.27</x:v>
      </x:c>
      <x:c r="H401" t="str">
        <x:v>Client 45</x:v>
      </x:c>
      <x:c r="I401" s="16" t="n">
        <x:v>45819</x:v>
      </x:c>
    </x:row>
    <x:row r="402">
      <x:c r="A402" t="str">
        <x:v>DV-2024-00401</x:v>
      </x:c>
      <x:c r="B402" s="16" t="n">
        <x:v>45548</x:v>
      </x:c>
      <x:c r="C402" t="str">
        <x:v>Client 02</x:v>
      </x:c>
      <x:c r="D402" t="str">
        <x:v>Logistique</x:v>
      </x:c>
      <x:c r="E402" t="str">
        <x:v>Pôle C</x:v>
      </x:c>
      <x:c r="F402" s="18" t="n">
        <x:v>7432.62</x:v>
      </x:c>
      <x:c r="G402" s="18" t="n">
        <x:v>5979.61</x:v>
      </x:c>
      <x:c r="H402" t="str">
        <x:v>Client 02</x:v>
      </x:c>
      <x:c r="I402" s="16" t="n">
        <x:v>45629</x:v>
      </x:c>
    </x:row>
    <x:row r="403">
      <x:c r="A403" t="str">
        <x:v>DV-2026-00402</x:v>
      </x:c>
      <x:c r="B403" s="16" t="n">
        <x:v>46145</x:v>
      </x:c>
      <x:c r="C403" t="str">
        <x:v>Client 38</x:v>
      </x:c>
      <x:c r="D403" t="str">
        <x:v>Fret aérien</x:v>
      </x:c>
      <x:c r="E403" t="str">
        <x:v>Pôle E</x:v>
      </x:c>
      <x:c r="F403" s="18" t="n">
        <x:v>734.12</x:v>
      </x:c>
      <x:c r="G403" s="18" t="n">
        <x:v>520.41</x:v>
      </x:c>
      <x:c r="H403" t="str">
        <x:v>Client 38</x:v>
      </x:c>
      <x:c r="I403" s="16" t="n">
        <x:v>46173</x:v>
      </x:c>
    </x:row>
    <x:row r="404">
      <x:c r="A404" t="str">
        <x:v>DV-2026-00403</x:v>
      </x:c>
      <x:c r="B404" s="16" t="n">
        <x:v>46251</x:v>
      </x:c>
      <x:c r="C404" t="str">
        <x:v>Client 13</x:v>
      </x:c>
      <x:c r="D404" t="str">
        <x:v>Douane</x:v>
      </x:c>
      <x:c r="E404" t="str">
        <x:v>Pôle B</x:v>
      </x:c>
      <x:c r="F404" s="18" t="n">
        <x:v>14086.07</x:v>
      </x:c>
      <x:c r="G404" s="18" t="n">
        <x:v>14086.07</x:v>
      </x:c>
      <x:c r="H404" t="str">
        <x:v>Client 39</x:v>
      </x:c>
      <x:c r="I404" s="16" t="n">
        <x:v>46269</x:v>
      </x:c>
    </x:row>
    <x:row r="405">
      <x:c r="A405" t="str">
        <x:v>DV-2026-00404</x:v>
      </x:c>
      <x:c r="B405" s="16" t="n">
        <x:v>46242</x:v>
      </x:c>
      <x:c r="C405" t="str">
        <x:v>Client 47</x:v>
      </x:c>
      <x:c r="D405" t="str">
        <x:v>Fret maritime</x:v>
      </x:c>
      <x:c r="E405" t="str">
        <x:v>Pôle C</x:v>
      </x:c>
      <x:c r="F405" s="18" t="n">
        <x:v>20451.93</x:v>
      </x:c>
      <x:c r="G405" s="18" t="n">
        <x:v>20451.93</x:v>
      </x:c>
      <x:c r="H405" t="str">
        <x:v>Client 47</x:v>
      </x:c>
      <x:c r="I405" s="16" t="n">
        <x:v>46317</x:v>
      </x:c>
    </x:row>
    <x:row r="406">
      <x:c r="A406" t="str">
        <x:v>DV-2025-00405</x:v>
      </x:c>
      <x:c r="B406" s="16" t="n">
        <x:v>45804</x:v>
      </x:c>
      <x:c r="C406" t="str">
        <x:v>Client 34</x:v>
      </x:c>
      <x:c r="D406" t="str">
        <x:v>Logistique</x:v>
      </x:c>
      <x:c r="E406" t="str">
        <x:v>Pôle A</x:v>
      </x:c>
      <x:c r="F406" s="18" t="n">
        <x:v>8292.61</x:v>
      </x:c>
      <x:c r="G406" s="18" t="n">
        <x:v>2847.88</x:v>
      </x:c>
      <x:c r="H406" t="str">
        <x:v>Client 17</x:v>
      </x:c>
      <x:c r="I406" s="16" t="n">
        <x:v>45821</x:v>
      </x:c>
    </x:row>
    <x:row r="407">
      <x:c r="A407" t="str">
        <x:v>DV-2024-00406</x:v>
      </x:c>
      <x:c r="B407" s="16" t="n">
        <x:v>45362</x:v>
      </x:c>
      <x:c r="C407" t="str">
        <x:v>Client 24</x:v>
      </x:c>
      <x:c r="D407" t="str">
        <x:v>Logistique</x:v>
      </x:c>
      <x:c r="E407" t="str">
        <x:v>Pôle C</x:v>
      </x:c>
      <x:c r="F407" s="18" t="n">
        <x:v>23632.85</x:v>
      </x:c>
      <x:c r="G407" s="18" t="n">
        <x:v>23632.85</x:v>
      </x:c>
      <x:c r="H407" t="str">
        <x:v>Client 24</x:v>
      </x:c>
      <x:c r="I407" s="16" t="n">
        <x:v>45402</x:v>
      </x:c>
    </x:row>
    <x:row r="408">
      <x:c r="A408" t="str">
        <x:v>DV-2025-00407</x:v>
      </x:c>
      <x:c r="B408" s="16" t="n">
        <x:v>46011</x:v>
      </x:c>
      <x:c r="C408" t="str">
        <x:v>Client 15</x:v>
      </x:c>
      <x:c r="D408" t="str">
        <x:v>Fret maritime</x:v>
      </x:c>
      <x:c r="E408" t="str">
        <x:v>Pôle B</x:v>
      </x:c>
      <x:c r="F408" s="18" t="n">
        <x:v>18827.77</x:v>
      </x:c>
      <x:c r="G408" s="18" t="n">
        <x:v>4269.07</x:v>
      </x:c>
      <x:c r="H408" t="str">
        <x:v>Client 15</x:v>
      </x:c>
      <x:c r="I408" s="16" t="n">
        <x:v>46013</x:v>
      </x:c>
    </x:row>
    <x:row r="409">
      <x:c r="A409" t="str">
        <x:v>DV-2026-00408</x:v>
      </x:c>
      <x:c r="B409" s="16" t="n">
        <x:v>46059</x:v>
      </x:c>
      <x:c r="C409" t="str">
        <x:v>Client 11</x:v>
      </x:c>
      <x:c r="D409" t="str">
        <x:v>Logistique</x:v>
      </x:c>
      <x:c r="E409" t="str">
        <x:v>Pôle E</x:v>
      </x:c>
      <x:c r="F409" s="18" t="n">
        <x:v>3296.59</x:v>
      </x:c>
      <x:c r="G409" s="18" t="n">
        <x:v>3296.59</x:v>
      </x:c>
      <x:c r="H409" t="str">
        <x:v>Client 18</x:v>
      </x:c>
      <x:c r="I409" s="16" t="n">
        <x:v>46104</x:v>
      </x:c>
    </x:row>
    <x:row r="410">
      <x:c r="A410" t="str">
        <x:v>DV-2026-00409</x:v>
      </x:c>
      <x:c r="B410" s="16" t="n">
        <x:v>46094</x:v>
      </x:c>
      <x:c r="C410" t="str">
        <x:v>Client 30</x:v>
      </x:c>
      <x:c r="D410" t="str">
        <x:v>Douane</x:v>
      </x:c>
      <x:c r="E410" t="str">
        <x:v>Pôle B</x:v>
      </x:c>
      <x:c r="F410" s="18" t="n">
        <x:v>13769.69</x:v>
      </x:c>
      <x:c r="G410" s="18" t="n">
        <x:v>13769.69</x:v>
      </x:c>
      <x:c r="H410" t="str">
        <x:v>Client 30</x:v>
      </x:c>
      <x:c r="I410" s="16" t="n">
        <x:v>46111</x:v>
      </x:c>
    </x:row>
    <x:row r="411">
      <x:c r="A411" t="str">
        <x:v>DV-2024-00410</x:v>
      </x:c>
      <x:c r="B411" s="16" t="n">
        <x:v>45647</x:v>
      </x:c>
      <x:c r="C411" t="str">
        <x:v>Client 26</x:v>
      </x:c>
      <x:c r="D411" t="str">
        <x:v>Fret maritime</x:v>
      </x:c>
      <x:c r="E411" t="str">
        <x:v>Pôle C</x:v>
      </x:c>
      <x:c r="F411" s="18" t="n">
        <x:v>13765.75</x:v>
      </x:c>
      <x:c r="G411" s="18" t="n">
        <x:v>13765.75</x:v>
      </x:c>
      <x:c r="H411" t="str">
        <x:v>Client 26</x:v>
      </x:c>
      <x:c r="I411" s="16" t="n">
        <x:v>45670</x:v>
      </x:c>
    </x:row>
    <x:row r="412">
      <x:c r="A412" t="str">
        <x:v>DV-2024-00411</x:v>
      </x:c>
      <x:c r="B412" s="16" t="n">
        <x:v>45330</x:v>
      </x:c>
      <x:c r="C412" t="str">
        <x:v>Client 36</x:v>
      </x:c>
      <x:c r="D412" t="str">
        <x:v>Fret maritime</x:v>
      </x:c>
      <x:c r="E412" t="str">
        <x:v>Pôle C</x:v>
      </x:c>
      <x:c r="F412" s="18" t="n">
        <x:v>15363.84</x:v>
      </x:c>
      <x:c r="G412" s="18" t="n">
        <x:v>15363.84</x:v>
      </x:c>
      <x:c r="H412" t="str">
        <x:v>Client 36</x:v>
      </x:c>
      <x:c r="I412" s="16" t="n">
        <x:v>45395</x:v>
      </x:c>
    </x:row>
    <x:row r="413">
      <x:c r="A413" t="str">
        <x:v>DV-2025-00412</x:v>
      </x:c>
      <x:c r="B413" s="16" t="n">
        <x:v>45798</x:v>
      </x:c>
      <x:c r="C413" t="str">
        <x:v>Client 24 </x:v>
      </x:c>
      <x:c r="D413" t="str">
        <x:v>Fret maritime</x:v>
      </x:c>
      <x:c r="E413" t="str">
        <x:v>Pôle E</x:v>
      </x:c>
      <x:c r="F413" s="18" t="n">
        <x:v>21755.88</x:v>
      </x:c>
      <x:c r="G413" s="18" t="n">
        <x:v>21755.88</x:v>
      </x:c>
      <x:c r="H413" t="str">
        <x:v>Client 24</x:v>
      </x:c>
      <x:c r="I413" s="16" t="n">
        <x:v>45869</x:v>
      </x:c>
    </x:row>
    <x:row r="414">
      <x:c r="A414" t="str">
        <x:v>DV-2024-00413</x:v>
      </x:c>
      <x:c r="B414" s="16" t="n">
        <x:v>45486</x:v>
      </x:c>
      <x:c r="C414" t="str">
        <x:v>Client 41</x:v>
      </x:c>
      <x:c r="D414" t="str">
        <x:v>Fret maritime</x:v>
      </x:c>
      <x:c r="E414" t="str">
        <x:v>Pôle B</x:v>
      </x:c>
      <x:c r="F414" s="18" t="n">
        <x:v>17591.53</x:v>
      </x:c>
      <x:c r="G414" s="18" t="n">
        <x:v>17591.53</x:v>
      </x:c>
      <x:c r="H414" t="str">
        <x:v>Client 41</x:v>
      </x:c>
      <x:c r="I414" s="16" t="n">
        <x:v>45560</x:v>
      </x:c>
    </x:row>
    <x:row r="415">
      <x:c r="A415" t="str">
        <x:v>DV-2025-00414</x:v>
      </x:c>
      <x:c r="B415" s="16" t="n">
        <x:v>45993</x:v>
      </x:c>
      <x:c r="C415" t="str">
        <x:v>Client 14</x:v>
      </x:c>
      <x:c r="D415" t="str">
        <x:v>Logistique</x:v>
      </x:c>
      <x:c r="E415" t="str">
        <x:v>Pôle D</x:v>
      </x:c>
      <x:c r="F415" s="18" t="n">
        <x:v>8805.36</x:v>
      </x:c>
      <x:c r="G415" s="18" t="n">
        <x:v>0</x:v>
      </x:c>
      <x:c r="H415" t="str">
        <x:v>Client 48</x:v>
      </x:c>
      <x:c r="I415" s="16"/>
    </x:row>
    <x:row r="416">
      <x:c r="A416" t="str">
        <x:v>DV-2024-00415</x:v>
      </x:c>
      <x:c r="B416" s="16" t="n">
        <x:v>45549</x:v>
      </x:c>
      <x:c r="C416" t="str">
        <x:v>Client 21</x:v>
      </x:c>
      <x:c r="D416" t="str">
        <x:v>Fret maritime</x:v>
      </x:c>
      <x:c r="E416" t="str">
        <x:v>Pôle C</x:v>
      </x:c>
      <x:c r="F416" s="18" t="n">
        <x:v>7722.38</x:v>
      </x:c>
      <x:c r="G416" s="18" t="n">
        <x:v>7722.38</x:v>
      </x:c>
      <x:c r="H416" t="str">
        <x:v>Client 21</x:v>
      </x:c>
      <x:c r="I416" s="16" t="n">
        <x:v>45578</x:v>
      </x:c>
    </x:row>
    <x:row r="417">
      <x:c r="A417" t="str">
        <x:v>DV-2026-00416</x:v>
      </x:c>
      <x:c r="B417" s="16" t="n">
        <x:v>46222</x:v>
      </x:c>
      <x:c r="C417" t="str">
        <x:v>Client 12</x:v>
      </x:c>
      <x:c r="D417" t="str">
        <x:v>Fret aérien</x:v>
      </x:c>
      <x:c r="E417" t="str">
        <x:v>Pôle D</x:v>
      </x:c>
      <x:c r="F417" s="18" t="n">
        <x:v>12736.79</x:v>
      </x:c>
      <x:c r="G417" s="18" t="n">
        <x:v>12736.79</x:v>
      </x:c>
      <x:c r="H417" t="str">
        <x:v>Client 12</x:v>
      </x:c>
      <x:c r="I417" s="16" t="n">
        <x:v>46289</x:v>
      </x:c>
    </x:row>
    <x:row r="418">
      <x:c r="A418" t="str">
        <x:v>DV-2024-00417</x:v>
      </x:c>
      <x:c r="B418" s="16" t="n">
        <x:v>45337</x:v>
      </x:c>
      <x:c r="C418" t="str">
        <x:v>Client 12</x:v>
      </x:c>
      <x:c r="D418" t="str">
        <x:v>Fret aérien</x:v>
      </x:c>
      <x:c r="E418" t="str">
        <x:v>Pôle A</x:v>
      </x:c>
      <x:c r="F418" s="18" t="n">
        <x:v>18145.59</x:v>
      </x:c>
      <x:c r="G418" s="18" t="n">
        <x:v>10509.96</x:v>
      </x:c>
      <x:c r="H418" t="str">
        <x:v>Client 12</x:v>
      </x:c>
      <x:c r="I418" s="16" t="n">
        <x:v>45341</x:v>
      </x:c>
    </x:row>
    <x:row r="419">
      <x:c r="A419" t="str">
        <x:v>DV-2024-00418</x:v>
      </x:c>
      <x:c r="B419" s="16" t="n">
        <x:v>45425</x:v>
      </x:c>
      <x:c r="C419" t="str">
        <x:v>Client 09</x:v>
      </x:c>
      <x:c r="D419" t="str">
        <x:v>Fret maritime</x:v>
      </x:c>
      <x:c r="E419" t="str">
        <x:v>Pôle C</x:v>
      </x:c>
      <x:c r="F419" s="18" t="n">
        <x:v>2116.49</x:v>
      </x:c>
      <x:c r="G419" s="18" t="n">
        <x:v>1546.71</x:v>
      </x:c>
      <x:c r="H419" t="str">
        <x:v>Client 09</x:v>
      </x:c>
      <x:c r="I419" s="16" t="n">
        <x:v>45507</x:v>
      </x:c>
    </x:row>
    <x:row r="420">
      <x:c r="A420" t="str">
        <x:v>DV-2025-00419</x:v>
      </x:c>
      <x:c r="B420" s="16" t="n">
        <x:v>45738</x:v>
      </x:c>
      <x:c r="C420" t="str">
        <x:v>Client 30</x:v>
      </x:c>
      <x:c r="D420" t="str">
        <x:v>Logistique</x:v>
      </x:c>
      <x:c r="E420" t="str">
        <x:v>Pôle E</x:v>
      </x:c>
      <x:c r="F420" s="18" t="n">
        <x:v>18245.14</x:v>
      </x:c>
      <x:c r="G420" s="18" t="n">
        <x:v>18245.14</x:v>
      </x:c>
      <x:c r="H420" t="str">
        <x:v>Client 30</x:v>
      </x:c>
      <x:c r="I420" s="16" t="n">
        <x:v>45798</x:v>
      </x:c>
    </x:row>
    <x:row r="421">
      <x:c r="A421" t="str">
        <x:v>DV-2024-00420</x:v>
      </x:c>
      <x:c r="B421" s="16" t="n">
        <x:v>45566</x:v>
      </x:c>
      <x:c r="C421" t="str">
        <x:v>Client 21</x:v>
      </x:c>
      <x:c r="D421" t="str">
        <x:v>Fret aérien</x:v>
      </x:c>
      <x:c r="E421" t="str">
        <x:v>Pôle D</x:v>
      </x:c>
      <x:c r="F421" s="18" t="n">
        <x:v>15888.92</x:v>
      </x:c>
      <x:c r="G421" s="18" t="n">
        <x:v>15888.92</x:v>
      </x:c>
      <x:c r="H421" t="str">
        <x:v>Client 21</x:v>
      </x:c>
      <x:c r="I421" s="16" t="n">
        <x:v>45613</x:v>
      </x:c>
    </x:row>
    <x:row r="422">
      <x:c r="A422" t="str">
        <x:v>DV-2024-00421</x:v>
      </x:c>
      <x:c r="B422" s="16" t="n">
        <x:v>45576</x:v>
      </x:c>
      <x:c r="C422" t="str">
        <x:v>Client 44</x:v>
      </x:c>
      <x:c r="D422" t="str">
        <x:v>Douane</x:v>
      </x:c>
      <x:c r="E422" t="str">
        <x:v>Pôle C</x:v>
      </x:c>
      <x:c r="F422" s="18" t="n">
        <x:v>5322.58</x:v>
      </x:c>
      <x:c r="G422" s="18" t="n">
        <x:v>5322.58</x:v>
      </x:c>
      <x:c r="H422" t="str">
        <x:v>Client 44</x:v>
      </x:c>
      <x:c r="I422" s="16" t="n">
        <x:v>45607</x:v>
      </x:c>
    </x:row>
    <x:row r="423">
      <x:c r="A423" t="str">
        <x:v>DV-2025-00422</x:v>
      </x:c>
      <x:c r="B423" s="16" t="n">
        <x:v>45719</x:v>
      </x:c>
      <x:c r="C423" t="str">
        <x:v>Client 11</x:v>
      </x:c>
      <x:c r="D423" t="str">
        <x:v>Douane</x:v>
      </x:c>
      <x:c r="E423" t="str">
        <x:v>Pôle A</x:v>
      </x:c>
      <x:c r="F423" s="18" t="n">
        <x:v>12907.37</x:v>
      </x:c>
      <x:c r="G423" s="18" t="n">
        <x:v>0</x:v>
      </x:c>
      <x:c r="H423" t="str">
        <x:v>Client 11</x:v>
      </x:c>
      <x:c r="I423" s="16"/>
    </x:row>
    <x:row r="424">
      <x:c r="A424" t="str">
        <x:v>DV-2024-00423</x:v>
      </x:c>
      <x:c r="B424" s="16" t="n">
        <x:v>45500</x:v>
      </x:c>
      <x:c r="C424" t="str">
        <x:v>Client 20</x:v>
      </x:c>
      <x:c r="D424" t="str">
        <x:v>Express</x:v>
      </x:c>
      <x:c r="E424" t="str">
        <x:v>Pôle E</x:v>
      </x:c>
      <x:c r="F424" s="18" t="n">
        <x:v>11177.9</x:v>
      </x:c>
      <x:c r="G424" s="18" t="n">
        <x:v>5409.16</x:v>
      </x:c>
      <x:c r="H424" t="str">
        <x:v>Client 20</x:v>
      </x:c>
      <x:c r="I424" s="16" t="n">
        <x:v>45524</x:v>
      </x:c>
    </x:row>
    <x:row r="425">
      <x:c r="A425" t="str">
        <x:v>DV-2024-00424</x:v>
      </x:c>
      <x:c r="B425" s="16" t="n">
        <x:v>45351</x:v>
      </x:c>
      <x:c r="C425" t="str">
        <x:v>Client 19</x:v>
      </x:c>
      <x:c r="D425" t="str">
        <x:v>Fret aérien</x:v>
      </x:c>
      <x:c r="E425" t="str">
        <x:v>Pôle D</x:v>
      </x:c>
      <x:c r="F425" s="18" t="n">
        <x:v>17317.07</x:v>
      </x:c>
      <x:c r="G425" s="18" t="n">
        <x:v>17317.07</x:v>
      </x:c>
      <x:c r="H425" t="str">
        <x:v>Client 19</x:v>
      </x:c>
      <x:c r="I425" s="16" t="n">
        <x:v>45377</x:v>
      </x:c>
    </x:row>
    <x:row r="426">
      <x:c r="A426" t="str">
        <x:v>DV-2024-00425</x:v>
      </x:c>
      <x:c r="B426" s="16" t="n">
        <x:v>45423</x:v>
      </x:c>
      <x:c r="C426" t="str">
        <x:v>Client 41</x:v>
      </x:c>
      <x:c r="D426" t="str">
        <x:v>Express</x:v>
      </x:c>
      <x:c r="E426" t="str">
        <x:v>Pôle A</x:v>
      </x:c>
      <x:c r="F426" s="18" t="n">
        <x:v>8544.15</x:v>
      </x:c>
      <x:c r="G426" s="18" t="n">
        <x:v>8544.15</x:v>
      </x:c>
      <x:c r="H426" t="str">
        <x:v>Client 41</x:v>
      </x:c>
      <x:c r="I426" s="16" t="n">
        <x:v>45441</x:v>
      </x:c>
    </x:row>
    <x:row r="427">
      <x:c r="A427" t="str">
        <x:v>DV-2024-00426</x:v>
      </x:c>
      <x:c r="B427" s="16" t="n">
        <x:v>45560</x:v>
      </x:c>
      <x:c r="C427" t="str">
        <x:v>Client 31</x:v>
      </x:c>
      <x:c r="D427" t="str">
        <x:v>Logistique</x:v>
      </x:c>
      <x:c r="E427" t="str">
        <x:v>Pôle E</x:v>
      </x:c>
      <x:c r="F427" s="18" t="n">
        <x:v>18963.19</x:v>
      </x:c>
      <x:c r="G427" s="18" t="n">
        <x:v>6342.08</x:v>
      </x:c>
      <x:c r="H427" t="str">
        <x:v>Client 31</x:v>
      </x:c>
      <x:c r="I427" s="16" t="n">
        <x:v>45575</x:v>
      </x:c>
    </x:row>
    <x:row r="428">
      <x:c r="A428" t="str">
        <x:v>DV-2025-00427</x:v>
      </x:c>
      <x:c r="B428" s="16" t="n">
        <x:v>45938</x:v>
      </x:c>
      <x:c r="C428" t="str">
        <x:v>Client 42</x:v>
      </x:c>
      <x:c r="D428" t="str">
        <x:v>Logistique</x:v>
      </x:c>
      <x:c r="E428" t="str">
        <x:v>Pôle C</x:v>
      </x:c>
      <x:c r="F428" s="18" t="n">
        <x:v>3591.78</x:v>
      </x:c>
      <x:c r="G428" s="18" t="n">
        <x:v>2730.76</x:v>
      </x:c>
      <x:c r="H428" t="str">
        <x:v>Client 42</x:v>
      </x:c>
      <x:c r="I428" s="16" t="n">
        <x:v>46006</x:v>
      </x:c>
    </x:row>
    <x:row r="429">
      <x:c r="A429" t="str">
        <x:v>DV-2025-00428</x:v>
      </x:c>
      <x:c r="B429" s="16" t="n">
        <x:v>45777</x:v>
      </x:c>
      <x:c r="C429" t="str">
        <x:v>Client 38</x:v>
      </x:c>
      <x:c r="D429" t="str">
        <x:v>Express</x:v>
      </x:c>
      <x:c r="E429" t="str">
        <x:v>Pôle C</x:v>
      </x:c>
      <x:c r="F429" s="18" t="n">
        <x:v>18877.69</x:v>
      </x:c>
      <x:c r="G429" s="18" t="n">
        <x:v>6468.64</x:v>
      </x:c>
      <x:c r="H429" t="str">
        <x:v>Client 38</x:v>
      </x:c>
      <x:c r="I429" s="16" t="n">
        <x:v>45857</x:v>
      </x:c>
    </x:row>
    <x:row r="430">
      <x:c r="A430" t="str">
        <x:v>DV-2024-00429</x:v>
      </x:c>
      <x:c r="B430" s="16" t="n">
        <x:v>45595</x:v>
      </x:c>
      <x:c r="C430" t="str">
        <x:v>Client 24</x:v>
      </x:c>
      <x:c r="D430" t="str">
        <x:v>Express</x:v>
      </x:c>
      <x:c r="E430" t="str">
        <x:v>Pôle B</x:v>
      </x:c>
      <x:c r="F430" s="18" t="n">
        <x:v>21574.54</x:v>
      </x:c>
      <x:c r="G430" s="18" t="n">
        <x:v>21574.54</x:v>
      </x:c>
      <x:c r="H430" t="str">
        <x:v>Client 24</x:v>
      </x:c>
      <x:c r="I430" s="16" t="n">
        <x:v>45608</x:v>
      </x:c>
    </x:row>
    <x:row r="431">
      <x:c r="A431" t="str">
        <x:v>DV-2024-00430</x:v>
      </x:c>
      <x:c r="B431" s="16" t="n">
        <x:v>45374</x:v>
      </x:c>
      <x:c r="C431" t="str">
        <x:v>Client 21</x:v>
      </x:c>
      <x:c r="D431" t="str">
        <x:v>Express</x:v>
      </x:c>
      <x:c r="E431" t="str">
        <x:v>Pôle B</x:v>
      </x:c>
      <x:c r="F431" s="18" t="n">
        <x:v>3822.25</x:v>
      </x:c>
      <x:c r="G431" s="18" t="n">
        <x:v>3822.25</x:v>
      </x:c>
      <x:c r="H431" t="str">
        <x:v>Client 21</x:v>
      </x:c>
      <x:c r="I431" s="16" t="n">
        <x:v>45431</x:v>
      </x:c>
    </x:row>
    <x:row r="432">
      <x:c r="A432" t="str">
        <x:v>DV-2026-00431</x:v>
      </x:c>
      <x:c r="B432" s="16" t="n">
        <x:v>46217</x:v>
      </x:c>
      <x:c r="C432" t="str">
        <x:v>Client 13</x:v>
      </x:c>
      <x:c r="D432" t="str">
        <x:v>Douane</x:v>
      </x:c>
      <x:c r="E432" t="str">
        <x:v>Pôle E</x:v>
      </x:c>
      <x:c r="F432" s="18" t="n">
        <x:v>21246.1</x:v>
      </x:c>
      <x:c r="G432" s="18" t="n">
        <x:v>21246.1</x:v>
      </x:c>
      <x:c r="H432" t="str">
        <x:v>Client 13</x:v>
      </x:c>
      <x:c r="I432" s="16" t="n">
        <x:v>46257</x:v>
      </x:c>
    </x:row>
    <x:row r="433">
      <x:c r="A433" t="str">
        <x:v>DV-2024-00432</x:v>
      </x:c>
      <x:c r="B433" s="16" t="n">
        <x:v>45409</x:v>
      </x:c>
      <x:c r="C433" t="str">
        <x:v>Client 40</x:v>
      </x:c>
      <x:c r="D433" t="str">
        <x:v>Fret maritime</x:v>
      </x:c>
      <x:c r="E433" t="str">
        <x:v>Pôle C</x:v>
      </x:c>
      <x:c r="F433" s="18" t="n">
        <x:v>1178.34</x:v>
      </x:c>
      <x:c r="G433" s="18" t="n">
        <x:v>1178.34</x:v>
      </x:c>
      <x:c r="H433" t="str">
        <x:v>Client 40</x:v>
      </x:c>
      <x:c r="I433" s="16" t="n">
        <x:v>45492</x:v>
      </x:c>
    </x:row>
    <x:row r="434">
      <x:c r="A434" t="str">
        <x:v>DV-2026-00433</x:v>
      </x:c>
      <x:c r="B434" s="16" t="n">
        <x:v>46127</x:v>
      </x:c>
      <x:c r="C434" t="str">
        <x:v>Client 21</x:v>
      </x:c>
      <x:c r="D434" t="str">
        <x:v>Fret aérien</x:v>
      </x:c>
      <x:c r="E434" t="str">
        <x:v>Pôle E</x:v>
      </x:c>
      <x:c r="F434" s="18" t="n">
        <x:v>2479.58</x:v>
      </x:c>
      <x:c r="G434" s="18" t="n">
        <x:v>844.54</x:v>
      </x:c>
      <x:c r="H434" t="str">
        <x:v>Client 21</x:v>
      </x:c>
      <x:c r="I434" s="16" t="n">
        <x:v>46162</x:v>
      </x:c>
    </x:row>
    <x:row r="435">
      <x:c r="A435" t="str">
        <x:v>DV-2024-00434</x:v>
      </x:c>
      <x:c r="B435" s="16" t="n">
        <x:v>45411</x:v>
      </x:c>
      <x:c r="C435" t="str">
        <x:v>Client 33</x:v>
      </x:c>
      <x:c r="D435" t="str">
        <x:v>Fret maritime</x:v>
      </x:c>
      <x:c r="E435" t="str">
        <x:v>Pôle E</x:v>
      </x:c>
      <x:c r="F435" s="18" t="n">
        <x:v>15047.07</x:v>
      </x:c>
      <x:c r="G435" s="18" t="n">
        <x:v>15047.07</x:v>
      </x:c>
      <x:c r="H435" t="str">
        <x:v>Client 33</x:v>
      </x:c>
      <x:c r="I435" s="16" t="n">
        <x:v>45454</x:v>
      </x:c>
    </x:row>
    <x:row r="436">
      <x:c r="A436" t="str">
        <x:v>DV-2025-00435</x:v>
      </x:c>
      <x:c r="B436" s="16" t="n">
        <x:v>45696</x:v>
      </x:c>
      <x:c r="C436" t="str">
        <x:v>Client 40</x:v>
      </x:c>
      <x:c r="D436" t="str">
        <x:v>Douane</x:v>
      </x:c>
      <x:c r="E436" t="str">
        <x:v>Pôle C</x:v>
      </x:c>
      <x:c r="F436" s="18" t="n">
        <x:v>16431.71</x:v>
      </x:c>
      <x:c r="G436" s="18" t="n">
        <x:v>16431.71</x:v>
      </x:c>
      <x:c r="H436" t="str">
        <x:v>Client 40</x:v>
      </x:c>
      <x:c r="I436" s="16" t="n">
        <x:v>45748</x:v>
      </x:c>
    </x:row>
    <x:row r="437">
      <x:c r="A437" t="str">
        <x:v>DV-2025-00436</x:v>
      </x:c>
      <x:c r="B437" s="16" t="n">
        <x:v>45725</x:v>
      </x:c>
      <x:c r="C437" t="str">
        <x:v>Client 46</x:v>
      </x:c>
      <x:c r="D437" t="str">
        <x:v>Fret aérien</x:v>
      </x:c>
      <x:c r="E437" t="str">
        <x:v>Pôle C</x:v>
      </x:c>
      <x:c r="F437" s="18" t="n">
        <x:v>1493.61</x:v>
      </x:c>
      <x:c r="G437" s="18" t="n">
        <x:v>1493.61</x:v>
      </x:c>
      <x:c r="H437" t="str">
        <x:v>Client 46</x:v>
      </x:c>
      <x:c r="I437" s="16" t="n">
        <x:v>45807</x:v>
      </x:c>
    </x:row>
    <x:row r="438">
      <x:c r="A438" t="str">
        <x:v>DV-2025-00437</x:v>
      </x:c>
      <x:c r="B438" s="16" t="n">
        <x:v>45871</x:v>
      </x:c>
      <x:c r="C438" t="str">
        <x:v>Client 25</x:v>
      </x:c>
      <x:c r="D438" t="str">
        <x:v>Fret aérien</x:v>
      </x:c>
      <x:c r="E438" t="str">
        <x:v>Pôle D</x:v>
      </x:c>
      <x:c r="F438" s="18" t="n">
        <x:v>3815.54</x:v>
      </x:c>
      <x:c r="G438" s="18" t="n">
        <x:v>0</x:v>
      </x:c>
      <x:c r="H438" t="str">
        <x:v>Client 14</x:v>
      </x:c>
      <x:c r="I438" s="16"/>
    </x:row>
    <x:row r="439">
      <x:c r="A439" t="str">
        <x:v>DV-2025-00438</x:v>
      </x:c>
      <x:c r="B439" s="16" t="n">
        <x:v>45671</x:v>
      </x:c>
      <x:c r="C439" t="str">
        <x:v>Client 26</x:v>
      </x:c>
      <x:c r="D439" t="str">
        <x:v>Fret maritime</x:v>
      </x:c>
      <x:c r="E439" t="str">
        <x:v>Pôle E</x:v>
      </x:c>
      <x:c r="F439" s="18" t="n">
        <x:v>11321.88</x:v>
      </x:c>
      <x:c r="G439" s="18" t="n">
        <x:v>11321.88</x:v>
      </x:c>
      <x:c r="H439" t="str">
        <x:v>Client 26</x:v>
      </x:c>
      <x:c r="I439" s="16" t="n">
        <x:v>45723</x:v>
      </x:c>
    </x:row>
    <x:row r="440">
      <x:c r="A440" t="str">
        <x:v>DV-2025-00439</x:v>
      </x:c>
      <x:c r="B440" s="16" t="n">
        <x:v>45697</x:v>
      </x:c>
      <x:c r="C440" t="str">
        <x:v>Client 04</x:v>
      </x:c>
      <x:c r="D440" t="str">
        <x:v>Logistique</x:v>
      </x:c>
      <x:c r="E440" t="str">
        <x:v>Pôle A</x:v>
      </x:c>
      <x:c r="F440" s="18" t="n">
        <x:v>11803.99</x:v>
      </x:c>
      <x:c r="G440" s="18" t="n">
        <x:v>2157.78</x:v>
      </x:c>
      <x:c r="H440" t="str">
        <x:v>Client 04</x:v>
      </x:c>
      <x:c r="I440" s="16" t="n">
        <x:v>45774</x:v>
      </x:c>
    </x:row>
    <x:row r="441">
      <x:c r="A441" t="str">
        <x:v>DV-2024-00440</x:v>
      </x:c>
      <x:c r="B441" s="16" t="n">
        <x:v>45516</x:v>
      </x:c>
      <x:c r="C441" t="str">
        <x:v>Client 23</x:v>
      </x:c>
      <x:c r="D441" t="str">
        <x:v>Douane</x:v>
      </x:c>
      <x:c r="E441" t="str">
        <x:v>Pôle D</x:v>
      </x:c>
      <x:c r="F441" s="18" t="n">
        <x:v>12545.74</x:v>
      </x:c>
      <x:c r="G441" s="18" t="n">
        <x:v>12545.74</x:v>
      </x:c>
      <x:c r="H441" t="str">
        <x:v>Client 23</x:v>
      </x:c>
      <x:c r="I441" s="16" t="n">
        <x:v>45540</x:v>
      </x:c>
    </x:row>
    <x:row r="442">
      <x:c r="A442" t="str">
        <x:v>DV-2024-00441</x:v>
      </x:c>
      <x:c r="B442" s="16" t="n">
        <x:v>45390</x:v>
      </x:c>
      <x:c r="C442" t="str">
        <x:v>Client 20</x:v>
      </x:c>
      <x:c r="D442" t="str">
        <x:v>Express</x:v>
      </x:c>
      <x:c r="E442" t="str">
        <x:v>Pôle D</x:v>
      </x:c>
      <x:c r="F442" s="18" t="n">
        <x:v>10547.62</x:v>
      </x:c>
      <x:c r="G442" s="18" t="n">
        <x:v>10547.62</x:v>
      </x:c>
      <x:c r="H442" t="str">
        <x:v>Client 03</x:v>
      </x:c>
      <x:c r="I442" s="16" t="n">
        <x:v>45448</x:v>
      </x:c>
    </x:row>
    <x:row r="443">
      <x:c r="A443" t="str">
        <x:v>DV-2024-00442</x:v>
      </x:c>
      <x:c r="B443" s="16" t="n">
        <x:v>45438</x:v>
      </x:c>
      <x:c r="C443" t="str">
        <x:v>Client 30</x:v>
      </x:c>
      <x:c r="D443" t="str">
        <x:v>Express</x:v>
      </x:c>
      <x:c r="E443" t="str">
        <x:v>Pôle D</x:v>
      </x:c>
      <x:c r="F443" s="18" t="n">
        <x:v>9506.97</x:v>
      </x:c>
      <x:c r="G443" s="18" t="n">
        <x:v>6165.9</x:v>
      </x:c>
      <x:c r="H443" t="str">
        <x:v>Client 30</x:v>
      </x:c>
      <x:c r="I443" s="16" t="n">
        <x:v>45504</x:v>
      </x:c>
    </x:row>
    <x:row r="444">
      <x:c r="A444" t="str">
        <x:v>DV-2026-00443</x:v>
      </x:c>
      <x:c r="B444" s="16" t="n">
        <x:v>46097</x:v>
      </x:c>
      <x:c r="C444" t="str">
        <x:v>Client 41</x:v>
      </x:c>
      <x:c r="D444" t="str">
        <x:v>Fret aérien</x:v>
      </x:c>
      <x:c r="E444" t="str">
        <x:v>Pôle A</x:v>
      </x:c>
      <x:c r="F444" s="18" t="n">
        <x:v>16241.13</x:v>
      </x:c>
      <x:c r="G444" s="18" t="n">
        <x:v>16241.13</x:v>
      </x:c>
      <x:c r="H444" t="str">
        <x:v>Client 41</x:v>
      </x:c>
      <x:c r="I444" s="16" t="n">
        <x:v>46107</x:v>
      </x:c>
    </x:row>
    <x:row r="445">
      <x:c r="A445" t="str">
        <x:v>DV-2026-00444</x:v>
      </x:c>
      <x:c r="B445" s="16" t="n">
        <x:v>46034</x:v>
      </x:c>
      <x:c r="C445" t="str">
        <x:v>Client 03</x:v>
      </x:c>
      <x:c r="D445" t="str">
        <x:v>Logistique</x:v>
      </x:c>
      <x:c r="E445" t="str">
        <x:v>Pôle A</x:v>
      </x:c>
      <x:c r="F445" s="18" t="n">
        <x:v>5577.32</x:v>
      </x:c>
      <x:c r="G445" s="18" t="n">
        <x:v>5577.32</x:v>
      </x:c>
      <x:c r="H445" t="str">
        <x:v>Client 01</x:v>
      </x:c>
      <x:c r="I445" s="16" t="n">
        <x:v>46063</x:v>
      </x:c>
    </x:row>
    <x:row r="446">
      <x:c r="A446" t="str">
        <x:v>DV-2025-00445</x:v>
      </x:c>
      <x:c r="B446" s="16" t="n">
        <x:v>45957</x:v>
      </x:c>
      <x:c r="C446" t="str">
        <x:v>Client 18</x:v>
      </x:c>
      <x:c r="D446" t="str">
        <x:v>Logistique</x:v>
      </x:c>
      <x:c r="E446" t="str">
        <x:v>Pôle A</x:v>
      </x:c>
      <x:c r="F446" s="18" t="n">
        <x:v>798.91</x:v>
      </x:c>
      <x:c r="G446" s="18" t="n">
        <x:v>798.91</x:v>
      </x:c>
      <x:c r="H446" t="str">
        <x:v>Client 18</x:v>
      </x:c>
      <x:c r="I446" s="16" t="n">
        <x:v>45987</x:v>
      </x:c>
    </x:row>
    <x:row r="447">
      <x:c r="A447" t="str">
        <x:v>DV-2025-00446</x:v>
      </x:c>
      <x:c r="B447" s="16" t="n">
        <x:v>45698</x:v>
      </x:c>
      <x:c r="C447" t="str">
        <x:v>Client 36</x:v>
      </x:c>
      <x:c r="D447" t="str">
        <x:v>Fret aérien</x:v>
      </x:c>
      <x:c r="E447" t="str">
        <x:v>Pôle A</x:v>
      </x:c>
      <x:c r="F447" s="18" t="n">
        <x:v>19488.81</x:v>
      </x:c>
      <x:c r="G447" s="18" t="n">
        <x:v>19488.81</x:v>
      </x:c>
      <x:c r="H447" t="str">
        <x:v>Client 36</x:v>
      </x:c>
      <x:c r="I447" s="16" t="n">
        <x:v>45716</x:v>
      </x:c>
    </x:row>
    <x:row r="448">
      <x:c r="A448" t="str">
        <x:v>DV-2024-00447</x:v>
      </x:c>
      <x:c r="B448" s="16" t="n">
        <x:v>45365</x:v>
      </x:c>
      <x:c r="C448" t="str">
        <x:v>Client 08</x:v>
      </x:c>
      <x:c r="D448" t="str">
        <x:v>Fret maritime</x:v>
      </x:c>
      <x:c r="E448" t="str">
        <x:v>Pôle A</x:v>
      </x:c>
      <x:c r="F448" s="18" t="n">
        <x:v>24084.87</x:v>
      </x:c>
      <x:c r="G448" s="18" t="n">
        <x:v>24084.87</x:v>
      </x:c>
      <x:c r="H448" t="str">
        <x:v>Client 08</x:v>
      </x:c>
      <x:c r="I448" s="16" t="n">
        <x:v>45453</x:v>
      </x:c>
    </x:row>
    <x:row r="449">
      <x:c r="A449" t="str">
        <x:v>DV-2024-00448</x:v>
      </x:c>
      <x:c r="B449" s="16" t="n">
        <x:v>45607</x:v>
      </x:c>
      <x:c r="C449" t="str">
        <x:v>Client 07</x:v>
      </x:c>
      <x:c r="D449" t="str">
        <x:v>Fret maritime</x:v>
      </x:c>
      <x:c r="E449" t="str">
        <x:v>Pôle A</x:v>
      </x:c>
      <x:c r="F449" s="18" t="n">
        <x:v>23493.31</x:v>
      </x:c>
      <x:c r="G449" s="18" t="n">
        <x:v>23493.31</x:v>
      </x:c>
      <x:c r="H449" t="str">
        <x:v>Client 07</x:v>
      </x:c>
      <x:c r="I449" s="16" t="n">
        <x:v>45686</x:v>
      </x:c>
    </x:row>
    <x:row r="450">
      <x:c r="A450" t="str">
        <x:v>DV-2024-00449</x:v>
      </x:c>
      <x:c r="B450" s="16" t="n">
        <x:v>45589</x:v>
      </x:c>
      <x:c r="C450" t="str">
        <x:v>Client 07</x:v>
      </x:c>
      <x:c r="D450" t="str">
        <x:v>Fret maritime</x:v>
      </x:c>
      <x:c r="E450" t="str">
        <x:v>Pôle B</x:v>
      </x:c>
      <x:c r="F450" s="18" t="n">
        <x:v>22355.08</x:v>
      </x:c>
      <x:c r="G450" s="18" t="n">
        <x:v>22355.08</x:v>
      </x:c>
      <x:c r="H450" t="str">
        <x:v>Client 07</x:v>
      </x:c>
      <x:c r="I450" s="16" t="n">
        <x:v>45621</x:v>
      </x:c>
    </x:row>
    <x:row r="451">
      <x:c r="A451" t="str">
        <x:v>DV-2025-00450</x:v>
      </x:c>
      <x:c r="B451" s="16" t="n">
        <x:v>45999</x:v>
      </x:c>
      <x:c r="C451" t="str">
        <x:v>Client 41</x:v>
      </x:c>
      <x:c r="D451" t="str">
        <x:v>Douane</x:v>
      </x:c>
      <x:c r="E451" t="str">
        <x:v>Pôle E</x:v>
      </x:c>
      <x:c r="F451" s="18" t="n">
        <x:v>7861.19</x:v>
      </x:c>
      <x:c r="G451" s="18" t="n">
        <x:v>7861.19</x:v>
      </x:c>
      <x:c r="H451" t="str">
        <x:v>Client 41</x:v>
      </x:c>
      <x:c r="I451" s="16" t="n">
        <x:v>46018</x:v>
      </x:c>
    </x:row>
    <x:row r="452">
      <x:c r="A452" t="str">
        <x:v>DV-2026-00451</x:v>
      </x:c>
      <x:c r="B452" s="16" t="n">
        <x:v>46074</x:v>
      </x:c>
      <x:c r="C452" t="str">
        <x:v>Client 05</x:v>
      </x:c>
      <x:c r="D452" t="str">
        <x:v>Express</x:v>
      </x:c>
      <x:c r="E452" t="str">
        <x:v>Pôle D</x:v>
      </x:c>
      <x:c r="F452" s="18" t="n">
        <x:v>8008.11</x:v>
      </x:c>
      <x:c r="G452" s="18" t="n">
        <x:v>8008.11</x:v>
      </x:c>
      <x:c r="H452" t="str">
        <x:v>Client 05</x:v>
      </x:c>
      <x:c r="I452" s="16" t="n">
        <x:v>46091</x:v>
      </x:c>
    </x:row>
    <x:row r="453">
      <x:c r="A453" t="str">
        <x:v>DV-2024-00452</x:v>
      </x:c>
      <x:c r="B453" s="16" t="n">
        <x:v>45301</x:v>
      </x:c>
      <x:c r="C453" t="str">
        <x:v>Client 44</x:v>
      </x:c>
      <x:c r="D453" t="str">
        <x:v>Express</x:v>
      </x:c>
      <x:c r="E453" t="str">
        <x:v>Pôle B</x:v>
      </x:c>
      <x:c r="F453" s="18" t="n">
        <x:v>7679.42</x:v>
      </x:c>
      <x:c r="G453" s="18" t="n">
        <x:v>7679.42</x:v>
      </x:c>
      <x:c r="H453" t="str">
        <x:v>Client 44</x:v>
      </x:c>
      <x:c r="I453" s="16" t="n">
        <x:v>45378</x:v>
      </x:c>
    </x:row>
    <x:row r="454">
      <x:c r="A454" t="str">
        <x:v>DV-2025-00453</x:v>
      </x:c>
      <x:c r="B454" s="16" t="n">
        <x:v>46022</x:v>
      </x:c>
      <x:c r="C454" t="str">
        <x:v>Client 39</x:v>
      </x:c>
      <x:c r="D454" t="str">
        <x:v>Express</x:v>
      </x:c>
      <x:c r="E454" t="str">
        <x:v>Pôle B</x:v>
      </x:c>
      <x:c r="F454" s="18" t="n">
        <x:v>20818.41</x:v>
      </x:c>
      <x:c r="G454" s="18" t="n">
        <x:v>20818.41</x:v>
      </x:c>
      <x:c r="H454" t="str">
        <x:v>Client 39</x:v>
      </x:c>
      <x:c r="I454" s="16" t="n">
        <x:v>46026</x:v>
      </x:c>
    </x:row>
    <x:row r="455">
      <x:c r="A455" t="str">
        <x:v>DV-2024-00454</x:v>
      </x:c>
      <x:c r="B455" s="16" t="n">
        <x:v>45523</x:v>
      </x:c>
      <x:c r="C455" t="str">
        <x:v>Client 24</x:v>
      </x:c>
      <x:c r="D455" t="str">
        <x:v>Express</x:v>
      </x:c>
      <x:c r="E455" t="str">
        <x:v>Pôle E</x:v>
      </x:c>
      <x:c r="F455" s="18" t="n">
        <x:v>6258.45</x:v>
      </x:c>
      <x:c r="G455" s="18" t="n">
        <x:v>6258.45</x:v>
      </x:c>
      <x:c r="H455" t="str">
        <x:v>Client 17</x:v>
      </x:c>
      <x:c r="I455" s="16" t="n">
        <x:v>45565</x:v>
      </x:c>
    </x:row>
    <x:row r="456">
      <x:c r="A456" t="str">
        <x:v>DV-2024-00455</x:v>
      </x:c>
      <x:c r="B456" s="16" t="n">
        <x:v>45593</x:v>
      </x:c>
      <x:c r="C456" t="str">
        <x:v>Client 49</x:v>
      </x:c>
      <x:c r="D456" t="str">
        <x:v>Douane</x:v>
      </x:c>
      <x:c r="E456" t="str">
        <x:v>Pôle E</x:v>
      </x:c>
      <x:c r="F456" s="18" t="n">
        <x:v>10678.51</x:v>
      </x:c>
      <x:c r="G456" s="18" t="n">
        <x:v>7681.8</x:v>
      </x:c>
      <x:c r="H456" t="str">
        <x:v>Client 39</x:v>
      </x:c>
      <x:c r="I456" s="16" t="n">
        <x:v>45634</x:v>
      </x:c>
    </x:row>
    <x:row r="457">
      <x:c r="A457" t="str">
        <x:v>DV-2025-00456</x:v>
      </x:c>
      <x:c r="B457" s="16" t="n">
        <x:v>45771</x:v>
      </x:c>
      <x:c r="C457" t="str">
        <x:v>Client 35</x:v>
      </x:c>
      <x:c r="D457" t="str">
        <x:v>Express</x:v>
      </x:c>
      <x:c r="E457" t="str">
        <x:v>Pôle A</x:v>
      </x:c>
      <x:c r="F457" s="18" t="n">
        <x:v>18378.32</x:v>
      </x:c>
      <x:c r="G457" s="18" t="n">
        <x:v>18378.32</x:v>
      </x:c>
      <x:c r="H457" t="str">
        <x:v>Client 35</x:v>
      </x:c>
      <x:c r="I457" s="16" t="n">
        <x:v>45822</x:v>
      </x:c>
    </x:row>
    <x:row r="458">
      <x:c r="A458" t="str">
        <x:v>DV-2026-00457</x:v>
      </x:c>
      <x:c r="B458" s="16" t="n">
        <x:v>46090</x:v>
      </x:c>
      <x:c r="C458" t="str">
        <x:v>Client 04</x:v>
      </x:c>
      <x:c r="D458" t="str">
        <x:v>Fret maritime</x:v>
      </x:c>
      <x:c r="E458" t="str">
        <x:v>Pôle A</x:v>
      </x:c>
      <x:c r="F458" s="18" t="n">
        <x:v>11582.44</x:v>
      </x:c>
      <x:c r="G458" s="18" t="n">
        <x:v>11582.44</x:v>
      </x:c>
      <x:c r="H458" t="str">
        <x:v>Client 04</x:v>
      </x:c>
      <x:c r="I458" s="16" t="n">
        <x:v>46103</x:v>
      </x:c>
    </x:row>
    <x:row r="459">
      <x:c r="A459" t="str">
        <x:v>DV-2024-00458</x:v>
      </x:c>
      <x:c r="B459" s="16" t="n">
        <x:v>45599</x:v>
      </x:c>
      <x:c r="C459" t="str">
        <x:v>Client 16</x:v>
      </x:c>
      <x:c r="D459" t="str">
        <x:v>Express</x:v>
      </x:c>
      <x:c r="E459" t="str">
        <x:v>Pôle C</x:v>
      </x:c>
      <x:c r="F459" s="18" t="n">
        <x:v>21732.3</x:v>
      </x:c>
      <x:c r="G459" s="18" t="n">
        <x:v>21732.3</x:v>
      </x:c>
      <x:c r="H459" t="str">
        <x:v>Client 16</x:v>
      </x:c>
      <x:c r="I459" s="16" t="n">
        <x:v>45670</x:v>
      </x:c>
    </x:row>
    <x:row r="460">
      <x:c r="A460" t="str">
        <x:v>DV-2025-00459</x:v>
      </x:c>
      <x:c r="B460" s="16" t="n">
        <x:v>45716</x:v>
      </x:c>
      <x:c r="C460" t="str">
        <x:v>Client 23</x:v>
      </x:c>
      <x:c r="D460" t="str">
        <x:v>Logistique</x:v>
      </x:c>
      <x:c r="E460" t="str">
        <x:v>Pôle D</x:v>
      </x:c>
      <x:c r="F460" s="18" t="n">
        <x:v>18176.24</x:v>
      </x:c>
      <x:c r="G460" s="18" t="n">
        <x:v>18176.24</x:v>
      </x:c>
      <x:c r="H460" t="str">
        <x:v>Client 23</x:v>
      </x:c>
      <x:c r="I460" s="16" t="n">
        <x:v>45726</x:v>
      </x:c>
    </x:row>
    <x:row r="461">
      <x:c r="A461" t="str">
        <x:v>DV-2024-00460</x:v>
      </x:c>
      <x:c r="B461" s="16" t="n">
        <x:v>45513</x:v>
      </x:c>
      <x:c r="C461" t="str">
        <x:v>Client 47</x:v>
      </x:c>
      <x:c r="D461" t="str">
        <x:v>Express</x:v>
      </x:c>
      <x:c r="E461" t="str">
        <x:v>Pôle C</x:v>
      </x:c>
      <x:c r="F461" s="18" t="n">
        <x:v>16415.99</x:v>
      </x:c>
      <x:c r="G461" s="18" t="n">
        <x:v>16415.99</x:v>
      </x:c>
      <x:c r="H461" t="str">
        <x:v>Client 47</x:v>
      </x:c>
      <x:c r="I461" s="16" t="n">
        <x:v>45552</x:v>
      </x:c>
    </x:row>
    <x:row r="462">
      <x:c r="A462" t="str">
        <x:v>DV-2025-00461</x:v>
      </x:c>
      <x:c r="B462" s="16" t="n">
        <x:v>45755</x:v>
      </x:c>
      <x:c r="C462" t="str">
        <x:v>Client 49</x:v>
      </x:c>
      <x:c r="D462" t="str">
        <x:v>Douane</x:v>
      </x:c>
      <x:c r="E462" t="str">
        <x:v>Pôle E</x:v>
      </x:c>
      <x:c r="F462" s="18" t="n">
        <x:v>8873.46</x:v>
      </x:c>
      <x:c r="G462" s="18" t="n">
        <x:v>0</x:v>
      </x:c>
      <x:c r="H462" t="str">
        <x:v>Client 49</x:v>
      </x:c>
      <x:c r="I462" s="16"/>
    </x:row>
    <x:row r="463">
      <x:c r="A463" t="str">
        <x:v>DV-2024-00462</x:v>
      </x:c>
      <x:c r="B463" s="16" t="n">
        <x:v>45327</x:v>
      </x:c>
      <x:c r="C463" t="str">
        <x:v>Client 15</x:v>
      </x:c>
      <x:c r="D463" t="str">
        <x:v>Fret aérien</x:v>
      </x:c>
      <x:c r="E463" t="str">
        <x:v>Pôle B</x:v>
      </x:c>
      <x:c r="F463" s="18" t="n">
        <x:v>17485.59</x:v>
      </x:c>
      <x:c r="G463" s="18" t="n">
        <x:v>17485.59</x:v>
      </x:c>
      <x:c r="H463" t="str">
        <x:v>Client 15</x:v>
      </x:c>
      <x:c r="I463" s="16" t="n">
        <x:v>45363</x:v>
      </x:c>
    </x:row>
    <x:row r="464">
      <x:c r="A464" t="str">
        <x:v>DV-2025-00463</x:v>
      </x:c>
      <x:c r="B464" s="16" t="n">
        <x:v>45711</x:v>
      </x:c>
      <x:c r="C464" t="str">
        <x:v>Client 28</x:v>
      </x:c>
      <x:c r="D464" t="str">
        <x:v>Express</x:v>
      </x:c>
      <x:c r="E464" t="str">
        <x:v>Pôle A</x:v>
      </x:c>
      <x:c r="F464" s="18" t="n">
        <x:v>23730.53</x:v>
      </x:c>
      <x:c r="G464" s="18" t="n">
        <x:v>23730.53</x:v>
      </x:c>
      <x:c r="H464" t="str">
        <x:v>Client 28</x:v>
      </x:c>
      <x:c r="I464" s="16" t="n">
        <x:v>45735</x:v>
      </x:c>
    </x:row>
    <x:row r="465">
      <x:c r="A465" t="str">
        <x:v>DV-2025-00464</x:v>
      </x:c>
      <x:c r="B465" s="16" t="n">
        <x:v>45839</x:v>
      </x:c>
      <x:c r="C465" t="str">
        <x:v>Client 16</x:v>
      </x:c>
      <x:c r="D465" t="str">
        <x:v>Douane</x:v>
      </x:c>
      <x:c r="E465" t="str">
        <x:v>Pôle E</x:v>
      </x:c>
      <x:c r="F465" s="18" t="n">
        <x:v>13606</x:v>
      </x:c>
      <x:c r="G465" s="18" t="n">
        <x:v>13606</x:v>
      </x:c>
      <x:c r="H465" t="str">
        <x:v>Client 16</x:v>
      </x:c>
      <x:c r="I465" s="16" t="n">
        <x:v>45894</x:v>
      </x:c>
    </x:row>
    <x:row r="466">
      <x:c r="A466" t="str">
        <x:v>DV-2024-00465</x:v>
      </x:c>
      <x:c r="B466" s="16" t="n">
        <x:v>45416</x:v>
      </x:c>
      <x:c r="C466" t="str">
        <x:v>Client 50</x:v>
      </x:c>
      <x:c r="D466" t="str">
        <x:v>Fret maritime</x:v>
      </x:c>
      <x:c r="E466" t="str">
        <x:v>Pôle E</x:v>
      </x:c>
      <x:c r="F466" s="18" t="n">
        <x:v>22804.28</x:v>
      </x:c>
      <x:c r="G466" s="18" t="n">
        <x:v>0</x:v>
      </x:c>
      <x:c r="H466" t="str">
        <x:v>Client 50</x:v>
      </x:c>
      <x:c r="I466" s="16"/>
    </x:row>
    <x:row r="467">
      <x:c r="A467" t="str">
        <x:v>DV-2026-00466</x:v>
      </x:c>
      <x:c r="B467" s="16" t="n">
        <x:v>46209</x:v>
      </x:c>
      <x:c r="C467" t="str">
        <x:v>Client 23</x:v>
      </x:c>
      <x:c r="D467" t="str">
        <x:v>Logistique</x:v>
      </x:c>
      <x:c r="E467" t="str">
        <x:v>Pôle D</x:v>
      </x:c>
      <x:c r="F467" s="18" t="n">
        <x:v>9081.06</x:v>
      </x:c>
      <x:c r="G467" s="18" t="n">
        <x:v>9081.06</x:v>
      </x:c>
      <x:c r="H467" t="str">
        <x:v>Client 23</x:v>
      </x:c>
      <x:c r="I467" s="16" t="n">
        <x:v>46274</x:v>
      </x:c>
    </x:row>
    <x:row r="468">
      <x:c r="A468" t="str">
        <x:v>DV-2024-00467</x:v>
      </x:c>
      <x:c r="B468" s="16" t="n">
        <x:v>45545</x:v>
      </x:c>
      <x:c r="C468" t="str">
        <x:v>Client 10</x:v>
      </x:c>
      <x:c r="D468" t="str">
        <x:v>Fret aérien</x:v>
      </x:c>
      <x:c r="E468" t="str">
        <x:v>Pôle D</x:v>
      </x:c>
      <x:c r="F468" s="18" t="n">
        <x:v>15282.09</x:v>
      </x:c>
      <x:c r="G468" s="18" t="n">
        <x:v>4685.21</x:v>
      </x:c>
      <x:c r="H468" t="str">
        <x:v>Client 10</x:v>
      </x:c>
      <x:c r="I468" s="16" t="n">
        <x:v>45624</x:v>
      </x:c>
    </x:row>
    <x:row r="469">
      <x:c r="A469" t="str">
        <x:v>DV-2024-00468</x:v>
      </x:c>
      <x:c r="B469" s="16" t="n">
        <x:v>45402</x:v>
      </x:c>
      <x:c r="C469" t="str">
        <x:v>Client 17</x:v>
      </x:c>
      <x:c r="D469" t="str">
        <x:v>Express</x:v>
      </x:c>
      <x:c r="E469" t="str">
        <x:v>Pôle C</x:v>
      </x:c>
      <x:c r="F469" s="18" t="n">
        <x:v>9858.87</x:v>
      </x:c>
      <x:c r="G469" s="18" t="n">
        <x:v>9858.87</x:v>
      </x:c>
      <x:c r="H469" t="str">
        <x:v>Client 26</x:v>
      </x:c>
      <x:c r="I469" s="16" t="n">
        <x:v>45434</x:v>
      </x:c>
    </x:row>
    <x:row r="470">
      <x:c r="A470" t="str">
        <x:v>DV-2026-00469</x:v>
      </x:c>
      <x:c r="B470" s="16" t="n">
        <x:v>46057</x:v>
      </x:c>
      <x:c r="C470" t="str">
        <x:v>Client 36</x:v>
      </x:c>
      <x:c r="D470" t="str">
        <x:v>Express</x:v>
      </x:c>
      <x:c r="E470" t="str">
        <x:v>Pôle A</x:v>
      </x:c>
      <x:c r="F470" s="18" t="n">
        <x:v>5561.62</x:v>
      </x:c>
      <x:c r="G470" s="18" t="n">
        <x:v>5561.62</x:v>
      </x:c>
      <x:c r="H470" t="str">
        <x:v>Client 36</x:v>
      </x:c>
      <x:c r="I470" s="16" t="n">
        <x:v>46150</x:v>
      </x:c>
    </x:row>
    <x:row r="471">
      <x:c r="A471" t="str">
        <x:v>DV-2025-00470</x:v>
      </x:c>
      <x:c r="B471" s="16" t="n">
        <x:v>45869</x:v>
      </x:c>
      <x:c r="C471" t="str">
        <x:v>Client 30</x:v>
      </x:c>
      <x:c r="D471" t="str">
        <x:v>Logistique</x:v>
      </x:c>
      <x:c r="E471" t="str">
        <x:v>Pôle E</x:v>
      </x:c>
      <x:c r="F471" s="18" t="n">
        <x:v>874.38</x:v>
      </x:c>
      <x:c r="G471" s="18" t="n">
        <x:v>874.38</x:v>
      </x:c>
      <x:c r="H471" t="str">
        <x:v>Client 30</x:v>
      </x:c>
      <x:c r="I471" s="16" t="n">
        <x:v>45890</x:v>
      </x:c>
    </x:row>
    <x:row r="472">
      <x:c r="A472" t="str">
        <x:v>DV-2024-00471</x:v>
      </x:c>
      <x:c r="B472" s="16" t="n">
        <x:v>45465</x:v>
      </x:c>
      <x:c r="C472" t="str">
        <x:v>Client 05</x:v>
      </x:c>
      <x:c r="D472" t="str">
        <x:v>Express</x:v>
      </x:c>
      <x:c r="E472" t="str">
        <x:v>Pôle C</x:v>
      </x:c>
      <x:c r="F472" s="18" t="n">
        <x:v>15297.77</x:v>
      </x:c>
      <x:c r="G472" s="18" t="n">
        <x:v>15297.77</x:v>
      </x:c>
      <x:c r="H472" t="str">
        <x:v>Client 05</x:v>
      </x:c>
      <x:c r="I472" s="16" t="n">
        <x:v>45491</x:v>
      </x:c>
    </x:row>
    <x:row r="473">
      <x:c r="A473" t="str">
        <x:v>DV-2026-00472</x:v>
      </x:c>
      <x:c r="B473" s="16" t="n">
        <x:v>46240</x:v>
      </x:c>
      <x:c r="C473" t="str">
        <x:v>Client 38</x:v>
      </x:c>
      <x:c r="D473" t="str">
        <x:v>Fret aérien</x:v>
      </x:c>
      <x:c r="E473" t="str">
        <x:v>Pôle C</x:v>
      </x:c>
      <x:c r="F473" s="18" t="n">
        <x:v>13355.35</x:v>
      </x:c>
      <x:c r="G473" s="18" t="n">
        <x:v>13355.35</x:v>
      </x:c>
      <x:c r="H473" t="str">
        <x:v>Client 38</x:v>
      </x:c>
      <x:c r="I473" s="16" t="n">
        <x:v>46304</x:v>
      </x:c>
    </x:row>
    <x:row r="474">
      <x:c r="A474" t="str">
        <x:v>DV-2026-00473</x:v>
      </x:c>
      <x:c r="B474" s="16" t="n">
        <x:v>46231</x:v>
      </x:c>
      <x:c r="C474" t="str">
        <x:v>Client 08</x:v>
      </x:c>
      <x:c r="D474" t="str">
        <x:v>Logistique</x:v>
      </x:c>
      <x:c r="E474" t="str">
        <x:v>Pôle C</x:v>
      </x:c>
      <x:c r="F474" s="18" t="n">
        <x:v>4922.32</x:v>
      </x:c>
      <x:c r="G474" s="18" t="n">
        <x:v>746.74</x:v>
      </x:c>
      <x:c r="H474" t="str">
        <x:v>Client 19</x:v>
      </x:c>
      <x:c r="I474" s="16" t="n">
        <x:v>46305</x:v>
      </x:c>
    </x:row>
    <x:row r="475">
      <x:c r="A475" t="str">
        <x:v>DV-2024-00474</x:v>
      </x:c>
      <x:c r="B475" s="16" t="n">
        <x:v>45501</x:v>
      </x:c>
      <x:c r="C475" t="str">
        <x:v>Client 19</x:v>
      </x:c>
      <x:c r="D475" t="str">
        <x:v>Douane</x:v>
      </x:c>
      <x:c r="E475" t="str">
        <x:v>Pôle D</x:v>
      </x:c>
      <x:c r="F475" s="18" t="n">
        <x:v>5413.08</x:v>
      </x:c>
      <x:c r="G475" s="18" t="n">
        <x:v>5413.08</x:v>
      </x:c>
      <x:c r="H475" t="str">
        <x:v>Client 19</x:v>
      </x:c>
      <x:c r="I475" s="16" t="n">
        <x:v>45534</x:v>
      </x:c>
    </x:row>
    <x:row r="476">
      <x:c r="A476" t="str">
        <x:v>DV-2026-00475</x:v>
      </x:c>
      <x:c r="B476" s="16" t="n">
        <x:v>46156</x:v>
      </x:c>
      <x:c r="C476" t="str">
        <x:v>Client 24</x:v>
      </x:c>
      <x:c r="D476" t="str">
        <x:v>Express</x:v>
      </x:c>
      <x:c r="E476" t="str">
        <x:v>Pôle B</x:v>
      </x:c>
      <x:c r="F476" s="18" t="n">
        <x:v>16691.84</x:v>
      </x:c>
      <x:c r="G476" s="18" t="n">
        <x:v>16691.84</x:v>
      </x:c>
      <x:c r="H476" t="str">
        <x:v>Client 24</x:v>
      </x:c>
      <x:c r="I476" s="16" t="n">
        <x:v>46195</x:v>
      </x:c>
    </x:row>
    <x:row r="477">
      <x:c r="A477" t="str">
        <x:v>DV-2025-00476</x:v>
      </x:c>
      <x:c r="B477" s="16" t="n">
        <x:v>45679</x:v>
      </x:c>
      <x:c r="C477" t="str">
        <x:v>Client 43</x:v>
      </x:c>
      <x:c r="D477" t="str">
        <x:v>Fret aérien</x:v>
      </x:c>
      <x:c r="E477" t="str">
        <x:v>Pôle B</x:v>
      </x:c>
      <x:c r="F477" s="18" t="n">
        <x:v>815.69</x:v>
      </x:c>
      <x:c r="G477" s="18" t="n">
        <x:v>815.69</x:v>
      </x:c>
      <x:c r="H477" t="str">
        <x:v>Client 43</x:v>
      </x:c>
      <x:c r="I477" s="16" t="n">
        <x:v>45766</x:v>
      </x:c>
    </x:row>
    <x:row r="478">
      <x:c r="A478" t="str">
        <x:v>DV-2026-00477</x:v>
      </x:c>
      <x:c r="B478" s="16" t="n">
        <x:v>46060</x:v>
      </x:c>
      <x:c r="C478" t="str">
        <x:v>Client 36</x:v>
      </x:c>
      <x:c r="D478" t="str">
        <x:v>Express</x:v>
      </x:c>
      <x:c r="E478" t="str">
        <x:v>Pôle A</x:v>
      </x:c>
      <x:c r="F478" s="18" t="n">
        <x:v>17372.3</x:v>
      </x:c>
      <x:c r="G478" s="18" t="n">
        <x:v>17372.3</x:v>
      </x:c>
      <x:c r="H478" t="str">
        <x:v>Client 36</x:v>
      </x:c>
      <x:c r="I478" s="16" t="n">
        <x:v>46065</x:v>
      </x:c>
    </x:row>
    <x:row r="479">
      <x:c r="A479" t="str">
        <x:v>DV-2025-00478</x:v>
      </x:c>
      <x:c r="B479" s="16" t="n">
        <x:v>45919</x:v>
      </x:c>
      <x:c r="C479" t="str">
        <x:v>Client 24</x:v>
      </x:c>
      <x:c r="D479" t="str">
        <x:v>Fret maritime</x:v>
      </x:c>
      <x:c r="E479" t="str">
        <x:v>Pôle E</x:v>
      </x:c>
      <x:c r="F479" s="18" t="n">
        <x:v>8670.98</x:v>
      </x:c>
      <x:c r="G479" s="18" t="n">
        <x:v>8670.98</x:v>
      </x:c>
      <x:c r="H479" t="str">
        <x:v>Client 24</x:v>
      </x:c>
      <x:c r="I479" s="16" t="n">
        <x:v>46012</x:v>
      </x:c>
    </x:row>
    <x:row r="480">
      <x:c r="A480" t="str">
        <x:v>DV-2024-00479</x:v>
      </x:c>
      <x:c r="B480" s="16" t="n">
        <x:v>45315</x:v>
      </x:c>
      <x:c r="C480" t="str">
        <x:v>Client 31</x:v>
      </x:c>
      <x:c r="D480" t="str">
        <x:v>Express</x:v>
      </x:c>
      <x:c r="E480" t="str">
        <x:v>Pôle C</x:v>
      </x:c>
      <x:c r="F480" s="18" t="n">
        <x:v>17282.95</x:v>
      </x:c>
      <x:c r="G480" s="18" t="n">
        <x:v>17282.95</x:v>
      </x:c>
      <x:c r="H480" t="str">
        <x:v>Client 31</x:v>
      </x:c>
      <x:c r="I480" s="16" t="n">
        <x:v>45354</x:v>
      </x:c>
    </x:row>
    <x:row r="481">
      <x:c r="A481" t="str">
        <x:v>DV-2026-00480</x:v>
      </x:c>
      <x:c r="B481" s="16" t="n">
        <x:v>46056</x:v>
      </x:c>
      <x:c r="C481" t="str">
        <x:v>Client 18</x:v>
      </x:c>
      <x:c r="D481" t="str">
        <x:v>Express</x:v>
      </x:c>
      <x:c r="E481" t="str">
        <x:v>Pôle B</x:v>
      </x:c>
      <x:c r="F481" s="18" t="n">
        <x:v>10301.1</x:v>
      </x:c>
      <x:c r="G481" s="18" t="n">
        <x:v>10301.1</x:v>
      </x:c>
      <x:c r="H481" t="str">
        <x:v>Client 18</x:v>
      </x:c>
      <x:c r="I481" s="16" t="n">
        <x:v>46126</x:v>
      </x:c>
    </x:row>
    <x:row r="482">
      <x:c r="A482" t="str">
        <x:v>DV-2026-00481</x:v>
      </x:c>
      <x:c r="B482" s="16" t="n">
        <x:v>46166</x:v>
      </x:c>
      <x:c r="C482" t="str">
        <x:v>Client 30</x:v>
      </x:c>
      <x:c r="D482" t="str">
        <x:v>Logistique</x:v>
      </x:c>
      <x:c r="E482" t="str">
        <x:v>Pôle E</x:v>
      </x:c>
      <x:c r="F482" s="18" t="n">
        <x:v>2070.79</x:v>
      </x:c>
      <x:c r="G482" s="18" t="n">
        <x:v>2070.79</x:v>
      </x:c>
      <x:c r="H482" t="str">
        <x:v>Client 30</x:v>
      </x:c>
      <x:c r="I482" s="16" t="n">
        <x:v>46186</x:v>
      </x:c>
    </x:row>
    <x:row r="483">
      <x:c r="A483" t="str">
        <x:v>DV-2025-00482</x:v>
      </x:c>
      <x:c r="B483" s="16" t="n">
        <x:v>45861</x:v>
      </x:c>
      <x:c r="C483" t="str">
        <x:v>Client 25</x:v>
      </x:c>
      <x:c r="D483" t="str">
        <x:v>Fret maritime</x:v>
      </x:c>
      <x:c r="E483" t="str">
        <x:v>Pôle C</x:v>
      </x:c>
      <x:c r="F483" s="18" t="n">
        <x:v>12619.95</x:v>
      </x:c>
      <x:c r="G483" s="18" t="n">
        <x:v>12619.95</x:v>
      </x:c>
      <x:c r="H483" t="str">
        <x:v>Client 25</x:v>
      </x:c>
      <x:c r="I483" s="16" t="n">
        <x:v>45863</x:v>
      </x:c>
    </x:row>
    <x:row r="484">
      <x:c r="A484" t="str">
        <x:v>DV-2026-00483</x:v>
      </x:c>
      <x:c r="B484" s="16" t="n">
        <x:v>46233</x:v>
      </x:c>
      <x:c r="C484" t="str">
        <x:v>Client 10</x:v>
      </x:c>
      <x:c r="D484" t="str">
        <x:v>Fret maritime</x:v>
      </x:c>
      <x:c r="E484" t="str">
        <x:v>Pôle B</x:v>
      </x:c>
      <x:c r="F484" s="18" t="n">
        <x:v>19352.28</x:v>
      </x:c>
      <x:c r="G484" s="18" t="n">
        <x:v>5595.29</x:v>
      </x:c>
      <x:c r="H484" t="str">
        <x:v>Client 20</x:v>
      </x:c>
      <x:c r="I484" s="16" t="n">
        <x:v>46317</x:v>
      </x:c>
    </x:row>
    <x:row r="485">
      <x:c r="A485" t="str">
        <x:v>DV-2024-00484</x:v>
      </x:c>
      <x:c r="B485" s="16" t="n">
        <x:v>45486</x:v>
      </x:c>
      <x:c r="C485" t="str">
        <x:v>Client 37</x:v>
      </x:c>
      <x:c r="D485" t="str">
        <x:v>Express</x:v>
      </x:c>
      <x:c r="E485" t="str">
        <x:v>Pôle E</x:v>
      </x:c>
      <x:c r="F485" s="18" t="n">
        <x:v>1280.43</x:v>
      </x:c>
      <x:c r="G485" s="18" t="n">
        <x:v>0</x:v>
      </x:c>
      <x:c r="H485" t="str">
        <x:v>Client 37</x:v>
      </x:c>
      <x:c r="I485" s="16"/>
    </x:row>
    <x:row r="486">
      <x:c r="A486" t="str">
        <x:v>DV-2025-00485</x:v>
      </x:c>
      <x:c r="B486" s="16" t="n">
        <x:v>45716</x:v>
      </x:c>
      <x:c r="C486" t="str">
        <x:v>Client 35</x:v>
      </x:c>
      <x:c r="D486" t="str">
        <x:v>Logistique</x:v>
      </x:c>
      <x:c r="E486" t="str">
        <x:v>Pôle A</x:v>
      </x:c>
      <x:c r="F486" s="18" t="n">
        <x:v>5426.89</x:v>
      </x:c>
      <x:c r="G486" s="18" t="n">
        <x:v>5426.89</x:v>
      </x:c>
      <x:c r="H486" t="str">
        <x:v>Client 35</x:v>
      </x:c>
      <x:c r="I486" s="16" t="n">
        <x:v>45801</x:v>
      </x:c>
    </x:row>
    <x:row r="487">
      <x:c r="A487" t="str">
        <x:v>DV-2025-00486</x:v>
      </x:c>
      <x:c r="B487" s="16" t="n">
        <x:v>45915</x:v>
      </x:c>
      <x:c r="C487" t="str">
        <x:v>Client 26</x:v>
      </x:c>
      <x:c r="D487" t="str">
        <x:v>Logistique</x:v>
      </x:c>
      <x:c r="E487" t="str">
        <x:v>Pôle E</x:v>
      </x:c>
      <x:c r="F487" s="18" t="n">
        <x:v>13126.36</x:v>
      </x:c>
      <x:c r="G487" s="18" t="n">
        <x:v>13126.36</x:v>
      </x:c>
      <x:c r="H487" t="str">
        <x:v>Client 26</x:v>
      </x:c>
      <x:c r="I487" s="16" t="n">
        <x:v>45942</x:v>
      </x:c>
    </x:row>
    <x:row r="488">
      <x:c r="A488" t="str">
        <x:v>DV-2025-00487</x:v>
      </x:c>
      <x:c r="B488" s="16" t="n">
        <x:v>45948</x:v>
      </x:c>
      <x:c r="C488" t="str">
        <x:v>Client 32</x:v>
      </x:c>
      <x:c r="D488" t="str">
        <x:v>Fret aérien</x:v>
      </x:c>
      <x:c r="E488" t="str">
        <x:v>Pôle C</x:v>
      </x:c>
      <x:c r="F488" s="18" t="n">
        <x:v>6995.14</x:v>
      </x:c>
      <x:c r="G488" s="18" t="n">
        <x:v>6995.14</x:v>
      </x:c>
      <x:c r="H488" t="str">
        <x:v>Client 27</x:v>
      </x:c>
      <x:c r="I488" s="16" t="n">
        <x:v>45965</x:v>
      </x:c>
    </x:row>
    <x:row r="489">
      <x:c r="A489" t="str">
        <x:v>DV-2024-00488</x:v>
      </x:c>
      <x:c r="B489" s="16" t="n">
        <x:v>45564</x:v>
      </x:c>
      <x:c r="C489" t="str">
        <x:v>Client 18</x:v>
      </x:c>
      <x:c r="D489" t="str">
        <x:v>Fret aérien</x:v>
      </x:c>
      <x:c r="E489" t="str">
        <x:v>Pôle A</x:v>
      </x:c>
      <x:c r="F489" s="18" t="n">
        <x:v>1305.01</x:v>
      </x:c>
      <x:c r="G489" s="18" t="n">
        <x:v>1305.01</x:v>
      </x:c>
      <x:c r="H489" t="str">
        <x:v>Client 16</x:v>
      </x:c>
      <x:c r="I489" s="16" t="n">
        <x:v>45622</x:v>
      </x:c>
    </x:row>
    <x:row r="490">
      <x:c r="A490" t="str">
        <x:v>DV-2024-00489</x:v>
      </x:c>
      <x:c r="B490" s="16" t="n">
        <x:v>45429</x:v>
      </x:c>
      <x:c r="C490" t="str">
        <x:v>Client 01</x:v>
      </x:c>
      <x:c r="D490" t="str">
        <x:v>Logistique</x:v>
      </x:c>
      <x:c r="E490" t="str">
        <x:v>Pôle A</x:v>
      </x:c>
      <x:c r="F490" s="18" t="n">
        <x:v>15543.87</x:v>
      </x:c>
      <x:c r="G490" s="18" t="n">
        <x:v>0</x:v>
      </x:c>
      <x:c r="H490" t="str">
        <x:v>Client 01</x:v>
      </x:c>
      <x:c r="I490" s="16"/>
    </x:row>
    <x:row r="491">
      <x:c r="A491" t="str">
        <x:v>DV-2025-00490</x:v>
      </x:c>
      <x:c r="B491" s="16" t="n">
        <x:v>45659</x:v>
      </x:c>
      <x:c r="C491" t="str">
        <x:v>Client 37</x:v>
      </x:c>
      <x:c r="D491" t="str">
        <x:v>Douane</x:v>
      </x:c>
      <x:c r="E491" t="str">
        <x:v>Pôle D</x:v>
      </x:c>
      <x:c r="F491" s="18" t="n">
        <x:v>3637.39</x:v>
      </x:c>
      <x:c r="G491" s="18" t="n">
        <x:v>3637.39</x:v>
      </x:c>
      <x:c r="H491" t="str">
        <x:v>Client 37</x:v>
      </x:c>
      <x:c r="I491" s="16" t="n">
        <x:v>45747</x:v>
      </x:c>
    </x:row>
    <x:row r="492">
      <x:c r="A492" t="str">
        <x:v>DV-2026-00491</x:v>
      </x:c>
      <x:c r="B492" s="16" t="n">
        <x:v>46123</x:v>
      </x:c>
      <x:c r="C492" t="str">
        <x:v>Client 31</x:v>
      </x:c>
      <x:c r="D492" t="str">
        <x:v>Fret aérien</x:v>
      </x:c>
      <x:c r="E492" t="str">
        <x:v>Pôle D</x:v>
      </x:c>
      <x:c r="F492" s="18" t="n">
        <x:v>8382.3</x:v>
      </x:c>
      <x:c r="G492" s="18" t="n">
        <x:v>8382.3</x:v>
      </x:c>
      <x:c r="H492" t="str">
        <x:v>Client 31</x:v>
      </x:c>
      <x:c r="I492" s="16" t="n">
        <x:v>46139</x:v>
      </x:c>
    </x:row>
    <x:row r="493">
      <x:c r="A493" t="str">
        <x:v>DV-2025-00492</x:v>
      </x:c>
      <x:c r="B493" s="16" t="n">
        <x:v>45841</x:v>
      </x:c>
      <x:c r="C493" t="str">
        <x:v>Client 49</x:v>
      </x:c>
      <x:c r="D493" t="str">
        <x:v>Fret aérien</x:v>
      </x:c>
      <x:c r="E493" t="str">
        <x:v>Pôle E</x:v>
      </x:c>
      <x:c r="F493" s="18" t="n">
        <x:v>16813.83</x:v>
      </x:c>
      <x:c r="G493" s="18" t="n">
        <x:v>16813.83</x:v>
      </x:c>
      <x:c r="H493" t="str">
        <x:v>Client 49</x:v>
      </x:c>
      <x:c r="I493" s="16" t="n">
        <x:v>45880</x:v>
      </x:c>
    </x:row>
    <x:row r="494">
      <x:c r="A494" t="str">
        <x:v>DV-2025-00493</x:v>
      </x:c>
      <x:c r="B494" s="16" t="n">
        <x:v>45782</x:v>
      </x:c>
      <x:c r="C494" t="str">
        <x:v>Client 18</x:v>
      </x:c>
      <x:c r="D494" t="str">
        <x:v>Douane</x:v>
      </x:c>
      <x:c r="E494" t="str">
        <x:v>Pôle C</x:v>
      </x:c>
      <x:c r="F494" s="18" t="n">
        <x:v>22775.75</x:v>
      </x:c>
      <x:c r="G494" s="18" t="n">
        <x:v>22775.75</x:v>
      </x:c>
      <x:c r="H494" t="str">
        <x:v>Client 18</x:v>
      </x:c>
      <x:c r="I494" s="16" t="n">
        <x:v>45853</x:v>
      </x:c>
    </x:row>
    <x:row r="495">
      <x:c r="A495" t="str">
        <x:v>DV-2024-00494</x:v>
      </x:c>
      <x:c r="B495" s="16" t="n">
        <x:v>45397</x:v>
      </x:c>
      <x:c r="C495" t="str">
        <x:v>Client 45</x:v>
      </x:c>
      <x:c r="D495" t="str">
        <x:v>Douane</x:v>
      </x:c>
      <x:c r="E495" t="str">
        <x:v>Pôle B</x:v>
      </x:c>
      <x:c r="F495" s="18" t="n">
        <x:v>5128.14</x:v>
      </x:c>
      <x:c r="G495" s="18" t="n">
        <x:v>5128.14</x:v>
      </x:c>
      <x:c r="H495" t="str">
        <x:v>Client 45</x:v>
      </x:c>
      <x:c r="I495" s="16" t="n">
        <x:v>45458</x:v>
      </x:c>
    </x:row>
    <x:row r="496">
      <x:c r="A496" t="str">
        <x:v>DV-2026-00495</x:v>
      </x:c>
      <x:c r="B496" s="16" t="n">
        <x:v>46212</x:v>
      </x:c>
      <x:c r="C496" t="str">
        <x:v>Client 07</x:v>
      </x:c>
      <x:c r="D496" t="str">
        <x:v>Douane</x:v>
      </x:c>
      <x:c r="E496" t="str">
        <x:v>Pôle C</x:v>
      </x:c>
      <x:c r="F496" s="18" t="n">
        <x:v>3450.37</x:v>
      </x:c>
      <x:c r="G496" s="18" t="n">
        <x:v>3450.37</x:v>
      </x:c>
      <x:c r="H496" t="str">
        <x:v>Client 07</x:v>
      </x:c>
      <x:c r="I496" s="16" t="n">
        <x:v>46239</x:v>
      </x:c>
    </x:row>
    <x:row r="497">
      <x:c r="A497" t="str">
        <x:v>DV-2025-00496</x:v>
      </x:c>
      <x:c r="B497" s="16" t="n">
        <x:v>45801</x:v>
      </x:c>
      <x:c r="C497" t="str">
        <x:v>Client 33</x:v>
      </x:c>
      <x:c r="D497" t="str">
        <x:v>Douane</x:v>
      </x:c>
      <x:c r="E497" t="str">
        <x:v>Pôle D</x:v>
      </x:c>
      <x:c r="F497" s="18" t="n">
        <x:v>24486.24</x:v>
      </x:c>
      <x:c r="G497" s="18" t="n">
        <x:v>24486.24</x:v>
      </x:c>
      <x:c r="H497" t="str">
        <x:v>Client 33</x:v>
      </x:c>
      <x:c r="I497" s="16" t="n">
        <x:v>45857</x:v>
      </x:c>
    </x:row>
    <x:row r="498">
      <x:c r="A498" t="str">
        <x:v>DV-2026-00497</x:v>
      </x:c>
      <x:c r="B498" s="16" t="n">
        <x:v>46236</x:v>
      </x:c>
      <x:c r="C498" t="str">
        <x:v>Client 13</x:v>
      </x:c>
      <x:c r="D498" t="str">
        <x:v>Logistique</x:v>
      </x:c>
      <x:c r="E498" t="str">
        <x:v>Pôle C</x:v>
      </x:c>
      <x:c r="F498" s="18" t="n">
        <x:v>20134.16</x:v>
      </x:c>
      <x:c r="G498" s="18" t="n">
        <x:v>0</x:v>
      </x:c>
      <x:c r="H498" t="str">
        <x:v>Client 13</x:v>
      </x:c>
      <x:c r="I498" s="16"/>
    </x:row>
    <x:row r="499">
      <x:c r="A499" t="str">
        <x:v>DV-2024-00498</x:v>
      </x:c>
      <x:c r="B499" s="16" t="n">
        <x:v>45640</x:v>
      </x:c>
      <x:c r="C499" t="str">
        <x:v>Client 28</x:v>
      </x:c>
      <x:c r="D499" t="str">
        <x:v>Logistique</x:v>
      </x:c>
      <x:c r="E499" t="str">
        <x:v>Pôle D</x:v>
      </x:c>
      <x:c r="F499" s="18" t="n">
        <x:v>4439.26</x:v>
      </x:c>
      <x:c r="G499" s="18" t="n">
        <x:v>4439.26</x:v>
      </x:c>
      <x:c r="H499" t="str">
        <x:v>Client 28</x:v>
      </x:c>
      <x:c r="I499" s="16" t="n">
        <x:v>45702</x:v>
      </x:c>
    </x:row>
    <x:row r="500">
      <x:c r="A500" t="str">
        <x:v>DV-2025-00499</x:v>
      </x:c>
      <x:c r="B500" s="16" t="n">
        <x:v>46005</x:v>
      </x:c>
      <x:c r="C500" t="str">
        <x:v>Client 50</x:v>
      </x:c>
      <x:c r="D500" t="str">
        <x:v>Fret maritime</x:v>
      </x:c>
      <x:c r="E500" t="str">
        <x:v>Pôle D</x:v>
      </x:c>
      <x:c r="F500" s="18" t="n">
        <x:v>22454.74</x:v>
      </x:c>
      <x:c r="G500" s="18" t="n">
        <x:v>22454.74</x:v>
      </x:c>
      <x:c r="H500" t="str">
        <x:v>Client 50</x:v>
      </x:c>
      <x:c r="I500" s="16" t="n">
        <x:v>46017</x:v>
      </x:c>
    </x:row>
    <x:row r="501">
      <x:c r="A501" t="str">
        <x:v>DV-2025-00500</x:v>
      </x:c>
      <x:c r="B501" s="16" t="n">
        <x:v>45979</x:v>
      </x:c>
      <x:c r="C501" t="str">
        <x:v>Client 11</x:v>
      </x:c>
      <x:c r="D501" t="str">
        <x:v>Douane</x:v>
      </x:c>
      <x:c r="E501" t="str">
        <x:v>Pôle E</x:v>
      </x:c>
      <x:c r="F501" s="18" t="n">
        <x:v>22597.93</x:v>
      </x:c>
      <x:c r="G501" s="18" t="n">
        <x:v>22597.93</x:v>
      </x:c>
      <x:c r="H501" t="str">
        <x:v>Client 11</x:v>
      </x:c>
      <x:c r="I501" s="16" t="n">
        <x:v>45997</x:v>
      </x:c>
    </x:row>
    <x:row r="502">
      <x:c r="A502" t="str">
        <x:v>DV-2024-00501</x:v>
      </x:c>
      <x:c r="B502" s="16" t="n">
        <x:v>45307</x:v>
      </x:c>
      <x:c r="C502" t="str">
        <x:v>Client 08</x:v>
      </x:c>
      <x:c r="D502" t="str">
        <x:v>Express</x:v>
      </x:c>
      <x:c r="E502" t="str">
        <x:v>Pôle A</x:v>
      </x:c>
      <x:c r="F502" s="18" t="n">
        <x:v>24230.02</x:v>
      </x:c>
      <x:c r="G502" s="18" t="n">
        <x:v>0</x:v>
      </x:c>
      <x:c r="H502" t="str">
        <x:v>Client 38</x:v>
      </x:c>
      <x:c r="I502" s="16"/>
    </x:row>
    <x:row r="503">
      <x:c r="A503" t="str">
        <x:v>DV-2026-00502</x:v>
      </x:c>
      <x:c r="B503" s="16" t="n">
        <x:v>46268</x:v>
      </x:c>
      <x:c r="C503" t="str">
        <x:v>Client 35</x:v>
      </x:c>
      <x:c r="D503" t="str">
        <x:v>Douane</x:v>
      </x:c>
      <x:c r="E503" t="str">
        <x:v>Pôle A</x:v>
      </x:c>
      <x:c r="F503" s="18" t="n">
        <x:v>9175.27</x:v>
      </x:c>
      <x:c r="G503" s="18" t="n">
        <x:v>9175.27</x:v>
      </x:c>
      <x:c r="H503" t="str">
        <x:v>Client 35</x:v>
      </x:c>
      <x:c r="I503" s="16" t="n">
        <x:v>46334</x:v>
      </x:c>
    </x:row>
    <x:row r="504">
      <x:c r="A504" t="str">
        <x:v>DV-2025-00503</x:v>
      </x:c>
      <x:c r="B504" s="16" t="n">
        <x:v>45677</x:v>
      </x:c>
      <x:c r="C504" t="str">
        <x:v>Client 03</x:v>
      </x:c>
      <x:c r="D504" t="str">
        <x:v>Fret aérien</x:v>
      </x:c>
      <x:c r="E504" t="str">
        <x:v>Pôle D</x:v>
      </x:c>
      <x:c r="F504" s="18" t="n">
        <x:v>6233.46</x:v>
      </x:c>
      <x:c r="G504" s="18" t="n">
        <x:v>6233.46</x:v>
      </x:c>
      <x:c r="H504" t="str">
        <x:v>Client 06</x:v>
      </x:c>
      <x:c r="I504" s="16" t="n">
        <x:v>45693</x:v>
      </x:c>
    </x:row>
    <x:row r="505">
      <x:c r="A505" t="str">
        <x:v>DV-2025-00504</x:v>
      </x:c>
      <x:c r="B505" s="16" t="n">
        <x:v>45911</x:v>
      </x:c>
      <x:c r="C505" t="str">
        <x:v>Client 41</x:v>
      </x:c>
      <x:c r="D505" t="str">
        <x:v>Logistique</x:v>
      </x:c>
      <x:c r="E505" t="str">
        <x:v>Pôle E</x:v>
      </x:c>
      <x:c r="F505" s="18" t="n">
        <x:v>11707.33</x:v>
      </x:c>
      <x:c r="G505" s="18" t="n">
        <x:v>11707.33</x:v>
      </x:c>
      <x:c r="H505" t="str">
        <x:v>Client 50</x:v>
      </x:c>
      <x:c r="I505" s="16" t="n">
        <x:v>45971</x:v>
      </x:c>
    </x:row>
    <x:row r="506">
      <x:c r="A506" t="str">
        <x:v>DV-2025-00505</x:v>
      </x:c>
      <x:c r="B506" s="16" t="n">
        <x:v>45970</x:v>
      </x:c>
      <x:c r="C506" t="str">
        <x:v>Client 43</x:v>
      </x:c>
      <x:c r="D506" t="str">
        <x:v>Fret maritime</x:v>
      </x:c>
      <x:c r="E506" t="str">
        <x:v>Pôle E</x:v>
      </x:c>
      <x:c r="F506" s="18" t="n">
        <x:v>10746.21</x:v>
      </x:c>
      <x:c r="G506" s="18" t="n">
        <x:v>10746.21</x:v>
      </x:c>
      <x:c r="H506" t="str">
        <x:v>Client 43</x:v>
      </x:c>
      <x:c r="I506" s="16" t="n">
        <x:v>45987</x:v>
      </x:c>
    </x:row>
    <x:row r="507">
      <x:c r="A507" t="str">
        <x:v>DV-2024-00506</x:v>
      </x:c>
      <x:c r="B507" s="16" t="n">
        <x:v>45397</x:v>
      </x:c>
      <x:c r="C507" t="str">
        <x:v>Client 14</x:v>
      </x:c>
      <x:c r="D507" t="str">
        <x:v>Fret maritime</x:v>
      </x:c>
      <x:c r="E507" t="str">
        <x:v>Pôle E</x:v>
      </x:c>
      <x:c r="F507" s="18" t="n">
        <x:v>19437.29</x:v>
      </x:c>
      <x:c r="G507" s="18" t="n">
        <x:v>19437.29</x:v>
      </x:c>
      <x:c r="H507" t="str">
        <x:v>Client 14</x:v>
      </x:c>
      <x:c r="I507" s="16" t="n">
        <x:v>45451</x:v>
      </x:c>
    </x:row>
    <x:row r="508">
      <x:c r="A508" t="str">
        <x:v>DV-2026-00507</x:v>
      </x:c>
      <x:c r="B508" s="16" t="n">
        <x:v>46242</x:v>
      </x:c>
      <x:c r="C508" t="str">
        <x:v>Client 26</x:v>
      </x:c>
      <x:c r="D508" t="str">
        <x:v>Fret aérien</x:v>
      </x:c>
      <x:c r="E508" t="str">
        <x:v>Pôle C</x:v>
      </x:c>
      <x:c r="F508" s="18" t="n">
        <x:v>413.2</x:v>
      </x:c>
      <x:c r="G508" s="18" t="n">
        <x:v>413.2</x:v>
      </x:c>
      <x:c r="H508" t="str">
        <x:v>Client 02</x:v>
      </x:c>
      <x:c r="I508" s="16" t="n">
        <x:v>46304</x:v>
      </x:c>
    </x:row>
    <x:row r="509">
      <x:c r="A509" t="str">
        <x:v>DV-2025-00508</x:v>
      </x:c>
      <x:c r="B509" s="16" t="n">
        <x:v>45851</x:v>
      </x:c>
      <x:c r="C509" t="str">
        <x:v>Client 26</x:v>
      </x:c>
      <x:c r="D509" t="str">
        <x:v>Fret aérien</x:v>
      </x:c>
      <x:c r="E509" t="str">
        <x:v>Pôle A</x:v>
      </x:c>
      <x:c r="F509" s="18" t="n">
        <x:v>5228.39</x:v>
      </x:c>
      <x:c r="G509" s="18" t="n">
        <x:v>5228.39</x:v>
      </x:c>
      <x:c r="H509" t="str">
        <x:v>Client 26</x:v>
      </x:c>
      <x:c r="I509" s="16" t="n">
        <x:v>45913</x:v>
      </x:c>
    </x:row>
    <x:row r="510">
      <x:c r="A510" t="str">
        <x:v>DV-2024-00509</x:v>
      </x:c>
      <x:c r="B510" s="16" t="n">
        <x:v>45595</x:v>
      </x:c>
      <x:c r="C510" t="str">
        <x:v>Client 48</x:v>
      </x:c>
      <x:c r="D510" t="str">
        <x:v>Express</x:v>
      </x:c>
      <x:c r="E510" t="str">
        <x:v>Pôle C</x:v>
      </x:c>
      <x:c r="F510" s="18" t="n">
        <x:v>3648.72</x:v>
      </x:c>
      <x:c r="G510" s="18" t="n">
        <x:v>3648.72</x:v>
      </x:c>
      <x:c r="H510" t="str">
        <x:v>Client 48</x:v>
      </x:c>
      <x:c r="I510" s="16" t="n">
        <x:v>45677</x:v>
      </x:c>
    </x:row>
    <x:row r="511">
      <x:c r="A511" t="str">
        <x:v>DV-2025-00510</x:v>
      </x:c>
      <x:c r="B511" s="16" t="n">
        <x:v>45704</x:v>
      </x:c>
      <x:c r="C511" t="str">
        <x:v>Client 33</x:v>
      </x:c>
      <x:c r="D511" t="str">
        <x:v>Douane</x:v>
      </x:c>
      <x:c r="E511" t="str">
        <x:v>Pôle A</x:v>
      </x:c>
      <x:c r="F511" s="18" t="n">
        <x:v>17022.79</x:v>
      </x:c>
      <x:c r="G511" s="18" t="n">
        <x:v>0</x:v>
      </x:c>
      <x:c r="H511" t="str">
        <x:v>Client 33</x:v>
      </x:c>
      <x:c r="I511" s="16"/>
    </x:row>
    <x:row r="512">
      <x:c r="A512" t="str">
        <x:v>DV-2025-00511</x:v>
      </x:c>
      <x:c r="B512" s="16" t="n">
        <x:v>45904</x:v>
      </x:c>
      <x:c r="C512" t="str">
        <x:v>Client 08</x:v>
      </x:c>
      <x:c r="D512" t="str">
        <x:v>Douane</x:v>
      </x:c>
      <x:c r="E512" t="str">
        <x:v>Pôle B</x:v>
      </x:c>
      <x:c r="F512" s="18" t="n">
        <x:v>3277</x:v>
      </x:c>
      <x:c r="G512" s="18" t="n">
        <x:v>0</x:v>
      </x:c>
      <x:c r="H512" t="str">
        <x:v>Client 08</x:v>
      </x:c>
      <x:c r="I512" s="16"/>
    </x:row>
    <x:row r="513">
      <x:c r="A513" t="str">
        <x:v>DV-2025-00512</x:v>
      </x:c>
      <x:c r="B513" s="16" t="n">
        <x:v>45729</x:v>
      </x:c>
      <x:c r="C513" t="str">
        <x:v>Client 21</x:v>
      </x:c>
      <x:c r="D513" t="str">
        <x:v>Fret aérien</x:v>
      </x:c>
      <x:c r="E513" t="str">
        <x:v>Pôle E</x:v>
      </x:c>
      <x:c r="F513" s="18" t="n">
        <x:v>8724.92</x:v>
      </x:c>
      <x:c r="G513" s="18" t="n">
        <x:v>8724.92</x:v>
      </x:c>
      <x:c r="H513" t="str">
        <x:v>Client 21</x:v>
      </x:c>
      <x:c r="I513" s="16" t="n">
        <x:v>45820</x:v>
      </x:c>
    </x:row>
    <x:row r="514">
      <x:c r="A514" t="str">
        <x:v>DV-2025-00513</x:v>
      </x:c>
      <x:c r="B514" s="16" t="n">
        <x:v>45683</x:v>
      </x:c>
      <x:c r="C514" t="str">
        <x:v>Client 42</x:v>
      </x:c>
      <x:c r="D514" t="str">
        <x:v>Douane</x:v>
      </x:c>
      <x:c r="E514" t="str">
        <x:v>Pôle E</x:v>
      </x:c>
      <x:c r="F514" s="18" t="n">
        <x:v>18654.22</x:v>
      </x:c>
      <x:c r="G514" s="18" t="n">
        <x:v>18654.22</x:v>
      </x:c>
      <x:c r="H514" t="str">
        <x:v>Client 42</x:v>
      </x:c>
      <x:c r="I514" s="16" t="n">
        <x:v>45685</x:v>
      </x:c>
    </x:row>
    <x:row r="515">
      <x:c r="A515" t="str">
        <x:v>DV-2026-00514</x:v>
      </x:c>
      <x:c r="B515" s="16" t="n">
        <x:v>46047</x:v>
      </x:c>
      <x:c r="C515" t="str">
        <x:v>Client 33</x:v>
      </x:c>
      <x:c r="D515" t="str">
        <x:v>Logistique</x:v>
      </x:c>
      <x:c r="E515" t="str">
        <x:v>Pôle E</x:v>
      </x:c>
      <x:c r="F515" s="18" t="n">
        <x:v>11542.26</x:v>
      </x:c>
      <x:c r="G515" s="18" t="n">
        <x:v>11542.26</x:v>
      </x:c>
      <x:c r="H515" t="str">
        <x:v>Client 33</x:v>
      </x:c>
      <x:c r="I515" s="16" t="n">
        <x:v>46113</x:v>
      </x:c>
    </x:row>
    <x:row r="516">
      <x:c r="A516" t="str">
        <x:v>DV-2024-00515</x:v>
      </x:c>
      <x:c r="B516" s="16" t="n">
        <x:v>45351</x:v>
      </x:c>
      <x:c r="C516" t="str">
        <x:v>Client 28</x:v>
      </x:c>
      <x:c r="D516" t="str">
        <x:v>Fret aérien</x:v>
      </x:c>
      <x:c r="E516" t="str">
        <x:v>Pôle B</x:v>
      </x:c>
      <x:c r="F516" s="18" t="n">
        <x:v>20175.42</x:v>
      </x:c>
      <x:c r="G516" s="18" t="n">
        <x:v>20175.42</x:v>
      </x:c>
      <x:c r="H516" t="str">
        <x:v>Client 28</x:v>
      </x:c>
      <x:c r="I516" s="16" t="n">
        <x:v>45366</x:v>
      </x:c>
    </x:row>
    <x:row r="517">
      <x:c r="A517" t="str">
        <x:v>DV-2026-00516</x:v>
      </x:c>
      <x:c r="B517" s="16" t="n">
        <x:v>46191</x:v>
      </x:c>
      <x:c r="C517" t="str">
        <x:v>Client 02</x:v>
      </x:c>
      <x:c r="D517" t="str">
        <x:v>Douane</x:v>
      </x:c>
      <x:c r="E517" t="str">
        <x:v>Pôle B</x:v>
      </x:c>
      <x:c r="F517" s="18" t="n">
        <x:v>21953.86</x:v>
      </x:c>
      <x:c r="G517" s="18" t="n">
        <x:v>21953.86</x:v>
      </x:c>
      <x:c r="H517" t="str">
        <x:v>Client 02</x:v>
      </x:c>
      <x:c r="I517" s="16" t="n">
        <x:v>46254</x:v>
      </x:c>
    </x:row>
    <x:row r="518">
      <x:c r="A518" t="str">
        <x:v>DV-2025-00517</x:v>
      </x:c>
      <x:c r="B518" s="16" t="n">
        <x:v>45687</x:v>
      </x:c>
      <x:c r="C518" t="str">
        <x:v>Client 27</x:v>
      </x:c>
      <x:c r="D518" t="str">
        <x:v>Douane</x:v>
      </x:c>
      <x:c r="E518" t="str">
        <x:v>Pôle C</x:v>
      </x:c>
      <x:c r="F518" s="18" t="n">
        <x:v>16972.81</x:v>
      </x:c>
      <x:c r="G518" s="18" t="n">
        <x:v>16972.81</x:v>
      </x:c>
      <x:c r="H518" t="str">
        <x:v>Client 27</x:v>
      </x:c>
      <x:c r="I518" s="16" t="n">
        <x:v>45774</x:v>
      </x:c>
    </x:row>
    <x:row r="519">
      <x:c r="A519" t="str">
        <x:v>DV-2024-00518</x:v>
      </x:c>
      <x:c r="B519" s="16" t="n">
        <x:v>45572</x:v>
      </x:c>
      <x:c r="C519" t="str">
        <x:v>Client 35</x:v>
      </x:c>
      <x:c r="D519" t="str">
        <x:v>Express</x:v>
      </x:c>
      <x:c r="E519" t="str">
        <x:v>Pôle E</x:v>
      </x:c>
      <x:c r="F519" s="18" t="n">
        <x:v>3548.64</x:v>
      </x:c>
      <x:c r="G519" s="18" t="n">
        <x:v>0</x:v>
      </x:c>
      <x:c r="H519" t="str">
        <x:v>Client 35</x:v>
      </x:c>
      <x:c r="I519" s="16"/>
    </x:row>
    <x:row r="520">
      <x:c r="A520" t="str">
        <x:v>DV-2026-00519</x:v>
      </x:c>
      <x:c r="B520" s="16" t="n">
        <x:v>46068</x:v>
      </x:c>
      <x:c r="C520" t="str">
        <x:v>Client 45</x:v>
      </x:c>
      <x:c r="D520" t="str">
        <x:v>Fret aérien</x:v>
      </x:c>
      <x:c r="E520" t="str">
        <x:v>Pôle A</x:v>
      </x:c>
      <x:c r="F520" s="18" t="n">
        <x:v>23411.7</x:v>
      </x:c>
      <x:c r="G520" s="18" t="n">
        <x:v>23411.7</x:v>
      </x:c>
      <x:c r="H520" t="str">
        <x:v>Client 45</x:v>
      </x:c>
      <x:c r="I520" s="16" t="n">
        <x:v>46098</x:v>
      </x:c>
    </x:row>
    <x:row r="521">
      <x:c r="A521" t="str">
        <x:v>DV-2025-00520</x:v>
      </x:c>
      <x:c r="B521" s="16" t="n">
        <x:v>46021</x:v>
      </x:c>
      <x:c r="C521" t="str">
        <x:v>Client 02</x:v>
      </x:c>
      <x:c r="D521" t="str">
        <x:v>Express</x:v>
      </x:c>
      <x:c r="E521" t="str">
        <x:v>Pôle C</x:v>
      </x:c>
      <x:c r="F521" s="18" t="n">
        <x:v>16048.64</x:v>
      </x:c>
      <x:c r="G521" s="18" t="n">
        <x:v>16048.64</x:v>
      </x:c>
      <x:c r="H521" t="str">
        <x:v>Client 02</x:v>
      </x:c>
      <x:c r="I521" s="16" t="n">
        <x:v>46097</x:v>
      </x:c>
    </x:row>
    <x:row r="522">
      <x:c r="A522" t="str">
        <x:v>DV-2024-00521</x:v>
      </x:c>
      <x:c r="B522" s="16" t="n">
        <x:v>45482</x:v>
      </x:c>
      <x:c r="C522" t="str">
        <x:v>Client 41</x:v>
      </x:c>
      <x:c r="D522" t="str">
        <x:v>Douane</x:v>
      </x:c>
      <x:c r="E522" t="str">
        <x:v>Pôle A</x:v>
      </x:c>
      <x:c r="F522" s="18" t="n">
        <x:v>420.87</x:v>
      </x:c>
      <x:c r="G522" s="18" t="n">
        <x:v>420.87</x:v>
      </x:c>
      <x:c r="H522" t="str">
        <x:v>Client 41</x:v>
      </x:c>
      <x:c r="I522" s="16" t="n">
        <x:v>45498</x:v>
      </x:c>
    </x:row>
    <x:row r="523">
      <x:c r="A523" t="str">
        <x:v>DV-2024-00522</x:v>
      </x:c>
      <x:c r="B523" s="16" t="n">
        <x:v>45376</x:v>
      </x:c>
      <x:c r="C523" t="str">
        <x:v>Client 26</x:v>
      </x:c>
      <x:c r="D523" t="str">
        <x:v>Express</x:v>
      </x:c>
      <x:c r="E523" t="str">
        <x:v>Pôle B</x:v>
      </x:c>
      <x:c r="F523" s="18" t="n">
        <x:v>15431.6</x:v>
      </x:c>
      <x:c r="G523" s="18" t="n">
        <x:v>15431.6</x:v>
      </x:c>
      <x:c r="H523" t="str">
        <x:v>Client 26</x:v>
      </x:c>
      <x:c r="I523" s="16" t="n">
        <x:v>45446</x:v>
      </x:c>
    </x:row>
    <x:row r="524">
      <x:c r="A524" t="str">
        <x:v>DV-2025-00523</x:v>
      </x:c>
      <x:c r="B524" s="16" t="n">
        <x:v>45934</x:v>
      </x:c>
      <x:c r="C524" t="str">
        <x:v>Client 19</x:v>
      </x:c>
      <x:c r="D524" t="str">
        <x:v>Logistique</x:v>
      </x:c>
      <x:c r="E524" t="str">
        <x:v>Pôle E</x:v>
      </x:c>
      <x:c r="F524" s="18" t="n">
        <x:v>6629.56</x:v>
      </x:c>
      <x:c r="G524" s="18" t="n">
        <x:v>5729.07</x:v>
      </x:c>
      <x:c r="H524" t="str">
        <x:v>Client 19</x:v>
      </x:c>
      <x:c r="I524" s="16" t="n">
        <x:v>45974</x:v>
      </x:c>
    </x:row>
    <x:row r="525">
      <x:c r="A525" t="str">
        <x:v>DV-2025-00524</x:v>
      </x:c>
      <x:c r="B525" s="16" t="n">
        <x:v>45935</x:v>
      </x:c>
      <x:c r="C525" t="str">
        <x:v>Client 12</x:v>
      </x:c>
      <x:c r="D525" t="str">
        <x:v>Fret maritime</x:v>
      </x:c>
      <x:c r="E525" t="str">
        <x:v>Pôle D</x:v>
      </x:c>
      <x:c r="F525" s="18" t="n">
        <x:v>24439.24</x:v>
      </x:c>
      <x:c r="G525" s="18" t="n">
        <x:v>24439.24</x:v>
      </x:c>
      <x:c r="H525" t="str">
        <x:v>Client 12</x:v>
      </x:c>
      <x:c r="I525" s="16" t="n">
        <x:v>46014</x:v>
      </x:c>
    </x:row>
    <x:row r="526">
      <x:c r="A526" t="str">
        <x:v>DV-2025-00525</x:v>
      </x:c>
      <x:c r="B526" s="16" t="n">
        <x:v>45983</x:v>
      </x:c>
      <x:c r="C526" t="str">
        <x:v>Client 36</x:v>
      </x:c>
      <x:c r="D526" t="str">
        <x:v>Express</x:v>
      </x:c>
      <x:c r="E526" t="str">
        <x:v>Pôle C</x:v>
      </x:c>
      <x:c r="F526" s="18" t="n">
        <x:v>3228.72</x:v>
      </x:c>
      <x:c r="G526" s="18" t="n">
        <x:v>3228.72</x:v>
      </x:c>
      <x:c r="H526" t="str">
        <x:v>Client 39</x:v>
      </x:c>
      <x:c r="I526" s="16" t="n">
        <x:v>46045</x:v>
      </x:c>
    </x:row>
    <x:row r="527">
      <x:c r="A527" t="str">
        <x:v>DV-2026-00526</x:v>
      </x:c>
      <x:c r="B527" s="16" t="n">
        <x:v>46077</x:v>
      </x:c>
      <x:c r="C527" t="str">
        <x:v>Client 20</x:v>
      </x:c>
      <x:c r="D527" t="str">
        <x:v>Logistique</x:v>
      </x:c>
      <x:c r="E527" t="str">
        <x:v>Pôle C</x:v>
      </x:c>
      <x:c r="F527" s="18" t="n">
        <x:v>8241.1</x:v>
      </x:c>
      <x:c r="G527" s="18" t="n">
        <x:v>8241.1</x:v>
      </x:c>
      <x:c r="H527" t="str">
        <x:v>Client 40</x:v>
      </x:c>
      <x:c r="I527" s="16" t="n">
        <x:v>46166</x:v>
      </x:c>
    </x:row>
    <x:row r="528">
      <x:c r="A528" t="str">
        <x:v>DV-2024-00527</x:v>
      </x:c>
      <x:c r="B528" s="16" t="n">
        <x:v>45359</x:v>
      </x:c>
      <x:c r="C528" t="str">
        <x:v>Client 29</x:v>
      </x:c>
      <x:c r="D528" t="str">
        <x:v>Fret maritime</x:v>
      </x:c>
      <x:c r="E528" t="str">
        <x:v>Pôle D</x:v>
      </x:c>
      <x:c r="F528" s="18" t="n">
        <x:v>21900.51</x:v>
      </x:c>
      <x:c r="G528" s="18" t="n">
        <x:v>0</x:v>
      </x:c>
      <x:c r="H528" t="str">
        <x:v>Client 29</x:v>
      </x:c>
      <x:c r="I528" s="16"/>
    </x:row>
    <x:row r="529">
      <x:c r="A529" t="str">
        <x:v>DV-2025-00528</x:v>
      </x:c>
      <x:c r="B529" s="16" t="n">
        <x:v>45948</x:v>
      </x:c>
      <x:c r="C529" t="str">
        <x:v>Client 45</x:v>
      </x:c>
      <x:c r="D529" t="str">
        <x:v>Express</x:v>
      </x:c>
      <x:c r="E529" t="str">
        <x:v>Pôle D</x:v>
      </x:c>
      <x:c r="F529" s="18" t="n">
        <x:v>18373.74</x:v>
      </x:c>
      <x:c r="G529" s="18" t="n">
        <x:v>4507.43</x:v>
      </x:c>
      <x:c r="H529" t="str">
        <x:v>Client 45</x:v>
      </x:c>
      <x:c r="I529" s="16" t="n">
        <x:v>45995</x:v>
      </x:c>
    </x:row>
    <x:row r="530">
      <x:c r="A530" t="str">
        <x:v>DV-2026-00529</x:v>
      </x:c>
      <x:c r="B530" s="16" t="n">
        <x:v>46240</x:v>
      </x:c>
      <x:c r="C530" t="str">
        <x:v>Client 31</x:v>
      </x:c>
      <x:c r="D530" t="str">
        <x:v>Logistique</x:v>
      </x:c>
      <x:c r="E530" t="str">
        <x:v>Pôle E</x:v>
      </x:c>
      <x:c r="F530" s="18" t="n">
        <x:v>2586.17</x:v>
      </x:c>
      <x:c r="G530" s="18" t="n">
        <x:v>1368.44</x:v>
      </x:c>
      <x:c r="H530" t="str">
        <x:v>Client 31</x:v>
      </x:c>
      <x:c r="I530" s="16" t="n">
        <x:v>46324</x:v>
      </x:c>
    </x:row>
    <x:row r="531">
      <x:c r="A531" t="str">
        <x:v>DV-2025-00530</x:v>
      </x:c>
      <x:c r="B531" s="16" t="n">
        <x:v>45676</x:v>
      </x:c>
      <x:c r="C531" t="str">
        <x:v>Client 32</x:v>
      </x:c>
      <x:c r="D531" t="str">
        <x:v>Logistique</x:v>
      </x:c>
      <x:c r="E531" t="str">
        <x:v>Pôle E</x:v>
      </x:c>
      <x:c r="F531" s="18" t="n">
        <x:v>6297.51</x:v>
      </x:c>
      <x:c r="G531" s="18" t="n">
        <x:v>6297.51</x:v>
      </x:c>
      <x:c r="H531" t="str">
        <x:v>Client 32</x:v>
      </x:c>
      <x:c r="I531" s="16" t="n">
        <x:v>45721</x:v>
      </x:c>
    </x:row>
    <x:row r="532">
      <x:c r="A532" t="str">
        <x:v>DV-2025-00531</x:v>
      </x:c>
      <x:c r="B532" s="16" t="n">
        <x:v>45948</x:v>
      </x:c>
      <x:c r="C532" t="str">
        <x:v>Client 50</x:v>
      </x:c>
      <x:c r="D532" t="str">
        <x:v>Logistique</x:v>
      </x:c>
      <x:c r="E532" t="str">
        <x:v>Pôle D</x:v>
      </x:c>
      <x:c r="F532" s="18" t="n">
        <x:v>12984.8</x:v>
      </x:c>
      <x:c r="G532" s="18" t="n">
        <x:v>12984.8</x:v>
      </x:c>
      <x:c r="H532" t="str">
        <x:v>Client 12</x:v>
      </x:c>
      <x:c r="I532" s="16" t="n">
        <x:v>45979</x:v>
      </x:c>
    </x:row>
    <x:row r="533">
      <x:c r="A533" t="str">
        <x:v>DV-2026-00532</x:v>
      </x:c>
      <x:c r="B533" s="16" t="n">
        <x:v>46174</x:v>
      </x:c>
      <x:c r="C533" t="str">
        <x:v>Client 43</x:v>
      </x:c>
      <x:c r="D533" t="str">
        <x:v>Express</x:v>
      </x:c>
      <x:c r="E533" t="str">
        <x:v>Pôle A</x:v>
      </x:c>
      <x:c r="F533" s="18" t="n">
        <x:v>11822.73</x:v>
      </x:c>
      <x:c r="G533" s="18" t="n">
        <x:v>4946.55</x:v>
      </x:c>
      <x:c r="H533" t="str">
        <x:v>Client 43</x:v>
      </x:c>
      <x:c r="I533" s="16" t="n">
        <x:v>46227</x:v>
      </x:c>
    </x:row>
    <x:row r="534">
      <x:c r="A534" t="str">
        <x:v>DV-2024-00533</x:v>
      </x:c>
      <x:c r="B534" s="16" t="n">
        <x:v>45498</x:v>
      </x:c>
      <x:c r="C534" t="str">
        <x:v>Client 18</x:v>
      </x:c>
      <x:c r="D534" t="str">
        <x:v>Douane</x:v>
      </x:c>
      <x:c r="E534" t="str">
        <x:v>Pôle B</x:v>
      </x:c>
      <x:c r="F534" s="18" t="n">
        <x:v>3946.47</x:v>
      </x:c>
      <x:c r="G534" s="18" t="n">
        <x:v>3946.47</x:v>
      </x:c>
      <x:c r="H534" t="str">
        <x:v>Client 18</x:v>
      </x:c>
      <x:c r="I534" s="16" t="n">
        <x:v>45527</x:v>
      </x:c>
    </x:row>
    <x:row r="535">
      <x:c r="A535" t="str">
        <x:v>DV-2024-00534</x:v>
      </x:c>
      <x:c r="B535" s="16" t="n">
        <x:v>45294</x:v>
      </x:c>
      <x:c r="C535" t="str">
        <x:v>Client 43</x:v>
      </x:c>
      <x:c r="D535" t="str">
        <x:v>Logistique</x:v>
      </x:c>
      <x:c r="E535" t="str">
        <x:v>Pôle C</x:v>
      </x:c>
      <x:c r="F535" s="18" t="n">
        <x:v>8807.36</x:v>
      </x:c>
      <x:c r="G535" s="18" t="n">
        <x:v>8807.36</x:v>
      </x:c>
      <x:c r="H535" t="str">
        <x:v>Client 40</x:v>
      </x:c>
      <x:c r="I535" s="16" t="n">
        <x:v>45309</x:v>
      </x:c>
    </x:row>
    <x:row r="536">
      <x:c r="A536" t="str">
        <x:v>DV-2025-00535</x:v>
      </x:c>
      <x:c r="B536" s="16" t="n">
        <x:v>45830</x:v>
      </x:c>
      <x:c r="C536" t="str">
        <x:v>Client 09</x:v>
      </x:c>
      <x:c r="D536" t="str">
        <x:v>Fret maritime</x:v>
      </x:c>
      <x:c r="E536" t="str">
        <x:v>Pôle E</x:v>
      </x:c>
      <x:c r="F536" s="18" t="n">
        <x:v>11000.05</x:v>
      </x:c>
      <x:c r="G536" s="18" t="n">
        <x:v>9311.26</x:v>
      </x:c>
      <x:c r="H536" t="str">
        <x:v>Client 09</x:v>
      </x:c>
      <x:c r="I536" s="16" t="n">
        <x:v>45922</x:v>
      </x:c>
    </x:row>
    <x:row r="537">
      <x:c r="A537" t="str">
        <x:v>DV-2024-00536</x:v>
      </x:c>
      <x:c r="B537" s="16" t="n">
        <x:v>45399</x:v>
      </x:c>
      <x:c r="C537" t="str">
        <x:v>Client 04</x:v>
      </x:c>
      <x:c r="D537" t="str">
        <x:v>Douane</x:v>
      </x:c>
      <x:c r="E537" t="str">
        <x:v>Pôle A</x:v>
      </x:c>
      <x:c r="F537" s="18" t="n">
        <x:v>11413.41</x:v>
      </x:c>
      <x:c r="G537" s="18" t="n">
        <x:v>11413.41</x:v>
      </x:c>
      <x:c r="H537" t="str">
        <x:v>Client 04</x:v>
      </x:c>
      <x:c r="I537" s="16" t="n">
        <x:v>45421</x:v>
      </x:c>
    </x:row>
    <x:row r="538">
      <x:c r="A538" t="str">
        <x:v>DV-2024-00537</x:v>
      </x:c>
      <x:c r="B538" s="16" t="n">
        <x:v>45509</x:v>
      </x:c>
      <x:c r="C538" t="str">
        <x:v>Client 37</x:v>
      </x:c>
      <x:c r="D538" t="str">
        <x:v>Douane</x:v>
      </x:c>
      <x:c r="E538" t="str">
        <x:v>Pôle A</x:v>
      </x:c>
      <x:c r="F538" s="18" t="n">
        <x:v>19173.61</x:v>
      </x:c>
      <x:c r="G538" s="18" t="n">
        <x:v>19173.61</x:v>
      </x:c>
      <x:c r="H538" t="str">
        <x:v>Client 47</x:v>
      </x:c>
      <x:c r="I538" s="16" t="n">
        <x:v>45542</x:v>
      </x:c>
    </x:row>
    <x:row r="539">
      <x:c r="A539" t="str">
        <x:v>DV-2025-00538</x:v>
      </x:c>
      <x:c r="B539" s="16" t="n">
        <x:v>45801</x:v>
      </x:c>
      <x:c r="C539" t="str">
        <x:v>Client 40</x:v>
      </x:c>
      <x:c r="D539" t="str">
        <x:v>Fret aérien</x:v>
      </x:c>
      <x:c r="E539" t="str">
        <x:v>Pôle D</x:v>
      </x:c>
      <x:c r="F539" s="18" t="n">
        <x:v>15338.84</x:v>
      </x:c>
      <x:c r="G539" s="18" t="n">
        <x:v>15338.84</x:v>
      </x:c>
      <x:c r="H539" t="str">
        <x:v>Client 40</x:v>
      </x:c>
      <x:c r="I539" s="16" t="n">
        <x:v>45868</x:v>
      </x:c>
    </x:row>
    <x:row r="540">
      <x:c r="A540" t="str">
        <x:v>DV-2025-00539</x:v>
      </x:c>
      <x:c r="B540" s="16" t="n">
        <x:v>45900</x:v>
      </x:c>
      <x:c r="C540" t="str">
        <x:v>Client 37</x:v>
      </x:c>
      <x:c r="D540" t="str">
        <x:v>Douane</x:v>
      </x:c>
      <x:c r="E540" t="str">
        <x:v>Pôle C</x:v>
      </x:c>
      <x:c r="F540" s="18" t="n">
        <x:v>22410.47</x:v>
      </x:c>
      <x:c r="G540" s="18" t="n">
        <x:v>22410.47</x:v>
      </x:c>
      <x:c r="H540" t="str">
        <x:v>Client 37</x:v>
      </x:c>
      <x:c r="I540" s="16" t="n">
        <x:v>45909</x:v>
      </x:c>
    </x:row>
    <x:row r="541">
      <x:c r="A541" t="str">
        <x:v>DV-2024-00540</x:v>
      </x:c>
      <x:c r="B541" s="16" t="n">
        <x:v>45445</x:v>
      </x:c>
      <x:c r="C541" t="str">
        <x:v>Client 35</x:v>
      </x:c>
      <x:c r="D541" t="str">
        <x:v>Douane</x:v>
      </x:c>
      <x:c r="E541" t="str">
        <x:v>Pôle D</x:v>
      </x:c>
      <x:c r="F541" s="18" t="n">
        <x:v>13023.43</x:v>
      </x:c>
      <x:c r="G541" s="18" t="n">
        <x:v>0</x:v>
      </x:c>
      <x:c r="H541" t="str">
        <x:v>Client 02</x:v>
      </x:c>
      <x:c r="I541" s="16"/>
    </x:row>
    <x:row r="542">
      <x:c r="A542" t="str">
        <x:v>DV-2024-00541</x:v>
      </x:c>
      <x:c r="B542" s="16" t="n">
        <x:v>45474</x:v>
      </x:c>
      <x:c r="C542" t="str">
        <x:v>Client 16</x:v>
      </x:c>
      <x:c r="D542" t="str">
        <x:v>Fret maritime</x:v>
      </x:c>
      <x:c r="E542" t="str">
        <x:v>Pôle B</x:v>
      </x:c>
      <x:c r="F542" s="18" t="n">
        <x:v>23092.31</x:v>
      </x:c>
      <x:c r="G542" s="18" t="n">
        <x:v>11013.52</x:v>
      </x:c>
      <x:c r="H542" t="str">
        <x:v>Client 42</x:v>
      </x:c>
      <x:c r="I542" s="16" t="n">
        <x:v>45565</x:v>
      </x:c>
    </x:row>
    <x:row r="543">
      <x:c r="A543" t="str">
        <x:v>DV-2026-00542</x:v>
      </x:c>
      <x:c r="B543" s="16" t="n">
        <x:v>46201</x:v>
      </x:c>
      <x:c r="C543" t="str">
        <x:v>Client 45</x:v>
      </x:c>
      <x:c r="D543" t="str">
        <x:v>Fret maritime</x:v>
      </x:c>
      <x:c r="E543" t="str">
        <x:v>Pôle B</x:v>
      </x:c>
      <x:c r="F543" s="18" t="n">
        <x:v>9758.88</x:v>
      </x:c>
      <x:c r="G543" s="18" t="n">
        <x:v>9758.88</x:v>
      </x:c>
      <x:c r="H543" t="str">
        <x:v>Client 45</x:v>
      </x:c>
      <x:c r="I543" s="16" t="n">
        <x:v>46262</x:v>
      </x:c>
    </x:row>
    <x:row r="544">
      <x:c r="A544" t="str">
        <x:v>DV-2026-00543</x:v>
      </x:c>
      <x:c r="B544" s="16" t="n">
        <x:v>46087</x:v>
      </x:c>
      <x:c r="C544" t="str">
        <x:v>Client 26</x:v>
      </x:c>
      <x:c r="D544" t="str">
        <x:v>Fret maritime</x:v>
      </x:c>
      <x:c r="E544" t="str">
        <x:v>Pôle C</x:v>
      </x:c>
      <x:c r="F544" s="18" t="n">
        <x:v>5156.58</x:v>
      </x:c>
      <x:c r="G544" s="18" t="n">
        <x:v>5156.58</x:v>
      </x:c>
      <x:c r="H544" t="str">
        <x:v>Client 26</x:v>
      </x:c>
      <x:c r="I544" s="16" t="n">
        <x:v>46143</x:v>
      </x:c>
    </x:row>
    <x:row r="545">
      <x:c r="A545" t="str">
        <x:v>DV-2024-00544</x:v>
      </x:c>
      <x:c r="B545" s="16" t="n">
        <x:v>45654</x:v>
      </x:c>
      <x:c r="C545" t="str">
        <x:v>Client 40</x:v>
      </x:c>
      <x:c r="D545" t="str">
        <x:v>Logistique</x:v>
      </x:c>
      <x:c r="E545" t="str">
        <x:v>Pôle A</x:v>
      </x:c>
      <x:c r="F545" s="18" t="n">
        <x:v>12914.71</x:v>
      </x:c>
      <x:c r="G545" s="18" t="n">
        <x:v>12914.71</x:v>
      </x:c>
      <x:c r="H545" t="str">
        <x:v>Client 40</x:v>
      </x:c>
      <x:c r="I545" s="16" t="n">
        <x:v>45656</x:v>
      </x:c>
    </x:row>
    <x:row r="546">
      <x:c r="A546" t="str">
        <x:v>DV-2025-00545</x:v>
      </x:c>
      <x:c r="B546" s="16" t="n">
        <x:v>45869</x:v>
      </x:c>
      <x:c r="C546" t="str">
        <x:v>Client 35</x:v>
      </x:c>
      <x:c r="D546" t="str">
        <x:v>Fret maritime</x:v>
      </x:c>
      <x:c r="E546" t="str">
        <x:v>Pôle E</x:v>
      </x:c>
      <x:c r="F546" s="18" t="n">
        <x:v>8009.11</x:v>
      </x:c>
      <x:c r="G546" s="18" t="n">
        <x:v>0</x:v>
      </x:c>
      <x:c r="H546" t="str">
        <x:v>Client 35</x:v>
      </x:c>
      <x:c r="I546" s="16"/>
    </x:row>
    <x:row r="547">
      <x:c r="A547" t="str">
        <x:v>DV-2025-00546</x:v>
      </x:c>
      <x:c r="B547" s="16" t="n">
        <x:v>45764</x:v>
      </x:c>
      <x:c r="C547" t="str">
        <x:v>Client 32</x:v>
      </x:c>
      <x:c r="D547" t="str">
        <x:v>Fret aérien</x:v>
      </x:c>
      <x:c r="E547" t="str">
        <x:v>Pôle E</x:v>
      </x:c>
      <x:c r="F547" s="18" t="n">
        <x:v>5395.7</x:v>
      </x:c>
      <x:c r="G547" s="18" t="n">
        <x:v>0</x:v>
      </x:c>
      <x:c r="H547" t="str">
        <x:v>Client 35</x:v>
      </x:c>
      <x:c r="I547" s="16"/>
    </x:row>
    <x:row r="548">
      <x:c r="A548" t="str">
        <x:v>DV-2026-00547</x:v>
      </x:c>
      <x:c r="B548" s="16" t="n">
        <x:v>46127</x:v>
      </x:c>
      <x:c r="C548" t="str">
        <x:v>Client 10</x:v>
      </x:c>
      <x:c r="D548" t="str">
        <x:v>Express</x:v>
      </x:c>
      <x:c r="E548" t="str">
        <x:v>Pôle B</x:v>
      </x:c>
      <x:c r="F548" s="18" t="n">
        <x:v>21851.33</x:v>
      </x:c>
      <x:c r="G548" s="18" t="n">
        <x:v>9201.77</x:v>
      </x:c>
      <x:c r="H548" t="str">
        <x:v>Client 10</x:v>
      </x:c>
      <x:c r="I548" s="16" t="n">
        <x:v>46202</x:v>
      </x:c>
    </x:row>
    <x:row r="549">
      <x:c r="A549" t="str">
        <x:v>DV-2025-00548</x:v>
      </x:c>
      <x:c r="B549" s="16" t="n">
        <x:v>45802</x:v>
      </x:c>
      <x:c r="C549" t="str">
        <x:v>Client 07</x:v>
      </x:c>
      <x:c r="D549" t="str">
        <x:v>Express</x:v>
      </x:c>
      <x:c r="E549" t="str">
        <x:v>Pôle E</x:v>
      </x:c>
      <x:c r="F549" s="18" t="n">
        <x:v>18378.62</x:v>
      </x:c>
      <x:c r="G549" s="18" t="n">
        <x:v>18378.62</x:v>
      </x:c>
      <x:c r="H549" t="str">
        <x:v>Client 49</x:v>
      </x:c>
      <x:c r="I549" s="16" t="n">
        <x:v>45825</x:v>
      </x:c>
    </x:row>
    <x:row r="550">
      <x:c r="A550" t="str">
        <x:v>DV-2026-00549</x:v>
      </x:c>
      <x:c r="B550" s="16" t="n">
        <x:v>46039</x:v>
      </x:c>
      <x:c r="C550" t="str">
        <x:v>Client 12 </x:v>
      </x:c>
      <x:c r="D550" t="str">
        <x:v>Logistique</x:v>
      </x:c>
      <x:c r="E550" t="str">
        <x:v>Pôle D</x:v>
      </x:c>
      <x:c r="F550" s="18" t="n">
        <x:v>20423.34</x:v>
      </x:c>
      <x:c r="G550" s="18" t="n">
        <x:v>0</x:v>
      </x:c>
      <x:c r="H550" t="str">
        <x:v>Client 12</x:v>
      </x:c>
      <x:c r="I550" s="16"/>
    </x:row>
    <x:row r="551">
      <x:c r="A551" t="str">
        <x:v>DV-2025-00550</x:v>
      </x:c>
      <x:c r="B551" s="16" t="n">
        <x:v>45956</x:v>
      </x:c>
      <x:c r="C551" t="str">
        <x:v>Client 42</x:v>
      </x:c>
      <x:c r="D551" t="str">
        <x:v>Fret maritime</x:v>
      </x:c>
      <x:c r="E551" t="str">
        <x:v>Pôle D</x:v>
      </x:c>
      <x:c r="F551" s="18" t="n">
        <x:v>8765.25</x:v>
      </x:c>
      <x:c r="G551" s="18" t="n">
        <x:v>8765.25</x:v>
      </x:c>
      <x:c r="H551" t="str">
        <x:v>Client 42</x:v>
      </x:c>
      <x:c r="I551" s="16" t="n">
        <x:v>46016</x:v>
      </x:c>
    </x:row>
    <x:row r="552">
      <x:c r="A552" t="str">
        <x:v>DV-2026-00551</x:v>
      </x:c>
      <x:c r="B552" s="16" t="n">
        <x:v>46244</x:v>
      </x:c>
      <x:c r="C552" t="str">
        <x:v>Client 25</x:v>
      </x:c>
      <x:c r="D552" t="str">
        <x:v>Logistique</x:v>
      </x:c>
      <x:c r="E552" t="str">
        <x:v>Pôle A</x:v>
      </x:c>
      <x:c r="F552" s="18" t="n">
        <x:v>24227.33</x:v>
      </x:c>
      <x:c r="G552" s="18" t="n">
        <x:v>24227.33</x:v>
      </x:c>
      <x:c r="H552" t="str">
        <x:v>Client 25</x:v>
      </x:c>
      <x:c r="I552" s="16" t="n">
        <x:v>46291</x:v>
      </x:c>
    </x:row>
    <x:row r="553">
      <x:c r="A553" t="str">
        <x:v>DV-2026-00552</x:v>
      </x:c>
      <x:c r="B553" s="16" t="n">
        <x:v>46102</x:v>
      </x:c>
      <x:c r="C553" t="str">
        <x:v>Client 07</x:v>
      </x:c>
      <x:c r="D553" t="str">
        <x:v>Fret aérien</x:v>
      </x:c>
      <x:c r="E553" t="str">
        <x:v>Pôle D</x:v>
      </x:c>
      <x:c r="F553" s="18" t="n">
        <x:v>21375.93</x:v>
      </x:c>
      <x:c r="G553" s="18" t="n">
        <x:v>21375.93</x:v>
      </x:c>
      <x:c r="H553" t="str">
        <x:v>Client 07</x:v>
      </x:c>
      <x:c r="I553" s="16" t="n">
        <x:v>46136</x:v>
      </x:c>
    </x:row>
    <x:row r="554">
      <x:c r="A554" t="str">
        <x:v>DV-2024-00553</x:v>
      </x:c>
      <x:c r="B554" s="16" t="n">
        <x:v>45585</x:v>
      </x:c>
      <x:c r="C554" t="str">
        <x:v>Client 40</x:v>
      </x:c>
      <x:c r="D554" t="str">
        <x:v>Fret maritime</x:v>
      </x:c>
      <x:c r="E554" t="str">
        <x:v>Pôle D</x:v>
      </x:c>
      <x:c r="F554" s="18" t="n">
        <x:v>10268.78</x:v>
      </x:c>
      <x:c r="G554" s="18" t="n">
        <x:v>10268.78</x:v>
      </x:c>
      <x:c r="H554" t="str">
        <x:v>Client 40</x:v>
      </x:c>
      <x:c r="I554" s="16" t="n">
        <x:v>45651</x:v>
      </x:c>
    </x:row>
    <x:row r="555">
      <x:c r="A555" t="str">
        <x:v>DV-2025-00554</x:v>
      </x:c>
      <x:c r="B555" s="16" t="n">
        <x:v>45859</x:v>
      </x:c>
      <x:c r="C555" t="str">
        <x:v>Client 16</x:v>
      </x:c>
      <x:c r="D555" t="str">
        <x:v>Fret aérien</x:v>
      </x:c>
      <x:c r="E555" t="str">
        <x:v>Pôle E</x:v>
      </x:c>
      <x:c r="F555" s="18" t="n">
        <x:v>13205.52</x:v>
      </x:c>
      <x:c r="G555" s="18" t="n">
        <x:v>13205.52</x:v>
      </x:c>
      <x:c r="H555" t="str">
        <x:v>Client 04</x:v>
      </x:c>
      <x:c r="I555" s="16" t="n">
        <x:v>45864</x:v>
      </x:c>
    </x:row>
    <x:row r="556">
      <x:c r="A556" t="str">
        <x:v>DV-2024-00555</x:v>
      </x:c>
      <x:c r="B556" s="16" t="n">
        <x:v>45475</x:v>
      </x:c>
      <x:c r="C556" t="str">
        <x:v>Client 34</x:v>
      </x:c>
      <x:c r="D556" t="str">
        <x:v>Logistique</x:v>
      </x:c>
      <x:c r="E556" t="str">
        <x:v>Pôle A</x:v>
      </x:c>
      <x:c r="F556" s="18" t="n">
        <x:v>10502.18</x:v>
      </x:c>
      <x:c r="G556" s="18" t="n">
        <x:v>10502.18</x:v>
      </x:c>
      <x:c r="H556" t="str">
        <x:v>Client 34</x:v>
      </x:c>
      <x:c r="I556" s="16" t="n">
        <x:v>45489</x:v>
      </x:c>
    </x:row>
    <x:row r="557">
      <x:c r="A557" t="str">
        <x:v>DV-2026-00556</x:v>
      </x:c>
      <x:c r="B557" s="16" t="n">
        <x:v>46142</x:v>
      </x:c>
      <x:c r="C557" t="str">
        <x:v>Client 33</x:v>
      </x:c>
      <x:c r="D557" t="str">
        <x:v>Douane</x:v>
      </x:c>
      <x:c r="E557" t="str">
        <x:v>Pôle D</x:v>
      </x:c>
      <x:c r="F557" s="18" t="n">
        <x:v>22438.02</x:v>
      </x:c>
      <x:c r="G557" s="18" t="n">
        <x:v>22438.02</x:v>
      </x:c>
      <x:c r="H557" t="str">
        <x:v>Client 33</x:v>
      </x:c>
      <x:c r="I557" s="16" t="n">
        <x:v>46211</x:v>
      </x:c>
    </x:row>
    <x:row r="558">
      <x:c r="A558" t="str">
        <x:v>DV-2024-00557</x:v>
      </x:c>
      <x:c r="B558" s="16" t="n">
        <x:v>45566</x:v>
      </x:c>
      <x:c r="C558" t="str">
        <x:v>Client 41</x:v>
      </x:c>
      <x:c r="D558" t="str">
        <x:v>Fret maritime</x:v>
      </x:c>
      <x:c r="E558" t="str">
        <x:v>Pôle C</x:v>
      </x:c>
      <x:c r="F558" s="18" t="n">
        <x:v>9058.73</x:v>
      </x:c>
      <x:c r="G558" s="18" t="n">
        <x:v>9058.73</x:v>
      </x:c>
      <x:c r="H558" t="str">
        <x:v>Client 42</x:v>
      </x:c>
      <x:c r="I558" s="16" t="n">
        <x:v>45648</x:v>
      </x:c>
    </x:row>
    <x:row r="559">
      <x:c r="A559" t="str">
        <x:v>DV-2024-00558</x:v>
      </x:c>
      <x:c r="B559" s="16" t="n">
        <x:v>45521</x:v>
      </x:c>
      <x:c r="C559" t="str">
        <x:v>Client 28</x:v>
      </x:c>
      <x:c r="D559" t="str">
        <x:v>Fret maritime</x:v>
      </x:c>
      <x:c r="E559" t="str">
        <x:v>Pôle A</x:v>
      </x:c>
      <x:c r="F559" s="18" t="n">
        <x:v>11093.64</x:v>
      </x:c>
      <x:c r="G559" s="18" t="n">
        <x:v>11093.64</x:v>
      </x:c>
      <x:c r="H559" t="str">
        <x:v>Client 28</x:v>
      </x:c>
      <x:c r="I559" s="16" t="n">
        <x:v>45523</x:v>
      </x:c>
    </x:row>
    <x:row r="560">
      <x:c r="A560" t="str">
        <x:v>DV-2024-00559</x:v>
      </x:c>
      <x:c r="B560" s="16" t="n">
        <x:v>45431</x:v>
      </x:c>
      <x:c r="C560" t="str">
        <x:v>Client 23</x:v>
      </x:c>
      <x:c r="D560" t="str">
        <x:v>Fret maritime</x:v>
      </x:c>
      <x:c r="E560" t="str">
        <x:v>Pôle B</x:v>
      </x:c>
      <x:c r="F560" s="18" t="n">
        <x:v>14227.3</x:v>
      </x:c>
      <x:c r="G560" s="18" t="n">
        <x:v>6422.58</x:v>
      </x:c>
      <x:c r="H560" t="str">
        <x:v>Client 23</x:v>
      </x:c>
      <x:c r="I560" s="16" t="n">
        <x:v>45504</x:v>
      </x:c>
    </x:row>
    <x:row r="561">
      <x:c r="A561" t="str">
        <x:v>DV-2024-00560</x:v>
      </x:c>
      <x:c r="B561" s="16" t="n">
        <x:v>45457</x:v>
      </x:c>
      <x:c r="C561" t="str">
        <x:v>Client 37</x:v>
      </x:c>
      <x:c r="D561" t="str">
        <x:v>Fret maritime</x:v>
      </x:c>
      <x:c r="E561" t="str">
        <x:v>Pôle C</x:v>
      </x:c>
      <x:c r="F561" s="18" t="n">
        <x:v>11013.55</x:v>
      </x:c>
      <x:c r="G561" s="18" t="n">
        <x:v>11013.55</x:v>
      </x:c>
      <x:c r="H561" t="str">
        <x:v>Client 37</x:v>
      </x:c>
      <x:c r="I561" s="16" t="n">
        <x:v>45536</x:v>
      </x:c>
    </x:row>
    <x:row r="562">
      <x:c r="A562" t="str">
        <x:v>DV-2026-00561</x:v>
      </x:c>
      <x:c r="B562" s="16" t="n">
        <x:v>46072</x:v>
      </x:c>
      <x:c r="C562" t="str">
        <x:v>Client 10</x:v>
      </x:c>
      <x:c r="D562" t="str">
        <x:v>Douane</x:v>
      </x:c>
      <x:c r="E562" t="str">
        <x:v>Pôle A</x:v>
      </x:c>
      <x:c r="F562" s="18" t="n">
        <x:v>17653.91</x:v>
      </x:c>
      <x:c r="G562" s="18" t="n">
        <x:v>15275.56</x:v>
      </x:c>
      <x:c r="H562" t="str">
        <x:v>Client 10</x:v>
      </x:c>
      <x:c r="I562" s="16" t="n">
        <x:v>46121</x:v>
      </x:c>
    </x:row>
    <x:row r="563">
      <x:c r="A563" t="str">
        <x:v>DV-2026-00562</x:v>
      </x:c>
      <x:c r="B563" s="16" t="n">
        <x:v>46148</x:v>
      </x:c>
      <x:c r="C563" t="str">
        <x:v>Client 12</x:v>
      </x:c>
      <x:c r="D563" t="str">
        <x:v>Express</x:v>
      </x:c>
      <x:c r="E563" t="str">
        <x:v>Pôle A</x:v>
      </x:c>
      <x:c r="F563" s="18" t="n">
        <x:v>23762.44</x:v>
      </x:c>
      <x:c r="G563" s="18" t="n">
        <x:v>23762.44</x:v>
      </x:c>
      <x:c r="H563" t="str">
        <x:v>Client 12</x:v>
      </x:c>
      <x:c r="I563" s="16" t="n">
        <x:v>46235</x:v>
      </x:c>
    </x:row>
    <x:row r="564">
      <x:c r="A564" t="str">
        <x:v>DV-2026-00563</x:v>
      </x:c>
      <x:c r="B564" s="16" t="n">
        <x:v>46219</x:v>
      </x:c>
      <x:c r="C564" t="str">
        <x:v>Client 32</x:v>
      </x:c>
      <x:c r="D564" t="str">
        <x:v>Fret aérien</x:v>
      </x:c>
      <x:c r="E564" t="str">
        <x:v>Pôle B</x:v>
      </x:c>
      <x:c r="F564" s="18" t="n">
        <x:v>10691.07</x:v>
      </x:c>
      <x:c r="G564" s="18" t="n">
        <x:v>10691.07</x:v>
      </x:c>
      <x:c r="H564" t="str">
        <x:v>Client 32</x:v>
      </x:c>
      <x:c r="I564" s="16" t="n">
        <x:v>46287</x:v>
      </x:c>
    </x:row>
    <x:row r="565">
      <x:c r="A565" t="str">
        <x:v>DV-2026-00564</x:v>
      </x:c>
      <x:c r="B565" s="16" t="n">
        <x:v>46247</x:v>
      </x:c>
      <x:c r="C565" t="str">
        <x:v>Client 46</x:v>
      </x:c>
      <x:c r="D565" t="str">
        <x:v>Logistique</x:v>
      </x:c>
      <x:c r="E565" t="str">
        <x:v>Pôle B</x:v>
      </x:c>
      <x:c r="F565" s="18" t="n">
        <x:v>19534.62</x:v>
      </x:c>
      <x:c r="G565" s="18" t="n">
        <x:v>19534.62</x:v>
      </x:c>
      <x:c r="H565" t="str">
        <x:v>Client 46</x:v>
      </x:c>
      <x:c r="I565" s="16" t="n">
        <x:v>46303</x:v>
      </x:c>
    </x:row>
    <x:row r="566">
      <x:c r="A566" t="str">
        <x:v>DV-2026-00565</x:v>
      </x:c>
      <x:c r="B566" s="16" t="n">
        <x:v>46213</x:v>
      </x:c>
      <x:c r="C566" t="str">
        <x:v>Client 26</x:v>
      </x:c>
      <x:c r="D566" t="str">
        <x:v>Fret maritime</x:v>
      </x:c>
      <x:c r="E566" t="str">
        <x:v>Pôle C</x:v>
      </x:c>
      <x:c r="F566" s="18" t="n">
        <x:v>3322.62</x:v>
      </x:c>
      <x:c r="G566" s="18" t="n">
        <x:v>2729.36</x:v>
      </x:c>
      <x:c r="H566" t="str">
        <x:v>Client 21</x:v>
      </x:c>
      <x:c r="I566" s="16" t="n">
        <x:v>46237</x:v>
      </x:c>
    </x:row>
    <x:row r="567">
      <x:c r="A567" t="str">
        <x:v>DV-2024-00566</x:v>
      </x:c>
      <x:c r="B567" s="16" t="n">
        <x:v>45408</x:v>
      </x:c>
      <x:c r="C567" t="str">
        <x:v>Client 37</x:v>
      </x:c>
      <x:c r="D567" t="str">
        <x:v>Logistique</x:v>
      </x:c>
      <x:c r="E567" t="str">
        <x:v>Pôle A</x:v>
      </x:c>
      <x:c r="F567" s="18" t="n">
        <x:v>9475.54</x:v>
      </x:c>
      <x:c r="G567" s="18" t="n">
        <x:v>9475.54</x:v>
      </x:c>
      <x:c r="H567" t="str">
        <x:v>Client 37</x:v>
      </x:c>
      <x:c r="I567" s="16" t="n">
        <x:v>45428</x:v>
      </x:c>
    </x:row>
    <x:row r="568">
      <x:c r="A568" t="str">
        <x:v>DV-2025-00567</x:v>
      </x:c>
      <x:c r="B568" s="16" t="n">
        <x:v>45864</x:v>
      </x:c>
      <x:c r="C568" t="str">
        <x:v>Client 04</x:v>
      </x:c>
      <x:c r="D568" t="str">
        <x:v>Express</x:v>
      </x:c>
      <x:c r="E568" t="str">
        <x:v>Pôle D</x:v>
      </x:c>
      <x:c r="F568" s="18" t="n">
        <x:v>4673.67</x:v>
      </x:c>
      <x:c r="G568" s="18" t="n">
        <x:v>4673.67</x:v>
      </x:c>
      <x:c r="H568" t="str">
        <x:v>Client 04</x:v>
      </x:c>
      <x:c r="I568" s="16" t="n">
        <x:v>45940</x:v>
      </x:c>
    </x:row>
    <x:row r="569">
      <x:c r="A569" t="str">
        <x:v>DV-2024-00568</x:v>
      </x:c>
      <x:c r="B569" s="16" t="n">
        <x:v>45439</x:v>
      </x:c>
      <x:c r="C569" t="str">
        <x:v>Client 28</x:v>
      </x:c>
      <x:c r="D569" t="str">
        <x:v>Fret maritime</x:v>
      </x:c>
      <x:c r="E569" t="str">
        <x:v>Pôle B</x:v>
      </x:c>
      <x:c r="F569" s="18" t="n">
        <x:v>2852.9</x:v>
      </x:c>
      <x:c r="G569" s="18" t="n">
        <x:v>2852.9</x:v>
      </x:c>
      <x:c r="H569" t="str">
        <x:v>Client 28</x:v>
      </x:c>
      <x:c r="I569" s="16" t="n">
        <x:v>45494</x:v>
      </x:c>
    </x:row>
    <x:row r="570">
      <x:c r="A570" t="str">
        <x:v>DV-2026-00569</x:v>
      </x:c>
      <x:c r="B570" s="16" t="n">
        <x:v>46129</x:v>
      </x:c>
      <x:c r="C570" t="str">
        <x:v>Client 41</x:v>
      </x:c>
      <x:c r="D570" t="str">
        <x:v>Logistique</x:v>
      </x:c>
      <x:c r="E570" t="str">
        <x:v>Pôle B</x:v>
      </x:c>
      <x:c r="F570" s="18" t="n">
        <x:v>12736.48</x:v>
      </x:c>
      <x:c r="G570" s="18" t="n">
        <x:v>12736.48</x:v>
      </x:c>
      <x:c r="H570" t="str">
        <x:v>Client 41</x:v>
      </x:c>
      <x:c r="I570" s="16" t="n">
        <x:v>46217</x:v>
      </x:c>
    </x:row>
    <x:row r="571">
      <x:c r="A571" t="str">
        <x:v>DV-2026-00570</x:v>
      </x:c>
      <x:c r="B571" s="16" t="n">
        <x:v>46167</x:v>
      </x:c>
      <x:c r="C571" t="str">
        <x:v>Client 44</x:v>
      </x:c>
      <x:c r="D571" t="str">
        <x:v>Logistique</x:v>
      </x:c>
      <x:c r="E571" t="str">
        <x:v>Pôle B</x:v>
      </x:c>
      <x:c r="F571" s="18" t="n">
        <x:v>9002.43</x:v>
      </x:c>
      <x:c r="G571" s="18" t="n">
        <x:v>7479.32</x:v>
      </x:c>
      <x:c r="H571" t="str">
        <x:v>Client 44</x:v>
      </x:c>
      <x:c r="I571" s="16" t="n">
        <x:v>46194</x:v>
      </x:c>
    </x:row>
    <x:row r="572">
      <x:c r="A572" t="str">
        <x:v>DV-2025-00571</x:v>
      </x:c>
      <x:c r="B572" s="16" t="n">
        <x:v>45684</x:v>
      </x:c>
      <x:c r="C572" t="str">
        <x:v>Client 23</x:v>
      </x:c>
      <x:c r="D572" t="str">
        <x:v>Express</x:v>
      </x:c>
      <x:c r="E572" t="str">
        <x:v>Pôle E</x:v>
      </x:c>
      <x:c r="F572" s="18" t="n">
        <x:v>24599.63</x:v>
      </x:c>
      <x:c r="G572" s="18" t="n">
        <x:v>0</x:v>
      </x:c>
      <x:c r="H572" t="str">
        <x:v>Client 23</x:v>
      </x:c>
      <x:c r="I572" s="16"/>
    </x:row>
    <x:row r="573">
      <x:c r="A573" t="str">
        <x:v>DV-2025-00572</x:v>
      </x:c>
      <x:c r="B573" s="16" t="n">
        <x:v>45795</x:v>
      </x:c>
      <x:c r="C573" t="str">
        <x:v>Client 28</x:v>
      </x:c>
      <x:c r="D573" t="str">
        <x:v>Express</x:v>
      </x:c>
      <x:c r="E573" t="str">
        <x:v>Pôle D</x:v>
      </x:c>
      <x:c r="F573" s="18" t="n">
        <x:v>23497.99</x:v>
      </x:c>
      <x:c r="G573" s="18" t="n">
        <x:v>23497.99</x:v>
      </x:c>
      <x:c r="H573" t="str">
        <x:v>Client 28</x:v>
      </x:c>
      <x:c r="I573" s="16" t="n">
        <x:v>45796</x:v>
      </x:c>
    </x:row>
    <x:row r="574">
      <x:c r="A574" t="str">
        <x:v>DV-2026-00573</x:v>
      </x:c>
      <x:c r="B574" s="16" t="n">
        <x:v>46029</x:v>
      </x:c>
      <x:c r="C574" t="str">
        <x:v>Client 46</x:v>
      </x:c>
      <x:c r="D574" t="str">
        <x:v>Express</x:v>
      </x:c>
      <x:c r="E574" t="str">
        <x:v>Pôle A</x:v>
      </x:c>
      <x:c r="F574" s="18" t="n">
        <x:v>23771.23</x:v>
      </x:c>
      <x:c r="G574" s="18" t="n">
        <x:v>23771.23</x:v>
      </x:c>
      <x:c r="H574" t="str">
        <x:v>Client 46</x:v>
      </x:c>
      <x:c r="I574" s="16" t="n">
        <x:v>46054</x:v>
      </x:c>
    </x:row>
    <x:row r="575">
      <x:c r="A575" t="str">
        <x:v>DV-2024-00574</x:v>
      </x:c>
      <x:c r="B575" s="16" t="n">
        <x:v>45355</x:v>
      </x:c>
      <x:c r="C575" t="str">
        <x:v>Client 10</x:v>
      </x:c>
      <x:c r="D575" t="str">
        <x:v>Fret maritime</x:v>
      </x:c>
      <x:c r="E575" t="str">
        <x:v>Pôle A</x:v>
      </x:c>
      <x:c r="F575" s="18" t="n">
        <x:v>5990.81</x:v>
      </x:c>
      <x:c r="G575" s="18" t="n">
        <x:v>5990.81</x:v>
      </x:c>
      <x:c r="H575" t="str">
        <x:v>Client 40</x:v>
      </x:c>
      <x:c r="I575" s="16" t="n">
        <x:v>45408</x:v>
      </x:c>
    </x:row>
    <x:row r="576">
      <x:c r="A576" t="str">
        <x:v>DV-2024-00575</x:v>
      </x:c>
      <x:c r="B576" s="16" t="n">
        <x:v>45398</x:v>
      </x:c>
      <x:c r="C576" t="str">
        <x:v>Client 28</x:v>
      </x:c>
      <x:c r="D576" t="str">
        <x:v>Logistique</x:v>
      </x:c>
      <x:c r="E576" t="str">
        <x:v>Pôle A</x:v>
      </x:c>
      <x:c r="F576" s="18" t="n">
        <x:v>6871.83</x:v>
      </x:c>
      <x:c r="G576" s="18" t="n">
        <x:v>6871.83</x:v>
      </x:c>
      <x:c r="H576" t="str">
        <x:v>Client 28</x:v>
      </x:c>
      <x:c r="I576" s="16" t="n">
        <x:v>45469</x:v>
      </x:c>
    </x:row>
    <x:row r="577">
      <x:c r="A577" t="str">
        <x:v>DV-2024-00576</x:v>
      </x:c>
      <x:c r="B577" s="16" t="n">
        <x:v>45404</x:v>
      </x:c>
      <x:c r="C577" t="str">
        <x:v>Client 44</x:v>
      </x:c>
      <x:c r="D577" t="str">
        <x:v>Douane</x:v>
      </x:c>
      <x:c r="E577" t="str">
        <x:v>Pôle B</x:v>
      </x:c>
      <x:c r="F577" s="18" t="n">
        <x:v>13355.29</x:v>
      </x:c>
      <x:c r="G577" s="18" t="n">
        <x:v>0</x:v>
      </x:c>
      <x:c r="H577" t="str">
        <x:v>Client 44</x:v>
      </x:c>
      <x:c r="I577" s="16"/>
    </x:row>
    <x:row r="578">
      <x:c r="A578" t="str">
        <x:v>DV-2024-00577</x:v>
      </x:c>
      <x:c r="B578" s="16" t="n">
        <x:v>45494</x:v>
      </x:c>
      <x:c r="C578" t="str">
        <x:v>Client 49</x:v>
      </x:c>
      <x:c r="D578" t="str">
        <x:v>Express</x:v>
      </x:c>
      <x:c r="E578" t="str">
        <x:v>Pôle D</x:v>
      </x:c>
      <x:c r="F578" s="18" t="n">
        <x:v>24122.55</x:v>
      </x:c>
      <x:c r="G578" s="18" t="n">
        <x:v>24122.55</x:v>
      </x:c>
      <x:c r="H578" t="str">
        <x:v>Client 42</x:v>
      </x:c>
      <x:c r="I578" s="16" t="n">
        <x:v>45534</x:v>
      </x:c>
    </x:row>
    <x:row r="579">
      <x:c r="A579" t="str">
        <x:v>DV-2025-00578</x:v>
      </x:c>
      <x:c r="B579" s="16" t="n">
        <x:v>45694</x:v>
      </x:c>
      <x:c r="C579" t="str">
        <x:v>Client 42</x:v>
      </x:c>
      <x:c r="D579" t="str">
        <x:v>Fret aérien</x:v>
      </x:c>
      <x:c r="E579" t="str">
        <x:v>Pôle A</x:v>
      </x:c>
      <x:c r="F579" s="18" t="n">
        <x:v>4860.69</x:v>
      </x:c>
      <x:c r="G579" s="18" t="n">
        <x:v>2079.66</x:v>
      </x:c>
      <x:c r="H579" t="str">
        <x:v>Client 42</x:v>
      </x:c>
      <x:c r="I579" s="16" t="n">
        <x:v>45709</x:v>
      </x:c>
    </x:row>
    <x:row r="580">
      <x:c r="A580" t="str">
        <x:v>DV-2025-00579</x:v>
      </x:c>
      <x:c r="B580" s="16" t="n">
        <x:v>45973</x:v>
      </x:c>
      <x:c r="C580" t="str">
        <x:v>Client 50</x:v>
      </x:c>
      <x:c r="D580" t="str">
        <x:v>Fret aérien</x:v>
      </x:c>
      <x:c r="E580" t="str">
        <x:v>Pôle B</x:v>
      </x:c>
      <x:c r="F580" s="18" t="n">
        <x:v>12900.74</x:v>
      </x:c>
      <x:c r="G580" s="18" t="n">
        <x:v>12900.74</x:v>
      </x:c>
      <x:c r="H580" t="str">
        <x:v>Client 50</x:v>
      </x:c>
      <x:c r="I580" s="16" t="n">
        <x:v>45989</x:v>
      </x:c>
    </x:row>
    <x:row r="581">
      <x:c r="A581" t="str">
        <x:v>DV-2024-00580</x:v>
      </x:c>
      <x:c r="B581" s="16" t="n">
        <x:v>45304</x:v>
      </x:c>
      <x:c r="C581" t="str">
        <x:v>Client 50</x:v>
      </x:c>
      <x:c r="D581" t="str">
        <x:v>Logistique</x:v>
      </x:c>
      <x:c r="E581" t="str">
        <x:v>Pôle D</x:v>
      </x:c>
      <x:c r="F581" s="18" t="n">
        <x:v>4012.6</x:v>
      </x:c>
      <x:c r="G581" s="18" t="n">
        <x:v>4012.6</x:v>
      </x:c>
      <x:c r="H581" t="str">
        <x:v>Client 50</x:v>
      </x:c>
      <x:c r="I581" s="16" t="n">
        <x:v>45353</x:v>
      </x:c>
    </x:row>
    <x:row r="582">
      <x:c r="A582" t="str">
        <x:v>DV-2024-00581</x:v>
      </x:c>
      <x:c r="B582" s="16" t="n">
        <x:v>45585</x:v>
      </x:c>
      <x:c r="C582" t="str">
        <x:v>Client 13</x:v>
      </x:c>
      <x:c r="D582" t="str">
        <x:v>Fret aérien</x:v>
      </x:c>
      <x:c r="E582" t="str">
        <x:v>Pôle C</x:v>
      </x:c>
      <x:c r="F582" s="18" t="n">
        <x:v>10369.75</x:v>
      </x:c>
      <x:c r="G582" s="18" t="n">
        <x:v>10369.75</x:v>
      </x:c>
      <x:c r="H582" t="str">
        <x:v>Client 13</x:v>
      </x:c>
      <x:c r="I582" s="16" t="n">
        <x:v>45623</x:v>
      </x:c>
    </x:row>
    <x:row r="583">
      <x:c r="A583" t="str">
        <x:v>DV-2024-00582</x:v>
      </x:c>
      <x:c r="B583" s="16" t="n">
        <x:v>45453</x:v>
      </x:c>
      <x:c r="C583" t="str">
        <x:v>Client 17</x:v>
      </x:c>
      <x:c r="D583" t="str">
        <x:v>Douane</x:v>
      </x:c>
      <x:c r="E583" t="str">
        <x:v>Pôle A</x:v>
      </x:c>
      <x:c r="F583" s="18" t="n">
        <x:v>24930.14</x:v>
      </x:c>
      <x:c r="G583" s="18" t="n">
        <x:v>24930.14</x:v>
      </x:c>
      <x:c r="H583" t="str">
        <x:v>Client 27</x:v>
      </x:c>
      <x:c r="I583" s="16" t="n">
        <x:v>45511</x:v>
      </x:c>
    </x:row>
    <x:row r="584">
      <x:c r="A584" t="str">
        <x:v>DV-2024-00583</x:v>
      </x:c>
      <x:c r="B584" s="16" t="n">
        <x:v>45598</x:v>
      </x:c>
      <x:c r="C584" t="str">
        <x:v>Client 47</x:v>
      </x:c>
      <x:c r="D584" t="str">
        <x:v>Fret maritime</x:v>
      </x:c>
      <x:c r="E584" t="str">
        <x:v>Pôle A</x:v>
      </x:c>
      <x:c r="F584" s="18" t="n">
        <x:v>21463.11</x:v>
      </x:c>
      <x:c r="G584" s="18" t="n">
        <x:v>21463.11</x:v>
      </x:c>
      <x:c r="H584" t="str">
        <x:v>Client 47</x:v>
      </x:c>
      <x:c r="I584" s="16" t="n">
        <x:v>45602</x:v>
      </x:c>
    </x:row>
    <x:row r="585">
      <x:c r="A585" t="str">
        <x:v>DV-2025-00584</x:v>
      </x:c>
      <x:c r="B585" s="16" t="n">
        <x:v>45732</x:v>
      </x:c>
      <x:c r="C585" t="str">
        <x:v>Client 41</x:v>
      </x:c>
      <x:c r="D585" t="str">
        <x:v>Douane</x:v>
      </x:c>
      <x:c r="E585" t="str">
        <x:v>Pôle B</x:v>
      </x:c>
      <x:c r="F585" s="18" t="n">
        <x:v>4104.14</x:v>
      </x:c>
      <x:c r="G585" s="18" t="n">
        <x:v>0</x:v>
      </x:c>
      <x:c r="H585" t="str">
        <x:v>Client 41</x:v>
      </x:c>
      <x:c r="I585" s="16"/>
    </x:row>
    <x:row r="586">
      <x:c r="A586" t="str">
        <x:v>DV-2024-00585</x:v>
      </x:c>
      <x:c r="B586" s="16" t="n">
        <x:v>45462</x:v>
      </x:c>
      <x:c r="C586" t="str">
        <x:v>Client 07</x:v>
      </x:c>
      <x:c r="D586" t="str">
        <x:v>Logistique</x:v>
      </x:c>
      <x:c r="E586" t="str">
        <x:v>Pôle D</x:v>
      </x:c>
      <x:c r="F586" s="18" t="n">
        <x:v>6807.07</x:v>
      </x:c>
      <x:c r="G586" s="18" t="n">
        <x:v>6807.07</x:v>
      </x:c>
      <x:c r="H586" t="str">
        <x:v>Client 07</x:v>
      </x:c>
      <x:c r="I586" s="16" t="n">
        <x:v>45485</x:v>
      </x:c>
    </x:row>
    <x:row r="587">
      <x:c r="A587" t="str">
        <x:v>DV-2024-00586</x:v>
      </x:c>
      <x:c r="B587" s="16" t="n">
        <x:v>45365</x:v>
      </x:c>
      <x:c r="C587" t="str">
        <x:v>Client 14</x:v>
      </x:c>
      <x:c r="D587" t="str">
        <x:v>Express</x:v>
      </x:c>
      <x:c r="E587" t="str">
        <x:v>Pôle A</x:v>
      </x:c>
      <x:c r="F587" s="18" t="n">
        <x:v>11116.65</x:v>
      </x:c>
      <x:c r="G587" s="18" t="n">
        <x:v>11116.65</x:v>
      </x:c>
      <x:c r="H587" t="str">
        <x:v>Client 14</x:v>
      </x:c>
      <x:c r="I587" s="16" t="n">
        <x:v>45454</x:v>
      </x:c>
    </x:row>
    <x:row r="588">
      <x:c r="A588" t="str">
        <x:v>DV-2026-00587</x:v>
      </x:c>
      <x:c r="B588" s="16" t="n">
        <x:v>46214</x:v>
      </x:c>
      <x:c r="C588" t="str">
        <x:v>Client 07</x:v>
      </x:c>
      <x:c r="D588" t="str">
        <x:v>Fret aérien</x:v>
      </x:c>
      <x:c r="E588" t="str">
        <x:v>Pôle A</x:v>
      </x:c>
      <x:c r="F588" s="18" t="n">
        <x:v>16990.85</x:v>
      </x:c>
      <x:c r="G588" s="18" t="n">
        <x:v>16990.85</x:v>
      </x:c>
      <x:c r="H588" t="str">
        <x:v>Client 07</x:v>
      </x:c>
      <x:c r="I588" s="16" t="n">
        <x:v>46217</x:v>
      </x:c>
    </x:row>
    <x:row r="589">
      <x:c r="A589" t="str">
        <x:v>DV-2024-00588</x:v>
      </x:c>
      <x:c r="B589" s="16" t="n">
        <x:v>45627</x:v>
      </x:c>
      <x:c r="C589" t="str">
        <x:v>Client 30</x:v>
      </x:c>
      <x:c r="D589" t="str">
        <x:v>Logistique</x:v>
      </x:c>
      <x:c r="E589" t="str">
        <x:v>Pôle B</x:v>
      </x:c>
      <x:c r="F589" s="18" t="n">
        <x:v>22159.16</x:v>
      </x:c>
      <x:c r="G589" s="18" t="n">
        <x:v>22159.16</x:v>
      </x:c>
      <x:c r="H589" t="str">
        <x:v>Client 30</x:v>
      </x:c>
      <x:c r="I589" s="16" t="n">
        <x:v>45713</x:v>
      </x:c>
    </x:row>
    <x:row r="590">
      <x:c r="A590" t="str">
        <x:v>DV-2025-00589</x:v>
      </x:c>
      <x:c r="B590" s="16" t="n">
        <x:v>45898</x:v>
      </x:c>
      <x:c r="C590" t="str">
        <x:v>Client 16</x:v>
      </x:c>
      <x:c r="D590" t="str">
        <x:v>Express</x:v>
      </x:c>
      <x:c r="E590" t="str">
        <x:v>Pôle D</x:v>
      </x:c>
      <x:c r="F590" s="18" t="n">
        <x:v>22887.16</x:v>
      </x:c>
      <x:c r="G590" s="18" t="n">
        <x:v>22887.16</x:v>
      </x:c>
      <x:c r="H590" t="str">
        <x:v>Client 16</x:v>
      </x:c>
      <x:c r="I590" s="16" t="n">
        <x:v>45949</x:v>
      </x:c>
    </x:row>
    <x:row r="591">
      <x:c r="A591" t="str">
        <x:v>DV-2025-00590</x:v>
      </x:c>
      <x:c r="B591" s="16" t="n">
        <x:v>45790</x:v>
      </x:c>
      <x:c r="C591" t="str">
        <x:v>Client 40</x:v>
      </x:c>
      <x:c r="D591" t="str">
        <x:v>Logistique</x:v>
      </x:c>
      <x:c r="E591" t="str">
        <x:v>Pôle D</x:v>
      </x:c>
      <x:c r="F591" s="18" t="n">
        <x:v>8468.58</x:v>
      </x:c>
      <x:c r="G591" s="18" t="n">
        <x:v>6957.54</x:v>
      </x:c>
      <x:c r="H591" t="str">
        <x:v>Client 40</x:v>
      </x:c>
      <x:c r="I591" s="16" t="n">
        <x:v>45842</x:v>
      </x:c>
    </x:row>
    <x:row r="592">
      <x:c r="A592" t="str">
        <x:v>DV-2025-00591</x:v>
      </x:c>
      <x:c r="B592" s="16" t="n">
        <x:v>45724</x:v>
      </x:c>
      <x:c r="C592" t="str">
        <x:v>Client 50</x:v>
      </x:c>
      <x:c r="D592" t="str">
        <x:v>Logistique</x:v>
      </x:c>
      <x:c r="E592" t="str">
        <x:v>Pôle C</x:v>
      </x:c>
      <x:c r="F592" s="18" t="n">
        <x:v>9529.83</x:v>
      </x:c>
      <x:c r="G592" s="18" t="n">
        <x:v>9529.83</x:v>
      </x:c>
      <x:c r="H592" t="str">
        <x:v>Client 50</x:v>
      </x:c>
      <x:c r="I592" s="16" t="n">
        <x:v>45727</x:v>
      </x:c>
    </x:row>
    <x:row r="593">
      <x:c r="A593" t="str">
        <x:v>DV-2025-00592</x:v>
      </x:c>
      <x:c r="B593" s="16" t="n">
        <x:v>45769</x:v>
      </x:c>
      <x:c r="C593" t="str">
        <x:v>Client 48</x:v>
      </x:c>
      <x:c r="D593" t="str">
        <x:v>Fret maritime</x:v>
      </x:c>
      <x:c r="E593" t="str">
        <x:v>Pôle A</x:v>
      </x:c>
      <x:c r="F593" s="18" t="n">
        <x:v>23494.64</x:v>
      </x:c>
      <x:c r="G593" s="18" t="n">
        <x:v>23494.64</x:v>
      </x:c>
      <x:c r="H593" t="str">
        <x:v>Client 48</x:v>
      </x:c>
      <x:c r="I593" s="16" t="n">
        <x:v>45808</x:v>
      </x:c>
    </x:row>
    <x:row r="594">
      <x:c r="A594" t="str">
        <x:v>DV-2024-00593</x:v>
      </x:c>
      <x:c r="B594" s="16" t="n">
        <x:v>45562</x:v>
      </x:c>
      <x:c r="C594" t="str">
        <x:v>Client 48</x:v>
      </x:c>
      <x:c r="D594" t="str">
        <x:v>Logistique</x:v>
      </x:c>
      <x:c r="E594" t="str">
        <x:v>Pôle C</x:v>
      </x:c>
      <x:c r="F594" s="18" t="n">
        <x:v>7027.38</x:v>
      </x:c>
      <x:c r="G594" s="18" t="n">
        <x:v>7027.38</x:v>
      </x:c>
      <x:c r="H594" t="str">
        <x:v>Client 48</x:v>
      </x:c>
      <x:c r="I594" s="16" t="n">
        <x:v>45620</x:v>
      </x:c>
    </x:row>
    <x:row r="595">
      <x:c r="A595" t="str">
        <x:v>DV-2024-00594</x:v>
      </x:c>
      <x:c r="B595" s="16" t="n">
        <x:v>45415</x:v>
      </x:c>
      <x:c r="C595" t="str">
        <x:v>Client 47</x:v>
      </x:c>
      <x:c r="D595" t="str">
        <x:v>Express</x:v>
      </x:c>
      <x:c r="E595" t="str">
        <x:v>Pôle B</x:v>
      </x:c>
      <x:c r="F595" s="18" t="n">
        <x:v>11928.08</x:v>
      </x:c>
      <x:c r="G595" s="18" t="n">
        <x:v>3867.21</x:v>
      </x:c>
      <x:c r="H595" t="str">
        <x:v>Client 17</x:v>
      </x:c>
      <x:c r="I595" s="16" t="n">
        <x:v>45500</x:v>
      </x:c>
    </x:row>
    <x:row r="596">
      <x:c r="A596" t="str">
        <x:v>DV-2025-00595</x:v>
      </x:c>
      <x:c r="B596" s="16" t="n">
        <x:v>45964</x:v>
      </x:c>
      <x:c r="C596" t="str">
        <x:v>Client 26</x:v>
      </x:c>
      <x:c r="D596" t="str">
        <x:v>Douane</x:v>
      </x:c>
      <x:c r="E596" t="str">
        <x:v>Pôle B</x:v>
      </x:c>
      <x:c r="F596" s="18" t="n">
        <x:v>20364.52</x:v>
      </x:c>
      <x:c r="G596" s="18" t="n">
        <x:v>20364.52</x:v>
      </x:c>
      <x:c r="H596" t="str">
        <x:v>Client 26</x:v>
      </x:c>
      <x:c r="I596" s="16" t="n">
        <x:v>46004</x:v>
      </x:c>
    </x:row>
    <x:row r="597">
      <x:c r="A597" t="str">
        <x:v>DV-2025-00596</x:v>
      </x:c>
      <x:c r="B597" s="16" t="n">
        <x:v>45848</x:v>
      </x:c>
      <x:c r="C597" t="str">
        <x:v>Client 19</x:v>
      </x:c>
      <x:c r="D597" t="str">
        <x:v>Fret maritime</x:v>
      </x:c>
      <x:c r="E597" t="str">
        <x:v>Pôle A</x:v>
      </x:c>
      <x:c r="F597" s="18" t="n">
        <x:v>5597.59</x:v>
      </x:c>
      <x:c r="G597" s="18" t="n">
        <x:v>936.35</x:v>
      </x:c>
      <x:c r="H597" t="str">
        <x:v>Client 19</x:v>
      </x:c>
      <x:c r="I597" s="16" t="n">
        <x:v>45924</x:v>
      </x:c>
    </x:row>
    <x:row r="598">
      <x:c r="A598" t="str">
        <x:v>DV-2026-00597</x:v>
      </x:c>
      <x:c r="B598" s="16" t="n">
        <x:v>46269</x:v>
      </x:c>
      <x:c r="C598" t="str">
        <x:v>Client 21</x:v>
      </x:c>
      <x:c r="D598" t="str">
        <x:v>Express</x:v>
      </x:c>
      <x:c r="E598" t="str">
        <x:v>Pôle E</x:v>
      </x:c>
      <x:c r="F598" s="18" t="n">
        <x:v>2798.81</x:v>
      </x:c>
      <x:c r="G598" s="18" t="n">
        <x:v>2798.81</x:v>
      </x:c>
      <x:c r="H598" t="str">
        <x:v>Client 21</x:v>
      </x:c>
      <x:c r="I598" s="16" t="n">
        <x:v>46344</x:v>
      </x:c>
    </x:row>
    <x:row r="599">
      <x:c r="A599" t="str">
        <x:v>DV-2024-00598</x:v>
      </x:c>
      <x:c r="B599" s="16" t="n">
        <x:v>45436</x:v>
      </x:c>
      <x:c r="C599" t="str">
        <x:v>Client 50</x:v>
      </x:c>
      <x:c r="D599" t="str">
        <x:v>Logistique</x:v>
      </x:c>
      <x:c r="E599" t="str">
        <x:v>Pôle A</x:v>
      </x:c>
      <x:c r="F599" s="18" t="n">
        <x:v>14392.78</x:v>
      </x:c>
      <x:c r="G599" s="18" t="n">
        <x:v>14392.78</x:v>
      </x:c>
      <x:c r="H599" t="str">
        <x:v>Client 50</x:v>
      </x:c>
      <x:c r="I599" s="16" t="n">
        <x:v>45485</x:v>
      </x:c>
    </x:row>
    <x:row r="600">
      <x:c r="A600" t="str">
        <x:v>DV-2026-00599</x:v>
      </x:c>
      <x:c r="B600" s="16" t="n">
        <x:v>46055</x:v>
      </x:c>
      <x:c r="C600" t="str">
        <x:v>Client 14</x:v>
      </x:c>
      <x:c r="D600" t="str">
        <x:v>Fret maritime</x:v>
      </x:c>
      <x:c r="E600" t="str">
        <x:v>Pôle A</x:v>
      </x:c>
      <x:c r="F600" s="18" t="n">
        <x:v>6293.75</x:v>
      </x:c>
      <x:c r="G600" s="18" t="n">
        <x:v>6293.75</x:v>
      </x:c>
      <x:c r="H600" t="str">
        <x:v>Client 14</x:v>
      </x:c>
      <x:c r="I600" s="16" t="n">
        <x:v>46096</x:v>
      </x:c>
    </x:row>
    <x:row r="601">
      <x:c r="A601" t="str">
        <x:v>DV-2026-00600</x:v>
      </x:c>
      <x:c r="B601" s="16" t="n">
        <x:v>46055</x:v>
      </x:c>
      <x:c r="C601" t="str">
        <x:v>Client 48</x:v>
      </x:c>
      <x:c r="D601" t="str">
        <x:v>Fret maritime</x:v>
      </x:c>
      <x:c r="E601" t="str">
        <x:v>Pôle A</x:v>
      </x:c>
      <x:c r="F601" s="18" t="n">
        <x:v>24077.8</x:v>
      </x:c>
      <x:c r="G601" s="18" t="n">
        <x:v>24077.8</x:v>
      </x:c>
      <x:c r="H601" t="str">
        <x:v>Client 48</x:v>
      </x:c>
      <x:c r="I601" s="16" t="n">
        <x:v>46099</x:v>
      </x:c>
    </x:row>
    <x:row r="602">
      <x:c r="A602" t="str">
        <x:v>DV-2024-00601</x:v>
      </x:c>
      <x:c r="B602" s="16" t="n">
        <x:v>45442</x:v>
      </x:c>
      <x:c r="C602" t="str">
        <x:v>Client 36</x:v>
      </x:c>
      <x:c r="D602" t="str">
        <x:v>Douane</x:v>
      </x:c>
      <x:c r="E602" t="str">
        <x:v>Pôle C</x:v>
      </x:c>
      <x:c r="F602" s="18" t="n">
        <x:v>24840.59</x:v>
      </x:c>
      <x:c r="G602" s="18" t="n">
        <x:v>24840.59</x:v>
      </x:c>
      <x:c r="H602" t="str">
        <x:v>Client 36</x:v>
      </x:c>
      <x:c r="I602" s="16" t="n">
        <x:v>45472</x:v>
      </x:c>
    </x:row>
    <x:row r="603">
      <x:c r="A603" t="str">
        <x:v>DV-2024-00602</x:v>
      </x:c>
      <x:c r="B603" s="16" t="n">
        <x:v>45351</x:v>
      </x:c>
      <x:c r="C603" t="str">
        <x:v>Client 39</x:v>
      </x:c>
      <x:c r="D603" t="str">
        <x:v>Douane</x:v>
      </x:c>
      <x:c r="E603" t="str">
        <x:v>Pôle B</x:v>
      </x:c>
      <x:c r="F603" s="18" t="n">
        <x:v>22582.49</x:v>
      </x:c>
      <x:c r="G603" s="18" t="n">
        <x:v>22582.49</x:v>
      </x:c>
      <x:c r="H603" t="str">
        <x:v>Client 46</x:v>
      </x:c>
      <x:c r="I603" s="16" t="n">
        <x:v>45424</x:v>
      </x:c>
    </x:row>
    <x:row r="604">
      <x:c r="A604" t="str">
        <x:v>DV-2024-00603</x:v>
      </x:c>
      <x:c r="B604" s="16" t="n">
        <x:v>45513</x:v>
      </x:c>
      <x:c r="C604" t="str">
        <x:v>Client 05</x:v>
      </x:c>
      <x:c r="D604" t="str">
        <x:v>Logistique</x:v>
      </x:c>
      <x:c r="E604" t="str">
        <x:v>Pôle D</x:v>
      </x:c>
      <x:c r="F604" s="18" t="n">
        <x:v>4893.66</x:v>
      </x:c>
      <x:c r="G604" s="18" t="n">
        <x:v>4893.66</x:v>
      </x:c>
      <x:c r="H604" t="str">
        <x:v>Client 05</x:v>
      </x:c>
      <x:c r="I604" s="16" t="n">
        <x:v>45600</x:v>
      </x:c>
    </x:row>
    <x:row r="605">
      <x:c r="A605" t="str">
        <x:v>DV-2024-00604</x:v>
      </x:c>
      <x:c r="B605" s="16" t="n">
        <x:v>45607</x:v>
      </x:c>
      <x:c r="C605" t="str">
        <x:v>Client 20</x:v>
      </x:c>
      <x:c r="D605" t="str">
        <x:v>Logistique</x:v>
      </x:c>
      <x:c r="E605" t="str">
        <x:v>Pôle A</x:v>
      </x:c>
      <x:c r="F605" s="18" t="n">
        <x:v>7233.66</x:v>
      </x:c>
      <x:c r="G605" s="18" t="n">
        <x:v>7233.66</x:v>
      </x:c>
      <x:c r="H605" t="str">
        <x:v>Client 20</x:v>
      </x:c>
      <x:c r="I605" s="16" t="n">
        <x:v>45622</x:v>
      </x:c>
    </x:row>
    <x:row r="606">
      <x:c r="A606" t="str">
        <x:v>DV-2024-00605</x:v>
      </x:c>
      <x:c r="B606" s="16" t="n">
        <x:v>45603</x:v>
      </x:c>
      <x:c r="C606" t="str">
        <x:v>Client 16</x:v>
      </x:c>
      <x:c r="D606" t="str">
        <x:v>Fret maritime</x:v>
      </x:c>
      <x:c r="E606" t="str">
        <x:v>Pôle B</x:v>
      </x:c>
      <x:c r="F606" s="18" t="n">
        <x:v>8528.73</x:v>
      </x:c>
      <x:c r="G606" s="18" t="n">
        <x:v>8528.73</x:v>
      </x:c>
      <x:c r="H606" t="str">
        <x:v>Client 16</x:v>
      </x:c>
      <x:c r="I606" s="16" t="n">
        <x:v>45630</x:v>
      </x:c>
    </x:row>
    <x:row r="607">
      <x:c r="A607" t="str">
        <x:v>DV-2026-00606</x:v>
      </x:c>
      <x:c r="B607" s="16" t="n">
        <x:v>46075</x:v>
      </x:c>
      <x:c r="C607" t="str">
        <x:v>Client 50</x:v>
      </x:c>
      <x:c r="D607" t="str">
        <x:v>Fret aérien</x:v>
      </x:c>
      <x:c r="E607" t="str">
        <x:v>Pôle D</x:v>
      </x:c>
      <x:c r="F607" s="18" t="n">
        <x:v>3970.25</x:v>
      </x:c>
      <x:c r="G607" s="18" t="n">
        <x:v>3970.25</x:v>
      </x:c>
      <x:c r="H607" t="str">
        <x:v>Client 50</x:v>
      </x:c>
      <x:c r="I607" s="16" t="n">
        <x:v>46091</x:v>
      </x:c>
    </x:row>
    <x:row r="608">
      <x:c r="A608" t="str">
        <x:v>DV-2026-00607</x:v>
      </x:c>
      <x:c r="B608" s="16" t="n">
        <x:v>46218</x:v>
      </x:c>
      <x:c r="C608" t="str">
        <x:v>Client 27</x:v>
      </x:c>
      <x:c r="D608" t="str">
        <x:v>Fret maritime</x:v>
      </x:c>
      <x:c r="E608" t="str">
        <x:v>Pôle A</x:v>
      </x:c>
      <x:c r="F608" s="18" t="n">
        <x:v>16645.63</x:v>
      </x:c>
      <x:c r="G608" s="18" t="n">
        <x:v>16645.63</x:v>
      </x:c>
      <x:c r="H608" t="str">
        <x:v>Client 07</x:v>
      </x:c>
      <x:c r="I608" s="16" t="n">
        <x:v>46280</x:v>
      </x:c>
    </x:row>
    <x:row r="609">
      <x:c r="A609" t="str">
        <x:v>DV-2024-00608</x:v>
      </x:c>
      <x:c r="B609" s="16" t="n">
        <x:v>45444</x:v>
      </x:c>
      <x:c r="C609" t="str">
        <x:v>Client 17</x:v>
      </x:c>
      <x:c r="D609" t="str">
        <x:v>Logistique</x:v>
      </x:c>
      <x:c r="E609" t="str">
        <x:v>Pôle B</x:v>
      </x:c>
      <x:c r="F609" s="18" t="n">
        <x:v>6717.1</x:v>
      </x:c>
      <x:c r="G609" s="18" t="n">
        <x:v>0</x:v>
      </x:c>
      <x:c r="H609" t="str">
        <x:v>Client 17</x:v>
      </x:c>
      <x:c r="I609" s="16"/>
    </x:row>
    <x:row r="610">
      <x:c r="A610" t="str">
        <x:v>DV-2024-00609</x:v>
      </x:c>
      <x:c r="B610" s="16" t="n">
        <x:v>45564</x:v>
      </x:c>
      <x:c r="C610" t="str">
        <x:v>Client 27</x:v>
      </x:c>
      <x:c r="D610" t="str">
        <x:v>Douane</x:v>
      </x:c>
      <x:c r="E610" t="str">
        <x:v>Pôle B</x:v>
      </x:c>
      <x:c r="F610" s="18" t="n">
        <x:v>15045.16</x:v>
      </x:c>
      <x:c r="G610" s="18" t="n">
        <x:v>15045.16</x:v>
      </x:c>
      <x:c r="H610" t="str">
        <x:v>Client 27</x:v>
      </x:c>
      <x:c r="I610" s="16" t="n">
        <x:v>45595</x:v>
      </x:c>
    </x:row>
    <x:row r="611">
      <x:c r="A611" t="str">
        <x:v>DV-2026-00610</x:v>
      </x:c>
      <x:c r="B611" s="16" t="n">
        <x:v>46261</x:v>
      </x:c>
      <x:c r="C611" t="str">
        <x:v>Client 45</x:v>
      </x:c>
      <x:c r="D611" t="str">
        <x:v>Express</x:v>
      </x:c>
      <x:c r="E611" t="str">
        <x:v>Pôle E</x:v>
      </x:c>
      <x:c r="F611" s="18" t="n">
        <x:v>13875.28</x:v>
      </x:c>
      <x:c r="G611" s="18" t="n">
        <x:v>13875.28</x:v>
      </x:c>
      <x:c r="H611" t="str">
        <x:v>Client 45</x:v>
      </x:c>
      <x:c r="I611" s="16" t="n">
        <x:v>46322</x:v>
      </x:c>
    </x:row>
    <x:row r="612">
      <x:c r="A612" t="str">
        <x:v>DV-2026-00611</x:v>
      </x:c>
      <x:c r="B612" s="16" t="n">
        <x:v>46274</x:v>
      </x:c>
      <x:c r="C612" t="str">
        <x:v>Client 11</x:v>
      </x:c>
      <x:c r="D612" t="str">
        <x:v>Fret maritime</x:v>
      </x:c>
      <x:c r="E612" t="str">
        <x:v>Pôle D</x:v>
      </x:c>
      <x:c r="F612" s="18" t="n">
        <x:v>19142.2</x:v>
      </x:c>
      <x:c r="G612" s="18" t="n">
        <x:v>19142.2</x:v>
      </x:c>
      <x:c r="H612" t="str">
        <x:v>Client 11</x:v>
      </x:c>
      <x:c r="I612" s="16" t="n">
        <x:v>46327</x:v>
      </x:c>
    </x:row>
    <x:row r="613">
      <x:c r="A613" t="str">
        <x:v>DV-2026-00612</x:v>
      </x:c>
      <x:c r="B613" s="16" t="n">
        <x:v>46093</x:v>
      </x:c>
      <x:c r="C613" t="str">
        <x:v>Client 45</x:v>
      </x:c>
      <x:c r="D613" t="str">
        <x:v>Express</x:v>
      </x:c>
      <x:c r="E613" t="str">
        <x:v>Pôle D</x:v>
      </x:c>
      <x:c r="F613" s="18" t="n">
        <x:v>3373.78</x:v>
      </x:c>
      <x:c r="G613" s="18" t="n">
        <x:v>3373.78</x:v>
      </x:c>
      <x:c r="H613" t="str">
        <x:v>Client 45</x:v>
      </x:c>
      <x:c r="I613" s="16" t="n">
        <x:v>46149</x:v>
      </x:c>
    </x:row>
    <x:row r="614">
      <x:c r="A614" t="str">
        <x:v>DV-2024-00613</x:v>
      </x:c>
      <x:c r="B614" s="16" t="n">
        <x:v>45454</x:v>
      </x:c>
      <x:c r="C614" t="str">
        <x:v>Client 20</x:v>
      </x:c>
      <x:c r="D614" t="str">
        <x:v>Logistique</x:v>
      </x:c>
      <x:c r="E614" t="str">
        <x:v>Pôle C</x:v>
      </x:c>
      <x:c r="F614" s="18" t="n">
        <x:v>10272.44</x:v>
      </x:c>
      <x:c r="G614" s="18" t="n">
        <x:v>10272.44</x:v>
      </x:c>
      <x:c r="H614" t="str">
        <x:v>Client 20</x:v>
      </x:c>
      <x:c r="I614" s="16" t="n">
        <x:v>45530</x:v>
      </x:c>
    </x:row>
    <x:row r="615">
      <x:c r="A615" t="str">
        <x:v>DV-2024-00614</x:v>
      </x:c>
      <x:c r="B615" s="16" t="n">
        <x:v>45605</x:v>
      </x:c>
      <x:c r="C615" t="str">
        <x:v>Client 33</x:v>
      </x:c>
      <x:c r="D615" t="str">
        <x:v>Fret maritime</x:v>
      </x:c>
      <x:c r="E615" t="str">
        <x:v>Pôle C</x:v>
      </x:c>
      <x:c r="F615" s="18" t="n">
        <x:v>13122.05</x:v>
      </x:c>
      <x:c r="G615" s="18" t="n">
        <x:v>13122.05</x:v>
      </x:c>
      <x:c r="H615" t="str">
        <x:v>Client 33</x:v>
      </x:c>
      <x:c r="I615" s="16" t="n">
        <x:v>45682</x:v>
      </x:c>
    </x:row>
    <x:row r="616">
      <x:c r="A616" t="str">
        <x:v>DV-2026-00615</x:v>
      </x:c>
      <x:c r="B616" s="16" t="n">
        <x:v>46146</x:v>
      </x:c>
      <x:c r="C616" t="str">
        <x:v>Client 31</x:v>
      </x:c>
      <x:c r="D616" t="str">
        <x:v>Fret aérien</x:v>
      </x:c>
      <x:c r="E616" t="str">
        <x:v>Pôle B</x:v>
      </x:c>
      <x:c r="F616" s="18" t="n">
        <x:v>21287.27</x:v>
      </x:c>
      <x:c r="G616" s="18" t="n">
        <x:v>16082.88</x:v>
      </x:c>
      <x:c r="H616" t="str">
        <x:v>Client 31</x:v>
      </x:c>
      <x:c r="I616" s="16" t="n">
        <x:v>46229</x:v>
      </x:c>
    </x:row>
    <x:row r="617">
      <x:c r="A617" t="str">
        <x:v>DV-2024-00616</x:v>
      </x:c>
      <x:c r="B617" s="16" t="n">
        <x:v>45481</x:v>
      </x:c>
      <x:c r="C617" t="str">
        <x:v>Client 22</x:v>
      </x:c>
      <x:c r="D617" t="str">
        <x:v>Logistique</x:v>
      </x:c>
      <x:c r="E617" t="str">
        <x:v>Pôle E</x:v>
      </x:c>
      <x:c r="F617" s="18" t="n">
        <x:v>523.42</x:v>
      </x:c>
      <x:c r="G617" s="18" t="n">
        <x:v>523.42</x:v>
      </x:c>
      <x:c r="H617" t="str">
        <x:v>Client 22</x:v>
      </x:c>
      <x:c r="I617" s="16" t="n">
        <x:v>45558</x:v>
      </x:c>
    </x:row>
    <x:row r="618">
      <x:c r="A618" t="str">
        <x:v>DV-2024-00617</x:v>
      </x:c>
      <x:c r="B618" s="16" t="n">
        <x:v>45408</x:v>
      </x:c>
      <x:c r="C618" t="str">
        <x:v>Client 26</x:v>
      </x:c>
      <x:c r="D618" t="str">
        <x:v>Douane</x:v>
      </x:c>
      <x:c r="E618" t="str">
        <x:v>Pôle E</x:v>
      </x:c>
      <x:c r="F618" s="18" t="n">
        <x:v>6021.28</x:v>
      </x:c>
      <x:c r="G618" s="18" t="n">
        <x:v>6021.28</x:v>
      </x:c>
      <x:c r="H618" t="str">
        <x:v>Client 46</x:v>
      </x:c>
      <x:c r="I618" s="16" t="n">
        <x:v>45439</x:v>
      </x:c>
    </x:row>
    <x:row r="619">
      <x:c r="A619" t="str">
        <x:v>DV-2024-00618</x:v>
      </x:c>
      <x:c r="B619" s="16" t="n">
        <x:v>45297</x:v>
      </x:c>
      <x:c r="C619" t="str">
        <x:v>Client 31</x:v>
      </x:c>
      <x:c r="D619" t="str">
        <x:v>Logistique</x:v>
      </x:c>
      <x:c r="E619" t="str">
        <x:v>Pôle E</x:v>
      </x:c>
      <x:c r="F619" s="18" t="n">
        <x:v>3547.96</x:v>
      </x:c>
      <x:c r="G619" s="18" t="n">
        <x:v>645.16</x:v>
      </x:c>
      <x:c r="H619" t="str">
        <x:v>Client 31</x:v>
      </x:c>
      <x:c r="I619" s="16" t="n">
        <x:v>45331</x:v>
      </x:c>
    </x:row>
    <x:row r="620">
      <x:c r="A620" t="str">
        <x:v>DV-2025-00619</x:v>
      </x:c>
      <x:c r="B620" s="16" t="n">
        <x:v>45835</x:v>
      </x:c>
      <x:c r="C620" t="str">
        <x:v>Client 05</x:v>
      </x:c>
      <x:c r="D620" t="str">
        <x:v>Fret maritime</x:v>
      </x:c>
      <x:c r="E620" t="str">
        <x:v>Pôle A</x:v>
      </x:c>
      <x:c r="F620" s="18" t="n">
        <x:v>5731.17</x:v>
      </x:c>
      <x:c r="G620" s="18" t="n">
        <x:v>0</x:v>
      </x:c>
      <x:c r="H620" t="str">
        <x:v>Client 05</x:v>
      </x:c>
      <x:c r="I620" s="16"/>
    </x:row>
    <x:row r="621">
      <x:c r="A621" t="str">
        <x:v>DV-2025-00620</x:v>
      </x:c>
      <x:c r="B621" s="16" t="n">
        <x:v>45742</x:v>
      </x:c>
      <x:c r="C621" t="str">
        <x:v>Client 03</x:v>
      </x:c>
      <x:c r="D621" t="str">
        <x:v>Express</x:v>
      </x:c>
      <x:c r="E621" t="str">
        <x:v>Pôle A</x:v>
      </x:c>
      <x:c r="F621" s="18" t="n">
        <x:v>10962.73</x:v>
      </x:c>
      <x:c r="G621" s="18" t="n">
        <x:v>1833.25</x:v>
      </x:c>
      <x:c r="H621" t="str">
        <x:v>Client 03</x:v>
      </x:c>
      <x:c r="I621" s="16" t="n">
        <x:v>45787</x:v>
      </x:c>
    </x:row>
    <x:row r="622">
      <x:c r="A622" t="str">
        <x:v>DV-2025-00621</x:v>
      </x:c>
      <x:c r="B622" s="16" t="n">
        <x:v>45989</x:v>
      </x:c>
      <x:c r="C622" t="str">
        <x:v>Client 07</x:v>
      </x:c>
      <x:c r="D622" t="str">
        <x:v>Express</x:v>
      </x:c>
      <x:c r="E622" t="str">
        <x:v>Pôle A</x:v>
      </x:c>
      <x:c r="F622" s="18" t="n">
        <x:v>20171.31</x:v>
      </x:c>
      <x:c r="G622" s="18" t="n">
        <x:v>20171.31</x:v>
      </x:c>
      <x:c r="H622" t="str">
        <x:v>Client 07</x:v>
      </x:c>
      <x:c r="I622" s="16" t="n">
        <x:v>46016</x:v>
      </x:c>
    </x:row>
    <x:row r="623">
      <x:c r="A623" t="str">
        <x:v>DV-2025-00622</x:v>
      </x:c>
      <x:c r="B623" s="16" t="n">
        <x:v>45839</x:v>
      </x:c>
      <x:c r="C623" t="str">
        <x:v>Client 14</x:v>
      </x:c>
      <x:c r="D623" t="str">
        <x:v>Fret aérien</x:v>
      </x:c>
      <x:c r="E623" t="str">
        <x:v>Pôle C</x:v>
      </x:c>
      <x:c r="F623" s="18" t="n">
        <x:v>23621.32</x:v>
      </x:c>
      <x:c r="G623" s="18" t="n">
        <x:v>23621.32</x:v>
      </x:c>
      <x:c r="H623" t="str">
        <x:v>Client 14</x:v>
      </x:c>
      <x:c r="I623" s="16" t="n">
        <x:v>45934</x:v>
      </x:c>
    </x:row>
    <x:row r="624">
      <x:c r="A624" t="str">
        <x:v>DV-2025-00623</x:v>
      </x:c>
      <x:c r="B624" s="16" t="n">
        <x:v>45774</x:v>
      </x:c>
      <x:c r="C624" t="str">
        <x:v>Client 46</x:v>
      </x:c>
      <x:c r="D624" t="str">
        <x:v>Logistique</x:v>
      </x:c>
      <x:c r="E624" t="str">
        <x:v>Pôle B</x:v>
      </x:c>
      <x:c r="F624" s="18" t="n">
        <x:v>17387.76</x:v>
      </x:c>
      <x:c r="G624" s="18" t="n">
        <x:v>0</x:v>
      </x:c>
      <x:c r="H624" t="str">
        <x:v>Client 46</x:v>
      </x:c>
      <x:c r="I624" s="16"/>
    </x:row>
    <x:row r="625">
      <x:c r="A625" t="str">
        <x:v>DV-2024-00624</x:v>
      </x:c>
      <x:c r="B625" s="16" t="n">
        <x:v>45510</x:v>
      </x:c>
      <x:c r="C625" t="str">
        <x:v>Client 03</x:v>
      </x:c>
      <x:c r="D625" t="str">
        <x:v>Douane</x:v>
      </x:c>
      <x:c r="E625" t="str">
        <x:v>Pôle A</x:v>
      </x:c>
      <x:c r="F625" s="18" t="n">
        <x:v>20274.76</x:v>
      </x:c>
      <x:c r="G625" s="18" t="n">
        <x:v>20274.76</x:v>
      </x:c>
      <x:c r="H625" t="str">
        <x:v>Client 03</x:v>
      </x:c>
      <x:c r="I625" s="16" t="n">
        <x:v>45518</x:v>
      </x:c>
    </x:row>
    <x:row r="626">
      <x:c r="A626" t="str">
        <x:v>DV-2025-00625</x:v>
      </x:c>
      <x:c r="B626" s="16" t="n">
        <x:v>46005</x:v>
      </x:c>
      <x:c r="C626" t="str">
        <x:v>Client 09</x:v>
      </x:c>
      <x:c r="D626" t="str">
        <x:v>Logistique</x:v>
      </x:c>
      <x:c r="E626" t="str">
        <x:v>Pôle A</x:v>
      </x:c>
      <x:c r="F626" s="18" t="n">
        <x:v>19498.98</x:v>
      </x:c>
      <x:c r="G626" s="18" t="n">
        <x:v>0</x:v>
      </x:c>
      <x:c r="H626" t="str">
        <x:v>Client 09</x:v>
      </x:c>
      <x:c r="I626" s="16"/>
    </x:row>
    <x:row r="627">
      <x:c r="A627" t="str">
        <x:v>DV-2024-00626</x:v>
      </x:c>
      <x:c r="B627" s="16" t="n">
        <x:v>45601</x:v>
      </x:c>
      <x:c r="C627" t="str">
        <x:v>Client 42</x:v>
      </x:c>
      <x:c r="D627" t="str">
        <x:v>Douane</x:v>
      </x:c>
      <x:c r="E627" t="str">
        <x:v>Pôle C</x:v>
      </x:c>
      <x:c r="F627" s="18" t="n">
        <x:v>17611.59</x:v>
      </x:c>
      <x:c r="G627" s="18" t="n">
        <x:v>10530.11</x:v>
      </x:c>
      <x:c r="H627" t="str">
        <x:v>Client 42</x:v>
      </x:c>
      <x:c r="I627" s="16" t="n">
        <x:v>45673</x:v>
      </x:c>
    </x:row>
    <x:row r="628">
      <x:c r="A628" t="str">
        <x:v>DV-2024-00627</x:v>
      </x:c>
      <x:c r="B628" s="16" t="n">
        <x:v>45589</x:v>
      </x:c>
      <x:c r="C628" t="str">
        <x:v>Client 06</x:v>
      </x:c>
      <x:c r="D628" t="str">
        <x:v>Logistique</x:v>
      </x:c>
      <x:c r="E628" t="str">
        <x:v>Pôle D</x:v>
      </x:c>
      <x:c r="F628" s="18" t="n">
        <x:v>14304.25</x:v>
      </x:c>
      <x:c r="G628" s="18" t="n">
        <x:v>14304.25</x:v>
      </x:c>
      <x:c r="H628" t="str">
        <x:v>Client 06</x:v>
      </x:c>
      <x:c r="I628" s="16" t="n">
        <x:v>45670</x:v>
      </x:c>
    </x:row>
    <x:row r="629">
      <x:c r="A629" t="str">
        <x:v>DV-2026-00628</x:v>
      </x:c>
      <x:c r="B629" s="16" t="n">
        <x:v>46247</x:v>
      </x:c>
      <x:c r="C629" t="str">
        <x:v>Client 43</x:v>
      </x:c>
      <x:c r="D629" t="str">
        <x:v>Express</x:v>
      </x:c>
      <x:c r="E629" t="str">
        <x:v>Pôle B</x:v>
      </x:c>
      <x:c r="F629" s="18" t="n">
        <x:v>6974.64</x:v>
      </x:c>
      <x:c r="G629" s="18" t="n">
        <x:v>6974.64</x:v>
      </x:c>
      <x:c r="H629" t="str">
        <x:v>Client 43</x:v>
      </x:c>
      <x:c r="I629" s="16" t="n">
        <x:v>46251</x:v>
      </x:c>
    </x:row>
    <x:row r="630">
      <x:c r="A630" t="str">
        <x:v>DV-2024-00629</x:v>
      </x:c>
      <x:c r="B630" s="16" t="n">
        <x:v>45509</x:v>
      </x:c>
      <x:c r="C630" t="str">
        <x:v>Client 42</x:v>
      </x:c>
      <x:c r="D630" t="str">
        <x:v>Logistique</x:v>
      </x:c>
      <x:c r="E630" t="str">
        <x:v>Pôle D</x:v>
      </x:c>
      <x:c r="F630" s="18" t="n">
        <x:v>1252</x:v>
      </x:c>
      <x:c r="G630" s="18" t="n">
        <x:v>1252</x:v>
      </x:c>
      <x:c r="H630" t="str">
        <x:v>Client 42</x:v>
      </x:c>
      <x:c r="I630" s="16" t="n">
        <x:v>45515</x:v>
      </x:c>
    </x:row>
    <x:row r="631">
      <x:c r="A631" t="str">
        <x:v>DV-2024-00630</x:v>
      </x:c>
      <x:c r="B631" s="16" t="n">
        <x:v>45369</x:v>
      </x:c>
      <x:c r="C631" t="str">
        <x:v>Client 08</x:v>
      </x:c>
      <x:c r="D631" t="str">
        <x:v>Fret aérien</x:v>
      </x:c>
      <x:c r="E631" t="str">
        <x:v>Pôle D</x:v>
      </x:c>
      <x:c r="F631" s="18" t="n">
        <x:v>8434.37</x:v>
      </x:c>
      <x:c r="G631" s="18" t="n">
        <x:v>8434.37</x:v>
      </x:c>
      <x:c r="H631" t="str">
        <x:v>Client 47</x:v>
      </x:c>
      <x:c r="I631" s="16" t="n">
        <x:v>45402</x:v>
      </x:c>
    </x:row>
    <x:row r="632">
      <x:c r="A632" t="str">
        <x:v>DV-2024-00631</x:v>
      </x:c>
      <x:c r="B632" s="16" t="n">
        <x:v>45545</x:v>
      </x:c>
      <x:c r="C632" t="str">
        <x:v>Client 39</x:v>
      </x:c>
      <x:c r="D632" t="str">
        <x:v>Fret aérien</x:v>
      </x:c>
      <x:c r="E632" t="str">
        <x:v>Pôle C</x:v>
      </x:c>
      <x:c r="F632" s="18" t="n">
        <x:v>19676.13</x:v>
      </x:c>
      <x:c r="G632" s="18" t="n">
        <x:v>19676.13</x:v>
      </x:c>
      <x:c r="H632" t="str">
        <x:v>Client 39</x:v>
      </x:c>
      <x:c r="I632" s="16" t="n">
        <x:v>45631</x:v>
      </x:c>
    </x:row>
    <x:row r="633">
      <x:c r="A633" t="str">
        <x:v>DV-2024-00632</x:v>
      </x:c>
      <x:c r="B633" s="16" t="n">
        <x:v>45378</x:v>
      </x:c>
      <x:c r="C633" t="str">
        <x:v>Client 07</x:v>
      </x:c>
      <x:c r="D633" t="str">
        <x:v>Logistique</x:v>
      </x:c>
      <x:c r="E633" t="str">
        <x:v>Pôle B</x:v>
      </x:c>
      <x:c r="F633" s="18" t="n">
        <x:v>7635.1</x:v>
      </x:c>
      <x:c r="G633" s="18" t="n">
        <x:v>7635.1</x:v>
      </x:c>
      <x:c r="H633" t="str">
        <x:v>Client 12</x:v>
      </x:c>
      <x:c r="I633" s="16" t="n">
        <x:v>45452</x:v>
      </x:c>
    </x:row>
    <x:row r="634">
      <x:c r="A634" t="str">
        <x:v>DV-2024-00633</x:v>
      </x:c>
      <x:c r="B634" s="16" t="n">
        <x:v>45362</x:v>
      </x:c>
      <x:c r="C634" t="str">
        <x:v>Client 50</x:v>
      </x:c>
      <x:c r="D634" t="str">
        <x:v>Fret aérien</x:v>
      </x:c>
      <x:c r="E634" t="str">
        <x:v>Pôle A</x:v>
      </x:c>
      <x:c r="F634" s="18" t="n">
        <x:v>733.92</x:v>
      </x:c>
      <x:c r="G634" s="18" t="n">
        <x:v>733.92</x:v>
      </x:c>
      <x:c r="H634" t="str">
        <x:v>Client 50</x:v>
      </x:c>
      <x:c r="I634" s="16" t="n">
        <x:v>45456</x:v>
      </x:c>
    </x:row>
    <x:row r="635">
      <x:c r="A635" t="str">
        <x:v>DV-2024-00634</x:v>
      </x:c>
      <x:c r="B635" s="16" t="n">
        <x:v>45505</x:v>
      </x:c>
      <x:c r="C635" t="str">
        <x:v>Client 05</x:v>
      </x:c>
      <x:c r="D635" t="str">
        <x:v>Fret maritime</x:v>
      </x:c>
      <x:c r="E635" t="str">
        <x:v>Pôle E</x:v>
      </x:c>
      <x:c r="F635" s="18" t="n">
        <x:v>4209.35</x:v>
      </x:c>
      <x:c r="G635" s="18" t="n">
        <x:v>4209.35</x:v>
      </x:c>
      <x:c r="H635" t="str">
        <x:v>Client 05</x:v>
      </x:c>
      <x:c r="I635" s="16" t="n">
        <x:v>45539</x:v>
      </x:c>
    </x:row>
    <x:row r="636">
      <x:c r="A636" t="str">
        <x:v>DV-2025-00635</x:v>
      </x:c>
      <x:c r="B636" s="16" t="n">
        <x:v>45721</x:v>
      </x:c>
      <x:c r="C636" t="str">
        <x:v>Client 08</x:v>
      </x:c>
      <x:c r="D636" t="str">
        <x:v>Fret maritime</x:v>
      </x:c>
      <x:c r="E636" t="str">
        <x:v>Pôle E</x:v>
      </x:c>
      <x:c r="F636" s="18" t="n">
        <x:v>2048.88</x:v>
      </x:c>
      <x:c r="G636" s="18" t="n">
        <x:v>2048.88</x:v>
      </x:c>
      <x:c r="H636" t="str">
        <x:v>Client 08</x:v>
      </x:c>
      <x:c r="I636" s="16" t="n">
        <x:v>45803</x:v>
      </x:c>
    </x:row>
    <x:row r="637">
      <x:c r="A637" t="str">
        <x:v>DV-2026-00636</x:v>
      </x:c>
      <x:c r="B637" s="16" t="n">
        <x:v>46028</x:v>
      </x:c>
      <x:c r="C637" t="str">
        <x:v>Client 13</x:v>
      </x:c>
      <x:c r="D637" t="str">
        <x:v>Fret aérien</x:v>
      </x:c>
      <x:c r="E637" t="str">
        <x:v>Pôle E</x:v>
      </x:c>
      <x:c r="F637" s="18" t="n">
        <x:v>20514.81</x:v>
      </x:c>
      <x:c r="G637" s="18" t="n">
        <x:v>20514.81</x:v>
      </x:c>
      <x:c r="H637" t="str">
        <x:v>Client 13</x:v>
      </x:c>
      <x:c r="I637" s="16" t="n">
        <x:v>46092</x:v>
      </x:c>
    </x:row>
    <x:row r="638">
      <x:c r="A638" t="str">
        <x:v>DV-2025-00637</x:v>
      </x:c>
      <x:c r="B638" s="16" t="n">
        <x:v>45709</x:v>
      </x:c>
      <x:c r="C638" t="str">
        <x:v>Client 22</x:v>
      </x:c>
      <x:c r="D638" t="str">
        <x:v>Douane</x:v>
      </x:c>
      <x:c r="E638" t="str">
        <x:v>Pôle E</x:v>
      </x:c>
      <x:c r="F638" s="18" t="n">
        <x:v>2084.54</x:v>
      </x:c>
      <x:c r="G638" s="18" t="n">
        <x:v>2084.54</x:v>
      </x:c>
      <x:c r="H638" t="str">
        <x:v>Client 22</x:v>
      </x:c>
      <x:c r="I638" s="16" t="n">
        <x:v>45728</x:v>
      </x:c>
    </x:row>
    <x:row r="639">
      <x:c r="A639" t="str">
        <x:v>DV-2025-00638</x:v>
      </x:c>
      <x:c r="B639" s="16" t="n">
        <x:v>45831</x:v>
      </x:c>
      <x:c r="C639" t="str">
        <x:v>Client 43</x:v>
      </x:c>
      <x:c r="D639" t="str">
        <x:v>Douane</x:v>
      </x:c>
      <x:c r="E639" t="str">
        <x:v>Pôle A</x:v>
      </x:c>
      <x:c r="F639" s="18" t="n">
        <x:v>6120.74</x:v>
      </x:c>
      <x:c r="G639" s="18" t="n">
        <x:v>6120.74</x:v>
      </x:c>
      <x:c r="H639" t="str">
        <x:v>Client 18</x:v>
      </x:c>
      <x:c r="I639" s="16" t="n">
        <x:v>45910</x:v>
      </x:c>
    </x:row>
    <x:row r="640">
      <x:c r="A640" t="str">
        <x:v>DV-2025-00639</x:v>
      </x:c>
      <x:c r="B640" s="16" t="n">
        <x:v>45769</x:v>
      </x:c>
      <x:c r="C640" t="str">
        <x:v>Client 14</x:v>
      </x:c>
      <x:c r="D640" t="str">
        <x:v>Douane</x:v>
      </x:c>
      <x:c r="E640" t="str">
        <x:v>Pôle D</x:v>
      </x:c>
      <x:c r="F640" s="18" t="n">
        <x:v>12794.1</x:v>
      </x:c>
      <x:c r="G640" s="18" t="n">
        <x:v>12794.1</x:v>
      </x:c>
      <x:c r="H640" t="str">
        <x:v>Client 14</x:v>
      </x:c>
      <x:c r="I640" s="16" t="n">
        <x:v>45858</x:v>
      </x:c>
    </x:row>
    <x:row r="641">
      <x:c r="A641" t="str">
        <x:v>DV-2024-00640</x:v>
      </x:c>
      <x:c r="B641" s="16" t="n">
        <x:v>45346</x:v>
      </x:c>
      <x:c r="C641" t="str">
        <x:v>Client 11</x:v>
      </x:c>
      <x:c r="D641" t="str">
        <x:v>Fret maritime</x:v>
      </x:c>
      <x:c r="E641" t="str">
        <x:v>Pôle B</x:v>
      </x:c>
      <x:c r="F641" s="18" t="n">
        <x:v>6004.19</x:v>
      </x:c>
      <x:c r="G641" s="18" t="n">
        <x:v>6004.19</x:v>
      </x:c>
      <x:c r="H641" t="str">
        <x:v>Client 11</x:v>
      </x:c>
      <x:c r="I641" s="16" t="n">
        <x:v>45413</x:v>
      </x:c>
    </x:row>
    <x:row r="642">
      <x:c r="A642" t="str">
        <x:v>DV-2025-00641</x:v>
      </x:c>
      <x:c r="B642" s="16" t="n">
        <x:v>45814</x:v>
      </x:c>
      <x:c r="C642" t="str">
        <x:v>Client 27</x:v>
      </x:c>
      <x:c r="D642" t="str">
        <x:v>Douane</x:v>
      </x:c>
      <x:c r="E642" t="str">
        <x:v>Pôle E</x:v>
      </x:c>
      <x:c r="F642" s="18" t="n">
        <x:v>16167.89</x:v>
      </x:c>
      <x:c r="G642" s="18" t="n">
        <x:v>5423.25</x:v>
      </x:c>
      <x:c r="H642" t="str">
        <x:v>Client 27</x:v>
      </x:c>
      <x:c r="I642" s="16" t="n">
        <x:v>45882</x:v>
      </x:c>
    </x:row>
    <x:row r="643">
      <x:c r="A643" t="str">
        <x:v>DV-2024-00642</x:v>
      </x:c>
      <x:c r="B643" s="16" t="n">
        <x:v>45582</x:v>
      </x:c>
      <x:c r="C643" t="str">
        <x:v>Client 15</x:v>
      </x:c>
      <x:c r="D643" t="str">
        <x:v>Express</x:v>
      </x:c>
      <x:c r="E643" t="str">
        <x:v>Pôle D</x:v>
      </x:c>
      <x:c r="F643" s="18" t="n">
        <x:v>19024.93</x:v>
      </x:c>
      <x:c r="G643" s="18" t="n">
        <x:v>19024.93</x:v>
      </x:c>
      <x:c r="H643" t="str">
        <x:v>Client 15</x:v>
      </x:c>
      <x:c r="I643" s="16" t="n">
        <x:v>45593</x:v>
      </x:c>
    </x:row>
    <x:row r="644">
      <x:c r="A644" t="str">
        <x:v>DV-2025-00643</x:v>
      </x:c>
      <x:c r="B644" s="16" t="n">
        <x:v>45681</x:v>
      </x:c>
      <x:c r="C644" t="str">
        <x:v>Client 31</x:v>
      </x:c>
      <x:c r="D644" t="str">
        <x:v>Douane</x:v>
      </x:c>
      <x:c r="E644" t="str">
        <x:v>Pôle A</x:v>
      </x:c>
      <x:c r="F644" s="18" t="n">
        <x:v>6775.35</x:v>
      </x:c>
      <x:c r="G644" s="18" t="n">
        <x:v>6775.35</x:v>
      </x:c>
      <x:c r="H644" t="str">
        <x:v>Client 31</x:v>
      </x:c>
      <x:c r="I644" s="16" t="n">
        <x:v>45720</x:v>
      </x:c>
    </x:row>
    <x:row r="645">
      <x:c r="A645" t="str">
        <x:v>DV-2024-00644</x:v>
      </x:c>
      <x:c r="B645" s="16" t="n">
        <x:v>45305</x:v>
      </x:c>
      <x:c r="C645" t="str">
        <x:v>Client 40</x:v>
      </x:c>
      <x:c r="D645" t="str">
        <x:v>Logistique</x:v>
      </x:c>
      <x:c r="E645" t="str">
        <x:v>Pôle C</x:v>
      </x:c>
      <x:c r="F645" s="18" t="n">
        <x:v>5968.21</x:v>
      </x:c>
      <x:c r="G645" s="18" t="n">
        <x:v>5968.21</x:v>
      </x:c>
      <x:c r="H645" t="str">
        <x:v>Client 40</x:v>
      </x:c>
      <x:c r="I645" s="16" t="n">
        <x:v>45330</x:v>
      </x:c>
    </x:row>
    <x:row r="646">
      <x:c r="A646" t="str">
        <x:v>DV-2024-00645</x:v>
      </x:c>
      <x:c r="B646" s="16" t="n">
        <x:v>45630</x:v>
      </x:c>
      <x:c r="C646" t="str">
        <x:v>Client 25</x:v>
      </x:c>
      <x:c r="D646" t="str">
        <x:v>Fret maritime</x:v>
      </x:c>
      <x:c r="E646" t="str">
        <x:v>Pôle A</x:v>
      </x:c>
      <x:c r="F646" s="18" t="n">
        <x:v>21466.38</x:v>
      </x:c>
      <x:c r="G646" s="18" t="n">
        <x:v>21466.38</x:v>
      </x:c>
      <x:c r="H646" t="str">
        <x:v>Client 23</x:v>
      </x:c>
      <x:c r="I646" s="16" t="n">
        <x:v>45641</x:v>
      </x:c>
    </x:row>
    <x:row r="647">
      <x:c r="A647" t="str">
        <x:v>DV-2025-00646</x:v>
      </x:c>
      <x:c r="B647" s="16" t="n">
        <x:v>45858</x:v>
      </x:c>
      <x:c r="C647" t="str">
        <x:v>Client 28</x:v>
      </x:c>
      <x:c r="D647" t="str">
        <x:v>Fret maritime</x:v>
      </x:c>
      <x:c r="E647" t="str">
        <x:v>Pôle D</x:v>
      </x:c>
      <x:c r="F647" s="18" t="n">
        <x:v>1043.49</x:v>
      </x:c>
      <x:c r="G647" s="18" t="n">
        <x:v>1043.49</x:v>
      </x:c>
      <x:c r="H647" t="str">
        <x:v>Client 28</x:v>
      </x:c>
      <x:c r="I647" s="16" t="n">
        <x:v>45946</x:v>
      </x:c>
    </x:row>
    <x:row r="648">
      <x:c r="A648" t="str">
        <x:v>DV-2024-00647</x:v>
      </x:c>
      <x:c r="B648" s="16" t="n">
        <x:v>45344</x:v>
      </x:c>
      <x:c r="C648" t="str">
        <x:v>Client 41</x:v>
      </x:c>
      <x:c r="D648" t="str">
        <x:v>Fret aérien</x:v>
      </x:c>
      <x:c r="E648" t="str">
        <x:v>Pôle D</x:v>
      </x:c>
      <x:c r="F648" s="18" t="n">
        <x:v>14346.53</x:v>
      </x:c>
      <x:c r="G648" s="18" t="n">
        <x:v>14346.53</x:v>
      </x:c>
      <x:c r="H648" t="str">
        <x:v>Client 41</x:v>
      </x:c>
      <x:c r="I648" s="16" t="n">
        <x:v>45363</x:v>
      </x:c>
    </x:row>
    <x:row r="649">
      <x:c r="A649" t="str">
        <x:v>DV-2024-00648</x:v>
      </x:c>
      <x:c r="B649" s="16" t="n">
        <x:v>45535</x:v>
      </x:c>
      <x:c r="C649" t="str">
        <x:v>Client 16</x:v>
      </x:c>
      <x:c r="D649" t="str">
        <x:v>Fret aérien</x:v>
      </x:c>
      <x:c r="E649" t="str">
        <x:v>Pôle C</x:v>
      </x:c>
      <x:c r="F649" s="18" t="n">
        <x:v>10291.24</x:v>
      </x:c>
      <x:c r="G649" s="18" t="n">
        <x:v>10291.24</x:v>
      </x:c>
      <x:c r="H649" t="str">
        <x:v>Client 16</x:v>
      </x:c>
      <x:c r="I649" s="16" t="n">
        <x:v>45560</x:v>
      </x:c>
    </x:row>
    <x:row r="650">
      <x:c r="A650" t="str">
        <x:v>DV-2024-00649</x:v>
      </x:c>
      <x:c r="B650" s="16" t="n">
        <x:v>45627</x:v>
      </x:c>
      <x:c r="C650" t="str">
        <x:v>Client 44</x:v>
      </x:c>
      <x:c r="D650" t="str">
        <x:v>Express</x:v>
      </x:c>
      <x:c r="E650" t="str">
        <x:v>Pôle D</x:v>
      </x:c>
      <x:c r="F650" s="18" t="n">
        <x:v>12548.29</x:v>
      </x:c>
      <x:c r="G650" s="18" t="n">
        <x:v>0</x:v>
      </x:c>
      <x:c r="H650" t="str">
        <x:v>Client 44</x:v>
      </x:c>
      <x:c r="I650" s="16"/>
    </x:row>
    <x:row r="651">
      <x:c r="A651" t="str">
        <x:v>DV-2026-00650</x:v>
      </x:c>
      <x:c r="B651" s="16" t="n">
        <x:v>46134</x:v>
      </x:c>
      <x:c r="C651" t="str">
        <x:v>Client 03</x:v>
      </x:c>
      <x:c r="D651" t="str">
        <x:v>Logistique</x:v>
      </x:c>
      <x:c r="E651" t="str">
        <x:v>Pôle C</x:v>
      </x:c>
      <x:c r="F651" s="18" t="n">
        <x:v>12816.81</x:v>
      </x:c>
      <x:c r="G651" s="18" t="n">
        <x:v>12816.81</x:v>
      </x:c>
      <x:c r="H651" t="str">
        <x:v>Client 46</x:v>
      </x:c>
      <x:c r="I651" s="16" t="n">
        <x:v>46166</x:v>
      </x:c>
    </x:row>
    <x:row r="652">
      <x:c r="A652" t="str">
        <x:v>DV-2024-00651</x:v>
      </x:c>
      <x:c r="B652" s="16" t="n">
        <x:v>45511</x:v>
      </x:c>
      <x:c r="C652" t="str">
        <x:v>Client 26</x:v>
      </x:c>
      <x:c r="D652" t="str">
        <x:v>Express</x:v>
      </x:c>
      <x:c r="E652" t="str">
        <x:v>Pôle D</x:v>
      </x:c>
      <x:c r="F652" s="18" t="n">
        <x:v>20416.23</x:v>
      </x:c>
      <x:c r="G652" s="18" t="n">
        <x:v>0</x:v>
      </x:c>
      <x:c r="H652" t="str">
        <x:v>Client 26</x:v>
      </x:c>
      <x:c r="I652" s="16"/>
    </x:row>
    <x:row r="653">
      <x:c r="A653" t="str">
        <x:v>DV-2024-00652</x:v>
      </x:c>
      <x:c r="B653" s="16" t="n">
        <x:v>45437</x:v>
      </x:c>
      <x:c r="C653" t="str">
        <x:v>Client 18</x:v>
      </x:c>
      <x:c r="D653" t="str">
        <x:v>Fret aérien</x:v>
      </x:c>
      <x:c r="E653" t="str">
        <x:v>Pôle B</x:v>
      </x:c>
      <x:c r="F653" s="18" t="n">
        <x:v>9956.44</x:v>
      </x:c>
      <x:c r="G653" s="18" t="n">
        <x:v>9956.44</x:v>
      </x:c>
      <x:c r="H653" t="str">
        <x:v>Client 18</x:v>
      </x:c>
      <x:c r="I653" s="16" t="n">
        <x:v>45471</x:v>
      </x:c>
    </x:row>
    <x:row r="654">
      <x:c r="A654" t="str">
        <x:v>DV-2025-00653</x:v>
      </x:c>
      <x:c r="B654" s="16" t="n">
        <x:v>45748</x:v>
      </x:c>
      <x:c r="C654" t="str">
        <x:v>Client 35</x:v>
      </x:c>
      <x:c r="D654" t="str">
        <x:v>Express</x:v>
      </x:c>
      <x:c r="E654" t="str">
        <x:v>Pôle C</x:v>
      </x:c>
      <x:c r="F654" s="18" t="n">
        <x:v>23869.38</x:v>
      </x:c>
      <x:c r="G654" s="18" t="n">
        <x:v>23869.38</x:v>
      </x:c>
      <x:c r="H654" t="str">
        <x:v>Client 35</x:v>
      </x:c>
      <x:c r="I654" s="16" t="n">
        <x:v>45839</x:v>
      </x:c>
    </x:row>
    <x:row r="655">
      <x:c r="A655" t="str">
        <x:v>DV-2024-00654</x:v>
      </x:c>
      <x:c r="B655" s="16" t="n">
        <x:v>45397</x:v>
      </x:c>
      <x:c r="C655" t="str">
        <x:v>Client 01</x:v>
      </x:c>
      <x:c r="D655" t="str">
        <x:v>Douane</x:v>
      </x:c>
      <x:c r="E655" t="str">
        <x:v>Pôle A</x:v>
      </x:c>
      <x:c r="F655" s="18" t="n">
        <x:v>10368.18</x:v>
      </x:c>
      <x:c r="G655" s="18" t="n">
        <x:v>10368.18</x:v>
      </x:c>
      <x:c r="H655" t="str">
        <x:v>Client 01</x:v>
      </x:c>
      <x:c r="I655" s="16" t="n">
        <x:v>45490</x:v>
      </x:c>
    </x:row>
    <x:row r="656">
      <x:c r="A656" t="str">
        <x:v>DV-2026-00655</x:v>
      </x:c>
      <x:c r="B656" s="16" t="n">
        <x:v>46213</x:v>
      </x:c>
      <x:c r="C656" t="str">
        <x:v>Client 44</x:v>
      </x:c>
      <x:c r="D656" t="str">
        <x:v>Logistique</x:v>
      </x:c>
      <x:c r="E656" t="str">
        <x:v>Pôle B</x:v>
      </x:c>
      <x:c r="F656" s="18" t="n">
        <x:v>16877.73</x:v>
      </x:c>
      <x:c r="G656" s="18" t="n">
        <x:v>0</x:v>
      </x:c>
      <x:c r="H656" t="str">
        <x:v>Client 44</x:v>
      </x:c>
      <x:c r="I656" s="16"/>
    </x:row>
    <x:row r="657">
      <x:c r="A657" t="str">
        <x:v>DV-2024-00656</x:v>
      </x:c>
      <x:c r="B657" s="16" t="n">
        <x:v>45602</x:v>
      </x:c>
      <x:c r="C657" t="str">
        <x:v>Client 17</x:v>
      </x:c>
      <x:c r="D657" t="str">
        <x:v>Fret aérien</x:v>
      </x:c>
      <x:c r="E657" t="str">
        <x:v>Pôle E</x:v>
      </x:c>
      <x:c r="F657" s="18" t="n">
        <x:v>13755.06</x:v>
      </x:c>
      <x:c r="G657" s="18" t="n">
        <x:v>13755.06</x:v>
      </x:c>
      <x:c r="H657" t="str">
        <x:v>Client 34</x:v>
      </x:c>
      <x:c r="I657" s="16" t="n">
        <x:v>45652</x:v>
      </x:c>
    </x:row>
    <x:row r="658">
      <x:c r="A658" t="str">
        <x:v>DV-2025-00657</x:v>
      </x:c>
      <x:c r="B658" s="16" t="n">
        <x:v>45969</x:v>
      </x:c>
      <x:c r="C658" t="str">
        <x:v>Client 41</x:v>
      </x:c>
      <x:c r="D658" t="str">
        <x:v>Fret aérien</x:v>
      </x:c>
      <x:c r="E658" t="str">
        <x:v>Pôle D</x:v>
      </x:c>
      <x:c r="F658" s="18" t="n">
        <x:v>22892.6</x:v>
      </x:c>
      <x:c r="G658" s="18" t="n">
        <x:v>22892.6</x:v>
      </x:c>
      <x:c r="H658" t="str">
        <x:v>Client 30</x:v>
      </x:c>
      <x:c r="I658" s="16" t="n">
        <x:v>46043</x:v>
      </x:c>
    </x:row>
    <x:row r="659">
      <x:c r="A659" t="str">
        <x:v>DV-2024-00658</x:v>
      </x:c>
      <x:c r="B659" s="16" t="n">
        <x:v>45581</x:v>
      </x:c>
      <x:c r="C659" t="str">
        <x:v>Client 09</x:v>
      </x:c>
      <x:c r="D659" t="str">
        <x:v>Fret aérien</x:v>
      </x:c>
      <x:c r="E659" t="str">
        <x:v>Pôle E</x:v>
      </x:c>
      <x:c r="F659" s="18" t="n">
        <x:v>12991.61</x:v>
      </x:c>
      <x:c r="G659" s="18" t="n">
        <x:v>12991.61</x:v>
      </x:c>
      <x:c r="H659" t="str">
        <x:v>Client 09</x:v>
      </x:c>
      <x:c r="I659" s="16" t="n">
        <x:v>45632</x:v>
      </x:c>
    </x:row>
    <x:row r="660">
      <x:c r="A660" t="str">
        <x:v>DV-2024-00659</x:v>
      </x:c>
      <x:c r="B660" s="16" t="n">
        <x:v>45385</x:v>
      </x:c>
      <x:c r="C660" t="str">
        <x:v>Client 12</x:v>
      </x:c>
      <x:c r="D660" t="str">
        <x:v>Fret aérien</x:v>
      </x:c>
      <x:c r="E660" t="str">
        <x:v>Pôle B</x:v>
      </x:c>
      <x:c r="F660" s="18" t="n">
        <x:v>3581.58</x:v>
      </x:c>
      <x:c r="G660" s="18" t="n">
        <x:v>3581.58</x:v>
      </x:c>
      <x:c r="H660" t="str">
        <x:v>Client 12</x:v>
      </x:c>
      <x:c r="I660" s="16" t="n">
        <x:v>45395</x:v>
      </x:c>
    </x:row>
    <x:row r="661">
      <x:c r="A661" t="str">
        <x:v>DV-2025-00660</x:v>
      </x:c>
      <x:c r="B661" s="16" t="n">
        <x:v>45724</x:v>
      </x:c>
      <x:c r="C661" t="str">
        <x:v>Client 32</x:v>
      </x:c>
      <x:c r="D661" t="str">
        <x:v>Fret aérien</x:v>
      </x:c>
      <x:c r="E661" t="str">
        <x:v>Pôle C</x:v>
      </x:c>
      <x:c r="F661" s="18" t="n">
        <x:v>20678.05</x:v>
      </x:c>
      <x:c r="G661" s="18" t="n">
        <x:v>20678.05</x:v>
      </x:c>
      <x:c r="H661" t="str">
        <x:v>Client 32</x:v>
      </x:c>
      <x:c r="I661" s="16" t="n">
        <x:v>45793</x:v>
      </x:c>
    </x:row>
    <x:row r="662">
      <x:c r="A662" t="str">
        <x:v>DV-2026-00661</x:v>
      </x:c>
      <x:c r="B662" s="16" t="n">
        <x:v>46197</x:v>
      </x:c>
      <x:c r="C662" t="str">
        <x:v>Client 08</x:v>
      </x:c>
      <x:c r="D662" t="str">
        <x:v>Logistique</x:v>
      </x:c>
      <x:c r="E662" t="str">
        <x:v>Pôle A</x:v>
      </x:c>
      <x:c r="F662" s="18" t="n">
        <x:v>2649.76</x:v>
      </x:c>
      <x:c r="G662" s="18" t="n">
        <x:v>2649.76</x:v>
      </x:c>
      <x:c r="H662" t="str">
        <x:v>Client 16</x:v>
      </x:c>
      <x:c r="I662" s="16" t="n">
        <x:v>46198</x:v>
      </x:c>
    </x:row>
    <x:row r="663">
      <x:c r="A663" t="str">
        <x:v>DV-2024-00662</x:v>
      </x:c>
      <x:c r="B663" s="16" t="n">
        <x:v>45500</x:v>
      </x:c>
      <x:c r="C663" t="str">
        <x:v>Client 33</x:v>
      </x:c>
      <x:c r="D663" t="str">
        <x:v>Logistique</x:v>
      </x:c>
      <x:c r="E663" t="str">
        <x:v>Pôle D</x:v>
      </x:c>
      <x:c r="F663" s="18" t="n">
        <x:v>21406.89</x:v>
      </x:c>
      <x:c r="G663" s="18" t="n">
        <x:v>21406.89</x:v>
      </x:c>
      <x:c r="H663" t="str">
        <x:v>Client 33</x:v>
      </x:c>
      <x:c r="I663" s="16" t="n">
        <x:v>45517</x:v>
      </x:c>
    </x:row>
    <x:row r="664">
      <x:c r="A664" t="str">
        <x:v>DV-2024-00663</x:v>
      </x:c>
      <x:c r="B664" s="16" t="n">
        <x:v>45364</x:v>
      </x:c>
      <x:c r="C664" t="str">
        <x:v>Client 22</x:v>
      </x:c>
      <x:c r="D664" t="str">
        <x:v>Douane</x:v>
      </x:c>
      <x:c r="E664" t="str">
        <x:v>Pôle B</x:v>
      </x:c>
      <x:c r="F664" s="18" t="n">
        <x:v>22090.58</x:v>
      </x:c>
      <x:c r="G664" s="18" t="n">
        <x:v>22090.58</x:v>
      </x:c>
      <x:c r="H664" t="str">
        <x:v>Client 26</x:v>
      </x:c>
      <x:c r="I664" s="16" t="n">
        <x:v>45386</x:v>
      </x:c>
    </x:row>
    <x:row r="665">
      <x:c r="A665" t="str">
        <x:v>DV-2025-00664</x:v>
      </x:c>
      <x:c r="B665" s="16" t="n">
        <x:v>45662</x:v>
      </x:c>
      <x:c r="C665" t="str">
        <x:v>Client 15</x:v>
      </x:c>
      <x:c r="D665" t="str">
        <x:v>Logistique</x:v>
      </x:c>
      <x:c r="E665" t="str">
        <x:v>Pôle B</x:v>
      </x:c>
      <x:c r="F665" s="18" t="n">
        <x:v>16872.78</x:v>
      </x:c>
      <x:c r="G665" s="18" t="n">
        <x:v>2762.61</x:v>
      </x:c>
      <x:c r="H665" t="str">
        <x:v>Client 15</x:v>
      </x:c>
      <x:c r="I665" s="16" t="n">
        <x:v>45711</x:v>
      </x:c>
    </x:row>
    <x:row r="666">
      <x:c r="A666" t="str">
        <x:v>DV-2025-00665</x:v>
      </x:c>
      <x:c r="B666" s="16" t="n">
        <x:v>45815</x:v>
      </x:c>
      <x:c r="C666" t="str">
        <x:v>Client 23</x:v>
      </x:c>
      <x:c r="D666" t="str">
        <x:v>Logistique</x:v>
      </x:c>
      <x:c r="E666" t="str">
        <x:v>Pôle B</x:v>
      </x:c>
      <x:c r="F666" s="18" t="n">
        <x:v>1948.03</x:v>
      </x:c>
      <x:c r="G666" s="18" t="n">
        <x:v>1948.03</x:v>
      </x:c>
      <x:c r="H666" t="str">
        <x:v>Client 23</x:v>
      </x:c>
      <x:c r="I666" s="16" t="n">
        <x:v>45845</x:v>
      </x:c>
    </x:row>
    <x:row r="667">
      <x:c r="A667" t="str">
        <x:v>DV-2024-00666</x:v>
      </x:c>
      <x:c r="B667" s="16" t="n">
        <x:v>45607</x:v>
      </x:c>
      <x:c r="C667" t="str">
        <x:v>Client 08</x:v>
      </x:c>
      <x:c r="D667" t="str">
        <x:v>Fret maritime</x:v>
      </x:c>
      <x:c r="E667" t="str">
        <x:v>Pôle B</x:v>
      </x:c>
      <x:c r="F667" s="18" t="n">
        <x:v>8238.91</x:v>
      </x:c>
      <x:c r="G667" s="18" t="n">
        <x:v>0</x:v>
      </x:c>
      <x:c r="H667" t="str">
        <x:v>Client 08</x:v>
      </x:c>
      <x:c r="I667" s="16"/>
    </x:row>
    <x:row r="668">
      <x:c r="A668" t="str">
        <x:v>DV-2025-00667</x:v>
      </x:c>
      <x:c r="B668" s="16" t="n">
        <x:v>45888</x:v>
      </x:c>
      <x:c r="C668" t="str">
        <x:v>Client 13</x:v>
      </x:c>
      <x:c r="D668" t="str">
        <x:v>Fret maritime</x:v>
      </x:c>
      <x:c r="E668" t="str">
        <x:v>Pôle A</x:v>
      </x:c>
      <x:c r="F668" s="18" t="n">
        <x:v>9550.32</x:v>
      </x:c>
      <x:c r="G668" s="18" t="n">
        <x:v>9550.32</x:v>
      </x:c>
      <x:c r="H668" t="str">
        <x:v>Client 34</x:v>
      </x:c>
      <x:c r="I668" s="16" t="n">
        <x:v>45901</x:v>
      </x:c>
    </x:row>
    <x:row r="669">
      <x:c r="A669" t="str">
        <x:v>DV-2025-00668</x:v>
      </x:c>
      <x:c r="B669" s="16" t="n">
        <x:v>45772</x:v>
      </x:c>
      <x:c r="C669" t="str">
        <x:v>Client 44</x:v>
      </x:c>
      <x:c r="D669" t="str">
        <x:v>Logistique</x:v>
      </x:c>
      <x:c r="E669" t="str">
        <x:v>Pôle C</x:v>
      </x:c>
      <x:c r="F669" s="18" t="n">
        <x:v>14740.76</x:v>
      </x:c>
      <x:c r="G669" s="18" t="n">
        <x:v>2347.06</x:v>
      </x:c>
      <x:c r="H669" t="str">
        <x:v>Client 44</x:v>
      </x:c>
      <x:c r="I669" s="16" t="n">
        <x:v>45835</x:v>
      </x:c>
    </x:row>
    <x:row r="670">
      <x:c r="A670" t="str">
        <x:v>DV-2025-00669</x:v>
      </x:c>
      <x:c r="B670" s="16" t="n">
        <x:v>45817</x:v>
      </x:c>
      <x:c r="C670" t="str">
        <x:v>Client 35</x:v>
      </x:c>
      <x:c r="D670" t="str">
        <x:v>Express</x:v>
      </x:c>
      <x:c r="E670" t="str">
        <x:v>Pôle D</x:v>
      </x:c>
      <x:c r="F670" s="18" t="n">
        <x:v>12551.94</x:v>
      </x:c>
      <x:c r="G670" s="18" t="n">
        <x:v>0</x:v>
      </x:c>
      <x:c r="H670" t="str">
        <x:v>Client 35</x:v>
      </x:c>
      <x:c r="I670" s="16"/>
    </x:row>
    <x:row r="671">
      <x:c r="A671" t="str">
        <x:v>DV-2024-00670</x:v>
      </x:c>
      <x:c r="B671" s="16" t="n">
        <x:v>45487</x:v>
      </x:c>
      <x:c r="C671" t="str">
        <x:v>Client 42</x:v>
      </x:c>
      <x:c r="D671" t="str">
        <x:v>Logistique</x:v>
      </x:c>
      <x:c r="E671" t="str">
        <x:v>Pôle B</x:v>
      </x:c>
      <x:c r="F671" s="18" t="n">
        <x:v>10379.66</x:v>
      </x:c>
      <x:c r="G671" s="18" t="n">
        <x:v>3173.05</x:v>
      </x:c>
      <x:c r="H671" t="str">
        <x:v>Client 42</x:v>
      </x:c>
      <x:c r="I671" s="16" t="n">
        <x:v>45564</x:v>
      </x:c>
    </x:row>
    <x:row r="672">
      <x:c r="A672" t="str">
        <x:v>DV-2025-00671</x:v>
      </x:c>
      <x:c r="B672" s="16" t="n">
        <x:v>45739</x:v>
      </x:c>
      <x:c r="C672" t="str">
        <x:v>Client 45</x:v>
      </x:c>
      <x:c r="D672" t="str">
        <x:v>Logistique</x:v>
      </x:c>
      <x:c r="E672" t="str">
        <x:v>Pôle C</x:v>
      </x:c>
      <x:c r="F672" s="18" t="n">
        <x:v>1761.36</x:v>
      </x:c>
      <x:c r="G672" s="18" t="n">
        <x:v>688.71</x:v>
      </x:c>
      <x:c r="H672" t="str">
        <x:v>Client 45</x:v>
      </x:c>
      <x:c r="I672" s="16" t="n">
        <x:v>45747</x:v>
      </x:c>
    </x:row>
    <x:row r="673">
      <x:c r="A673" t="str">
        <x:v>DV-2025-00672</x:v>
      </x:c>
      <x:c r="B673" s="16" t="n">
        <x:v>45738</x:v>
      </x:c>
      <x:c r="C673" t="str">
        <x:v>Client 19</x:v>
      </x:c>
      <x:c r="D673" t="str">
        <x:v>Fret maritime</x:v>
      </x:c>
      <x:c r="E673" t="str">
        <x:v>Pôle E</x:v>
      </x:c>
      <x:c r="F673" s="18" t="n">
        <x:v>7305.53</x:v>
      </x:c>
      <x:c r="G673" s="18" t="n">
        <x:v>7305.53</x:v>
      </x:c>
      <x:c r="H673" t="str">
        <x:v>Client 19</x:v>
      </x:c>
      <x:c r="I673" s="16" t="n">
        <x:v>45828</x:v>
      </x:c>
    </x:row>
    <x:row r="674">
      <x:c r="A674" t="str">
        <x:v>DV-2025-00673</x:v>
      </x:c>
      <x:c r="B674" s="16" t="n">
        <x:v>46011</x:v>
      </x:c>
      <x:c r="C674" t="str">
        <x:v>Client 46</x:v>
      </x:c>
      <x:c r="D674" t="str">
        <x:v>Fret aérien</x:v>
      </x:c>
      <x:c r="E674" t="str">
        <x:v>Pôle B</x:v>
      </x:c>
      <x:c r="F674" s="18" t="n">
        <x:v>23302.25</x:v>
      </x:c>
      <x:c r="G674" s="18" t="n">
        <x:v>23302.25</x:v>
      </x:c>
      <x:c r="H674" t="str">
        <x:v>Client 46</x:v>
      </x:c>
      <x:c r="I674" s="16" t="n">
        <x:v>46098</x:v>
      </x:c>
    </x:row>
    <x:row r="675">
      <x:c r="A675" t="str">
        <x:v>DV-2024-00674</x:v>
      </x:c>
      <x:c r="B675" s="16" t="n">
        <x:v>45596</x:v>
      </x:c>
      <x:c r="C675" t="str">
        <x:v>Client 15</x:v>
      </x:c>
      <x:c r="D675" t="str">
        <x:v>Fret maritime</x:v>
      </x:c>
      <x:c r="E675" t="str">
        <x:v>Pôle A</x:v>
      </x:c>
      <x:c r="F675" s="18" t="n">
        <x:v>11331.17</x:v>
      </x:c>
      <x:c r="G675" s="18" t="n">
        <x:v>11331.17</x:v>
      </x:c>
      <x:c r="H675" t="str">
        <x:v>Client 15</x:v>
      </x:c>
      <x:c r="I675" s="16" t="n">
        <x:v>45597</x:v>
      </x:c>
    </x:row>
    <x:row r="676">
      <x:c r="A676" t="str">
        <x:v>DV-2025-00675</x:v>
      </x:c>
      <x:c r="B676" s="16" t="n">
        <x:v>45907</x:v>
      </x:c>
      <x:c r="C676" t="str">
        <x:v>Client 12</x:v>
      </x:c>
      <x:c r="D676" t="str">
        <x:v>Fret aérien</x:v>
      </x:c>
      <x:c r="E676" t="str">
        <x:v>Pôle A</x:v>
      </x:c>
      <x:c r="F676" s="18" t="n">
        <x:v>3677.1</x:v>
      </x:c>
      <x:c r="G676" s="18" t="n">
        <x:v>3677.1</x:v>
      </x:c>
      <x:c r="H676" t="str">
        <x:v>Client 12</x:v>
      </x:c>
      <x:c r="I676" s="16" t="n">
        <x:v>45937</x:v>
      </x:c>
    </x:row>
    <x:row r="677">
      <x:c r="A677" t="str">
        <x:v>DV-2025-00676</x:v>
      </x:c>
      <x:c r="B677" s="16" t="n">
        <x:v>45955</x:v>
      </x:c>
      <x:c r="C677" t="str">
        <x:v>Client 31</x:v>
      </x:c>
      <x:c r="D677" t="str">
        <x:v>Logistique</x:v>
      </x:c>
      <x:c r="E677" t="str">
        <x:v>Pôle C</x:v>
      </x:c>
      <x:c r="F677" s="18" t="n">
        <x:v>14585.84</x:v>
      </x:c>
      <x:c r="G677" s="18" t="n">
        <x:v>14585.84</x:v>
      </x:c>
      <x:c r="H677" t="str">
        <x:v>Client 31</x:v>
      </x:c>
      <x:c r="I677" s="16" t="n">
        <x:v>45964</x:v>
      </x:c>
    </x:row>
    <x:row r="678">
      <x:c r="A678" t="str">
        <x:v>DV-2025-00677</x:v>
      </x:c>
      <x:c r="B678" s="16" t="n">
        <x:v>45777</x:v>
      </x:c>
      <x:c r="C678" t="str">
        <x:v>Client 05</x:v>
      </x:c>
      <x:c r="D678" t="str">
        <x:v>Fret aérien</x:v>
      </x:c>
      <x:c r="E678" t="str">
        <x:v>Pôle A</x:v>
      </x:c>
      <x:c r="F678" s="18" t="n">
        <x:v>5554.78</x:v>
      </x:c>
      <x:c r="G678" s="18" t="n">
        <x:v>4374.42</x:v>
      </x:c>
      <x:c r="H678" t="str">
        <x:v>Client 36</x:v>
      </x:c>
      <x:c r="I678" s="16" t="n">
        <x:v>45832</x:v>
      </x:c>
    </x:row>
    <x:row r="679">
      <x:c r="A679" t="str">
        <x:v>DV-2024-00678</x:v>
      </x:c>
      <x:c r="B679" s="16" t="n">
        <x:v>45439</x:v>
      </x:c>
      <x:c r="C679" t="str">
        <x:v>Client 36</x:v>
      </x:c>
      <x:c r="D679" t="str">
        <x:v>Douane</x:v>
      </x:c>
      <x:c r="E679" t="str">
        <x:v>Pôle D</x:v>
      </x:c>
      <x:c r="F679" s="18" t="n">
        <x:v>1541.98</x:v>
      </x:c>
      <x:c r="G679" s="18" t="n">
        <x:v>1541.98</x:v>
      </x:c>
      <x:c r="H679" t="str">
        <x:v>Client 36</x:v>
      </x:c>
      <x:c r="I679" s="16" t="n">
        <x:v>45529</x:v>
      </x:c>
    </x:row>
    <x:row r="680">
      <x:c r="A680" t="str">
        <x:v>DV-2025-00679</x:v>
      </x:c>
      <x:c r="B680" s="16" t="n">
        <x:v>45950</x:v>
      </x:c>
      <x:c r="C680" t="str">
        <x:v>Client 07</x:v>
      </x:c>
      <x:c r="D680" t="str">
        <x:v>Fret aérien</x:v>
      </x:c>
      <x:c r="E680" t="str">
        <x:v>Pôle D</x:v>
      </x:c>
      <x:c r="F680" s="18" t="n">
        <x:v>13743.73</x:v>
      </x:c>
      <x:c r="G680" s="18" t="n">
        <x:v>13743.73</x:v>
      </x:c>
      <x:c r="H680" t="str">
        <x:v>Client 07</x:v>
      </x:c>
      <x:c r="I680" s="16" t="n">
        <x:v>45969</x:v>
      </x:c>
    </x:row>
    <x:row r="681">
      <x:c r="A681" t="str">
        <x:v>DV-2026-00680</x:v>
      </x:c>
      <x:c r="B681" s="16" t="n">
        <x:v>46198</x:v>
      </x:c>
      <x:c r="C681" t="str">
        <x:v>Client 33</x:v>
      </x:c>
      <x:c r="D681" t="str">
        <x:v>Douane</x:v>
      </x:c>
      <x:c r="E681" t="str">
        <x:v>Pôle E</x:v>
      </x:c>
      <x:c r="F681" s="18" t="n">
        <x:v>2045.25</x:v>
      </x:c>
      <x:c r="G681" s="18" t="n">
        <x:v>2045.25</x:v>
      </x:c>
      <x:c r="H681" t="str">
        <x:v>Client 33</x:v>
      </x:c>
      <x:c r="I681" s="16" t="n">
        <x:v>46254</x:v>
      </x:c>
    </x:row>
    <x:row r="682">
      <x:c r="A682" t="str">
        <x:v>DV-2026-00681</x:v>
      </x:c>
      <x:c r="B682" s="16" t="n">
        <x:v>46129</x:v>
      </x:c>
      <x:c r="C682" t="str">
        <x:v>Client 49</x:v>
      </x:c>
      <x:c r="D682" t="str">
        <x:v>Fret maritime</x:v>
      </x:c>
      <x:c r="E682" t="str">
        <x:v>Pôle B</x:v>
      </x:c>
      <x:c r="F682" s="18" t="n">
        <x:v>17481.5</x:v>
      </x:c>
      <x:c r="G682" s="18" t="n">
        <x:v>17481.5</x:v>
      </x:c>
      <x:c r="H682" t="str">
        <x:v>Client 49</x:v>
      </x:c>
      <x:c r="I682" s="16" t="n">
        <x:v>46167</x:v>
      </x:c>
    </x:row>
    <x:row r="683">
      <x:c r="A683" t="str">
        <x:v>DV-2025-00682</x:v>
      </x:c>
      <x:c r="B683" s="16" t="n">
        <x:v>45917</x:v>
      </x:c>
      <x:c r="C683" t="str">
        <x:v>Client 40</x:v>
      </x:c>
      <x:c r="D683" t="str">
        <x:v>Douane</x:v>
      </x:c>
      <x:c r="E683" t="str">
        <x:v>Pôle E</x:v>
      </x:c>
      <x:c r="F683" s="18" t="n">
        <x:v>13164.79</x:v>
      </x:c>
      <x:c r="G683" s="18" t="n">
        <x:v>13164.79</x:v>
      </x:c>
      <x:c r="H683" t="str">
        <x:v>Client 40</x:v>
      </x:c>
      <x:c r="I683" s="16" t="n">
        <x:v>46004</x:v>
      </x:c>
    </x:row>
    <x:row r="684">
      <x:c r="A684" t="str">
        <x:v>DV-2025-00683</x:v>
      </x:c>
      <x:c r="B684" s="16" t="n">
        <x:v>45963</x:v>
      </x:c>
      <x:c r="C684" t="str">
        <x:v>Client 15</x:v>
      </x:c>
      <x:c r="D684" t="str">
        <x:v>Fret aérien</x:v>
      </x:c>
      <x:c r="E684" t="str">
        <x:v>Pôle B</x:v>
      </x:c>
      <x:c r="F684" s="18" t="n">
        <x:v>3580.52</x:v>
      </x:c>
      <x:c r="G684" s="18" t="n">
        <x:v>0</x:v>
      </x:c>
      <x:c r="H684" t="str">
        <x:v>Client 27</x:v>
      </x:c>
      <x:c r="I684" s="16"/>
    </x:row>
    <x:row r="685">
      <x:c r="A685" t="str">
        <x:v>DV-2024-00684</x:v>
      </x:c>
      <x:c r="B685" s="16" t="n">
        <x:v>45517</x:v>
      </x:c>
      <x:c r="C685" t="str">
        <x:v>Client 01</x:v>
      </x:c>
      <x:c r="D685" t="str">
        <x:v>Fret maritime</x:v>
      </x:c>
      <x:c r="E685" t="str">
        <x:v>Pôle E</x:v>
      </x:c>
      <x:c r="F685" s="18" t="n">
        <x:v>20736.87</x:v>
      </x:c>
      <x:c r="G685" s="18" t="n">
        <x:v>15220.74</x:v>
      </x:c>
      <x:c r="H685" t="str">
        <x:v>Client 01</x:v>
      </x:c>
      <x:c r="I685" s="16" t="n">
        <x:v>45571</x:v>
      </x:c>
    </x:row>
    <x:row r="686">
      <x:c r="A686" t="str">
        <x:v>DV-2024-00685</x:v>
      </x:c>
      <x:c r="B686" s="16" t="n">
        <x:v>45345</x:v>
      </x:c>
      <x:c r="C686" t="str">
        <x:v>Client 06</x:v>
      </x:c>
      <x:c r="D686" t="str">
        <x:v>Logistique</x:v>
      </x:c>
      <x:c r="E686" t="str">
        <x:v>Pôle D</x:v>
      </x:c>
      <x:c r="F686" s="18" t="n">
        <x:v>13955.03</x:v>
      </x:c>
      <x:c r="G686" s="18" t="n">
        <x:v>13955.03</x:v>
      </x:c>
      <x:c r="H686" t="str">
        <x:v>Client 06</x:v>
      </x:c>
      <x:c r="I686" s="16" t="n">
        <x:v>45419</x:v>
      </x:c>
    </x:row>
    <x:row r="687">
      <x:c r="A687" t="str">
        <x:v>DV-2025-00686</x:v>
      </x:c>
      <x:c r="B687" s="16" t="n">
        <x:v>45882</x:v>
      </x:c>
      <x:c r="C687" t="str">
        <x:v>Client 25 </x:v>
      </x:c>
      <x:c r="D687" t="str">
        <x:v>Express</x:v>
      </x:c>
      <x:c r="E687" t="str">
        <x:v>Pôle A</x:v>
      </x:c>
      <x:c r="F687" s="18" t="n">
        <x:v>13633.21</x:v>
      </x:c>
      <x:c r="G687" s="18" t="n">
        <x:v>13633.21</x:v>
      </x:c>
      <x:c r="H687" t="str">
        <x:v>Client 25</x:v>
      </x:c>
      <x:c r="I687" s="16" t="n">
        <x:v>45892</x:v>
      </x:c>
    </x:row>
    <x:row r="688">
      <x:c r="A688" t="str">
        <x:v>DV-2026-00687</x:v>
      </x:c>
      <x:c r="B688" s="16" t="n">
        <x:v>46263</x:v>
      </x:c>
      <x:c r="C688" t="str">
        <x:v>Client 10</x:v>
      </x:c>
      <x:c r="D688" t="str">
        <x:v>Douane</x:v>
      </x:c>
      <x:c r="E688" t="str">
        <x:v>Pôle B</x:v>
      </x:c>
      <x:c r="F688" s="18" t="n">
        <x:v>17864.39</x:v>
      </x:c>
      <x:c r="G688" s="18" t="n">
        <x:v>17864.39</x:v>
      </x:c>
      <x:c r="H688" t="str">
        <x:v>Client 10</x:v>
      </x:c>
      <x:c r="I688" s="16" t="n">
        <x:v>46354</x:v>
      </x:c>
    </x:row>
    <x:row r="689">
      <x:c r="A689" t="str">
        <x:v>DV-2024-00688</x:v>
      </x:c>
      <x:c r="B689" s="16" t="n">
        <x:v>45343</x:v>
      </x:c>
      <x:c r="C689" t="str">
        <x:v>Client 33</x:v>
      </x:c>
      <x:c r="D689" t="str">
        <x:v>Douane</x:v>
      </x:c>
      <x:c r="E689" t="str">
        <x:v>Pôle C</x:v>
      </x:c>
      <x:c r="F689" s="18" t="n">
        <x:v>23311.1</x:v>
      </x:c>
      <x:c r="G689" s="18" t="n">
        <x:v>23311.1</x:v>
      </x:c>
      <x:c r="H689" t="str">
        <x:v>Client 11</x:v>
      </x:c>
      <x:c r="I689" s="16" t="n">
        <x:v>45382</x:v>
      </x:c>
    </x:row>
    <x:row r="690">
      <x:c r="A690" t="str">
        <x:v>DV-2024-00689</x:v>
      </x:c>
      <x:c r="B690" s="16" t="n">
        <x:v>45373</x:v>
      </x:c>
      <x:c r="C690" t="str">
        <x:v>Client 49</x:v>
      </x:c>
      <x:c r="D690" t="str">
        <x:v>Fret maritime</x:v>
      </x:c>
      <x:c r="E690" t="str">
        <x:v>Pôle D</x:v>
      </x:c>
      <x:c r="F690" s="18" t="n">
        <x:v>21141.4</x:v>
      </x:c>
      <x:c r="G690" s="18" t="n">
        <x:v>21141.4</x:v>
      </x:c>
      <x:c r="H690" t="str">
        <x:v>Client 49</x:v>
      </x:c>
      <x:c r="I690" s="16" t="n">
        <x:v>45459</x:v>
      </x:c>
    </x:row>
    <x:row r="691">
      <x:c r="A691" t="str">
        <x:v>DV-2024-00690</x:v>
      </x:c>
      <x:c r="B691" s="16" t="n">
        <x:v>45452</x:v>
      </x:c>
      <x:c r="C691" t="str">
        <x:v>Client 34</x:v>
      </x:c>
      <x:c r="D691" t="str">
        <x:v>Fret aérien</x:v>
      </x:c>
      <x:c r="E691" t="str">
        <x:v>Pôle A</x:v>
      </x:c>
      <x:c r="F691" s="18" t="n">
        <x:v>3603.44</x:v>
      </x:c>
      <x:c r="G691" s="18" t="n">
        <x:v>3603.44</x:v>
      </x:c>
      <x:c r="H691" t="str">
        <x:v>Client 34</x:v>
      </x:c>
      <x:c r="I691" s="16" t="n">
        <x:v>45479</x:v>
      </x:c>
    </x:row>
    <x:row r="692">
      <x:c r="A692" t="str">
        <x:v>DV-2025-00691</x:v>
      </x:c>
      <x:c r="B692" s="16" t="n">
        <x:v>45978</x:v>
      </x:c>
      <x:c r="C692" t="str">
        <x:v>Client 50</x:v>
      </x:c>
      <x:c r="D692" t="str">
        <x:v>Douane</x:v>
      </x:c>
      <x:c r="E692" t="str">
        <x:v>Pôle D</x:v>
      </x:c>
      <x:c r="F692" s="18" t="n">
        <x:v>22461.51</x:v>
      </x:c>
      <x:c r="G692" s="18" t="n">
        <x:v>22461.51</x:v>
      </x:c>
      <x:c r="H692" t="str">
        <x:v>Client 50</x:v>
      </x:c>
      <x:c r="I692" s="16" t="n">
        <x:v>46042</x:v>
      </x:c>
    </x:row>
    <x:row r="693">
      <x:c r="A693" t="str">
        <x:v>DV-2025-00692</x:v>
      </x:c>
      <x:c r="B693" s="16" t="n">
        <x:v>45983</x:v>
      </x:c>
      <x:c r="C693" t="str">
        <x:v>Client 12</x:v>
      </x:c>
      <x:c r="D693" t="str">
        <x:v>Fret maritime</x:v>
      </x:c>
      <x:c r="E693" t="str">
        <x:v>Pôle C</x:v>
      </x:c>
      <x:c r="F693" s="18" t="n">
        <x:v>13916.37</x:v>
      </x:c>
      <x:c r="G693" s="18" t="n">
        <x:v>9567.02</x:v>
      </x:c>
      <x:c r="H693" t="str">
        <x:v>Client 12</x:v>
      </x:c>
      <x:c r="I693" s="16" t="n">
        <x:v>46046</x:v>
      </x:c>
    </x:row>
    <x:row r="694">
      <x:c r="A694" t="str">
        <x:v>DV-2024-00693</x:v>
      </x:c>
      <x:c r="B694" s="16" t="n">
        <x:v>45460</x:v>
      </x:c>
      <x:c r="C694" t="str">
        <x:v>Client 40</x:v>
      </x:c>
      <x:c r="D694" t="str">
        <x:v>Fret aérien</x:v>
      </x:c>
      <x:c r="E694" t="str">
        <x:v>Pôle B</x:v>
      </x:c>
      <x:c r="F694" s="18" t="n">
        <x:v>16472.53</x:v>
      </x:c>
      <x:c r="G694" s="18" t="n">
        <x:v>0</x:v>
      </x:c>
      <x:c r="H694" t="str">
        <x:v>Client 40</x:v>
      </x:c>
      <x:c r="I694" s="16"/>
    </x:row>
    <x:row r="695">
      <x:c r="A695" t="str">
        <x:v>DV-2025-00694</x:v>
      </x:c>
      <x:c r="B695" s="16" t="n">
        <x:v>45914</x:v>
      </x:c>
      <x:c r="C695" t="str">
        <x:v>Client 03</x:v>
      </x:c>
      <x:c r="D695" t="str">
        <x:v>Fret maritime</x:v>
      </x:c>
      <x:c r="E695" t="str">
        <x:v>Pôle D</x:v>
      </x:c>
      <x:c r="F695" s="18" t="n">
        <x:v>5714.18</x:v>
      </x:c>
      <x:c r="G695" s="18" t="n">
        <x:v>5714.18</x:v>
      </x:c>
      <x:c r="H695" t="str">
        <x:v>Client 03</x:v>
      </x:c>
      <x:c r="I695" s="16" t="n">
        <x:v>45926</x:v>
      </x:c>
    </x:row>
    <x:row r="696">
      <x:c r="A696" t="str">
        <x:v>DV-2026-00695</x:v>
      </x:c>
      <x:c r="B696" s="16" t="n">
        <x:v>46233</x:v>
      </x:c>
      <x:c r="C696" t="str">
        <x:v>Client 05</x:v>
      </x:c>
      <x:c r="D696" t="str">
        <x:v>Douane</x:v>
      </x:c>
      <x:c r="E696" t="str">
        <x:v>Pôle D</x:v>
      </x:c>
      <x:c r="F696" s="18" t="n">
        <x:v>17568.01</x:v>
      </x:c>
      <x:c r="G696" s="18" t="n">
        <x:v>17568.01</x:v>
      </x:c>
      <x:c r="H696" t="str">
        <x:v>Client 05</x:v>
      </x:c>
      <x:c r="I696" s="16" t="n">
        <x:v>46265</x:v>
      </x:c>
    </x:row>
    <x:row r="697">
      <x:c r="A697" t="str">
        <x:v>DV-2025-00696</x:v>
      </x:c>
      <x:c r="B697" s="16" t="n">
        <x:v>45781</x:v>
      </x:c>
      <x:c r="C697" t="str">
        <x:v>Client 36</x:v>
      </x:c>
      <x:c r="D697" t="str">
        <x:v>Douane</x:v>
      </x:c>
      <x:c r="E697" t="str">
        <x:v>Pôle E</x:v>
      </x:c>
      <x:c r="F697" s="18" t="n">
        <x:v>24135.46</x:v>
      </x:c>
      <x:c r="G697" s="18" t="n">
        <x:v>24135.46</x:v>
      </x:c>
      <x:c r="H697" t="str">
        <x:v>Client 36</x:v>
      </x:c>
      <x:c r="I697" s="16" t="n">
        <x:v>45794</x:v>
      </x:c>
    </x:row>
    <x:row r="698">
      <x:c r="A698" t="str">
        <x:v>DV-2026-00697</x:v>
      </x:c>
      <x:c r="B698" s="16" t="n">
        <x:v>46150</x:v>
      </x:c>
      <x:c r="C698" t="str">
        <x:v>Client 44</x:v>
      </x:c>
      <x:c r="D698" t="str">
        <x:v>Logistique</x:v>
      </x:c>
      <x:c r="E698" t="str">
        <x:v>Pôle A</x:v>
      </x:c>
      <x:c r="F698" s="18" t="n">
        <x:v>17861.11</x:v>
      </x:c>
      <x:c r="G698" s="18" t="n">
        <x:v>17861.11</x:v>
      </x:c>
      <x:c r="H698" t="str">
        <x:v>Client 22</x:v>
      </x:c>
      <x:c r="I698" s="16" t="n">
        <x:v>46236</x:v>
      </x:c>
    </x:row>
    <x:row r="699">
      <x:c r="A699" t="str">
        <x:v>DV-2026-00698</x:v>
      </x:c>
      <x:c r="B699" s="16" t="n">
        <x:v>46153</x:v>
      </x:c>
      <x:c r="C699" t="str">
        <x:v>Client 45</x:v>
      </x:c>
      <x:c r="D699" t="str">
        <x:v>Express</x:v>
      </x:c>
      <x:c r="E699" t="str">
        <x:v>Pôle E</x:v>
      </x:c>
      <x:c r="F699" s="18" t="n">
        <x:v>7533.77</x:v>
      </x:c>
      <x:c r="G699" s="18" t="n">
        <x:v>2753.83</x:v>
      </x:c>
      <x:c r="H699" t="str">
        <x:v>Client 29</x:v>
      </x:c>
      <x:c r="I699" s="16" t="n">
        <x:v>46203</x:v>
      </x:c>
    </x:row>
    <x:row r="700">
      <x:c r="A700" t="str">
        <x:v>DV-2024-00699</x:v>
      </x:c>
      <x:c r="B700" s="16" t="n">
        <x:v>45520</x:v>
      </x:c>
      <x:c r="C700" t="str">
        <x:v>Client 15</x:v>
      </x:c>
      <x:c r="D700" t="str">
        <x:v>Fret maritime</x:v>
      </x:c>
      <x:c r="E700" t="str">
        <x:v>Pôle D</x:v>
      </x:c>
      <x:c r="F700" s="18" t="n">
        <x:v>3352.76</x:v>
      </x:c>
      <x:c r="G700" s="18" t="n">
        <x:v>3352.76</x:v>
      </x:c>
      <x:c r="H700" t="str">
        <x:v>Client 15</x:v>
      </x:c>
      <x:c r="I700" s="16" t="n">
        <x:v>45526</x:v>
      </x:c>
    </x:row>
    <x:row r="701">
      <x:c r="A701" t="str">
        <x:v>DV-2025-00700</x:v>
      </x:c>
      <x:c r="B701" s="16" t="n">
        <x:v>45925</x:v>
      </x:c>
      <x:c r="C701" t="str">
        <x:v>Client 46</x:v>
      </x:c>
      <x:c r="D701" t="str">
        <x:v>Logistique</x:v>
      </x:c>
      <x:c r="E701" t="str">
        <x:v>Pôle C</x:v>
      </x:c>
      <x:c r="F701" s="18" t="n">
        <x:v>11388.68</x:v>
      </x:c>
      <x:c r="G701" s="18" t="n">
        <x:v>11388.68</x:v>
      </x:c>
      <x:c r="H701" t="str">
        <x:v>Client 46</x:v>
      </x:c>
      <x:c r="I701" s="16" t="n">
        <x:v>45954</x:v>
      </x:c>
    </x:row>
    <x:row r="702">
      <x:c r="A702" t="str">
        <x:v>DV-2026-00701</x:v>
      </x:c>
      <x:c r="B702" s="16" t="n">
        <x:v>46257</x:v>
      </x:c>
      <x:c r="C702" t="str">
        <x:v>Client 16</x:v>
      </x:c>
      <x:c r="D702" t="str">
        <x:v>Express</x:v>
      </x:c>
      <x:c r="E702" t="str">
        <x:v>Pôle B</x:v>
      </x:c>
      <x:c r="F702" s="18" t="n">
        <x:v>23034.75</x:v>
      </x:c>
      <x:c r="G702" s="18" t="n">
        <x:v>23034.75</x:v>
      </x:c>
      <x:c r="H702" t="str">
        <x:v>Client 16</x:v>
      </x:c>
      <x:c r="I702" s="16" t="n">
        <x:v>46281</x:v>
      </x:c>
    </x:row>
    <x:row r="703">
      <x:c r="A703" t="str">
        <x:v>DV-2025-00702</x:v>
      </x:c>
      <x:c r="B703" s="16" t="n">
        <x:v>45983</x:v>
      </x:c>
      <x:c r="C703" t="str">
        <x:v>Client 11</x:v>
      </x:c>
      <x:c r="D703" t="str">
        <x:v>Logistique</x:v>
      </x:c>
      <x:c r="E703" t="str">
        <x:v>Pôle A</x:v>
      </x:c>
      <x:c r="F703" s="18" t="n">
        <x:v>9200.08</x:v>
      </x:c>
      <x:c r="G703" s="18" t="n">
        <x:v>9200.08</x:v>
      </x:c>
      <x:c r="H703" t="str">
        <x:v>Client 11</x:v>
      </x:c>
      <x:c r="I703" s="16" t="n">
        <x:v>46026</x:v>
      </x:c>
    </x:row>
    <x:row r="704">
      <x:c r="A704" t="str">
        <x:v>DV-2026-00703</x:v>
      </x:c>
      <x:c r="B704" s="16" t="n">
        <x:v>46110</x:v>
      </x:c>
      <x:c r="C704" t="str">
        <x:v>Client 41</x:v>
      </x:c>
      <x:c r="D704" t="str">
        <x:v>Fret maritime</x:v>
      </x:c>
      <x:c r="E704" t="str">
        <x:v>Pôle C</x:v>
      </x:c>
      <x:c r="F704" s="18" t="n">
        <x:v>2414</x:v>
      </x:c>
      <x:c r="G704" s="18" t="n">
        <x:v>2414</x:v>
      </x:c>
      <x:c r="H704" t="str">
        <x:v>Client 41</x:v>
      </x:c>
      <x:c r="I704" s="16" t="n">
        <x:v>46205</x:v>
      </x:c>
    </x:row>
    <x:row r="705">
      <x:c r="A705" t="str">
        <x:v>DV-2024-00704</x:v>
      </x:c>
      <x:c r="B705" s="16" t="n">
        <x:v>45419</x:v>
      </x:c>
      <x:c r="C705" t="str">
        <x:v>Client 08</x:v>
      </x:c>
      <x:c r="D705" t="str">
        <x:v>Douane</x:v>
      </x:c>
      <x:c r="E705" t="str">
        <x:v>Pôle C</x:v>
      </x:c>
      <x:c r="F705" s="18" t="n">
        <x:v>14154.37</x:v>
      </x:c>
      <x:c r="G705" s="18" t="n">
        <x:v>11954.41</x:v>
      </x:c>
      <x:c r="H705" t="str">
        <x:v>Client 08</x:v>
      </x:c>
      <x:c r="I705" s="16" t="n">
        <x:v>45422</x:v>
      </x:c>
    </x:row>
    <x:row r="706">
      <x:c r="A706" t="str">
        <x:v>DV-2026-00705</x:v>
      </x:c>
      <x:c r="B706" s="16" t="n">
        <x:v>46218</x:v>
      </x:c>
      <x:c r="C706" t="str">
        <x:v>Client 16</x:v>
      </x:c>
      <x:c r="D706" t="str">
        <x:v>Douane</x:v>
      </x:c>
      <x:c r="E706" t="str">
        <x:v>Pôle B</x:v>
      </x:c>
      <x:c r="F706" s="18" t="n">
        <x:v>19600.75</x:v>
      </x:c>
      <x:c r="G706" s="18" t="n">
        <x:v>8620.73</x:v>
      </x:c>
      <x:c r="H706" t="str">
        <x:v>Client 16</x:v>
      </x:c>
      <x:c r="I706" s="16" t="n">
        <x:v>46292</x:v>
      </x:c>
    </x:row>
    <x:row r="707">
      <x:c r="A707" t="str">
        <x:v>DV-2026-00706</x:v>
      </x:c>
      <x:c r="B707" s="16" t="n">
        <x:v>46097</x:v>
      </x:c>
      <x:c r="C707" t="str">
        <x:v>Client 06</x:v>
      </x:c>
      <x:c r="D707" t="str">
        <x:v>Douane</x:v>
      </x:c>
      <x:c r="E707" t="str">
        <x:v>Pôle B</x:v>
      </x:c>
      <x:c r="F707" s="18" t="n">
        <x:v>14647.02</x:v>
      </x:c>
      <x:c r="G707" s="18" t="n">
        <x:v>14647.02</x:v>
      </x:c>
      <x:c r="H707" t="str">
        <x:v>Client 06</x:v>
      </x:c>
      <x:c r="I707" s="16" t="n">
        <x:v>46114</x:v>
      </x:c>
    </x:row>
    <x:row r="708">
      <x:c r="A708" t="str">
        <x:v>DV-2024-00707</x:v>
      </x:c>
      <x:c r="B708" s="16" t="n">
        <x:v>45306</x:v>
      </x:c>
      <x:c r="C708" t="str">
        <x:v>Client 50</x:v>
      </x:c>
      <x:c r="D708" t="str">
        <x:v>Fret aérien</x:v>
      </x:c>
      <x:c r="E708" t="str">
        <x:v>Pôle A</x:v>
      </x:c>
      <x:c r="F708" s="18" t="n">
        <x:v>20318.93</x:v>
      </x:c>
      <x:c r="G708" s="18" t="n">
        <x:v>20318.93</x:v>
      </x:c>
      <x:c r="H708" t="str">
        <x:v>Client 50</x:v>
      </x:c>
      <x:c r="I708" s="16" t="n">
        <x:v>45326</x:v>
      </x:c>
    </x:row>
    <x:row r="709">
      <x:c r="A709" t="str">
        <x:v>DV-2026-00708</x:v>
      </x:c>
      <x:c r="B709" s="16" t="n">
        <x:v>46272</x:v>
      </x:c>
      <x:c r="C709" t="str">
        <x:v>Client 30</x:v>
      </x:c>
      <x:c r="D709" t="str">
        <x:v>Express</x:v>
      </x:c>
      <x:c r="E709" t="str">
        <x:v>Pôle D</x:v>
      </x:c>
      <x:c r="F709" s="18" t="n">
        <x:v>22526.02</x:v>
      </x:c>
      <x:c r="G709" s="18" t="n">
        <x:v>0</x:v>
      </x:c>
      <x:c r="H709" t="str">
        <x:v>Client 30</x:v>
      </x:c>
      <x:c r="I709" s="16"/>
    </x:row>
    <x:row r="710">
      <x:c r="A710" t="str">
        <x:v>DV-2024-00709</x:v>
      </x:c>
      <x:c r="B710" s="16" t="n">
        <x:v>45408</x:v>
      </x:c>
      <x:c r="C710" t="str">
        <x:v>Client 19</x:v>
      </x:c>
      <x:c r="D710" t="str">
        <x:v>Fret aérien</x:v>
      </x:c>
      <x:c r="E710" t="str">
        <x:v>Pôle C</x:v>
      </x:c>
      <x:c r="F710" s="18" t="n">
        <x:v>15122.29</x:v>
      </x:c>
      <x:c r="G710" s="18" t="n">
        <x:v>15122.29</x:v>
      </x:c>
      <x:c r="H710" t="str">
        <x:v>Client 19</x:v>
      </x:c>
      <x:c r="I710" s="16" t="n">
        <x:v>45434</x:v>
      </x:c>
    </x:row>
    <x:row r="711">
      <x:c r="A711" t="str">
        <x:v>DV-2025-00710</x:v>
      </x:c>
      <x:c r="B711" s="16" t="n">
        <x:v>45929</x:v>
      </x:c>
      <x:c r="C711" t="str">
        <x:v>Client 06</x:v>
      </x:c>
      <x:c r="D711" t="str">
        <x:v>Express</x:v>
      </x:c>
      <x:c r="E711" t="str">
        <x:v>Pôle D</x:v>
      </x:c>
      <x:c r="F711" s="18" t="n">
        <x:v>16325.41</x:v>
      </x:c>
      <x:c r="G711" s="18" t="n">
        <x:v>16325.41</x:v>
      </x:c>
      <x:c r="H711" t="str">
        <x:v>Client 06</x:v>
      </x:c>
      <x:c r="I711" s="16" t="n">
        <x:v>46001</x:v>
      </x:c>
    </x:row>
    <x:row r="712">
      <x:c r="A712" t="str">
        <x:v>DV-2026-00711</x:v>
      </x:c>
      <x:c r="B712" s="16" t="n">
        <x:v>46269</x:v>
      </x:c>
      <x:c r="C712" t="str">
        <x:v>Client 14</x:v>
      </x:c>
      <x:c r="D712" t="str">
        <x:v>Fret aérien</x:v>
      </x:c>
      <x:c r="E712" t="str">
        <x:v>Pôle C</x:v>
      </x:c>
      <x:c r="F712" s="18" t="n">
        <x:v>24822.4</x:v>
      </x:c>
      <x:c r="G712" s="18" t="n">
        <x:v>24822.4</x:v>
      </x:c>
      <x:c r="H712" t="str">
        <x:v>Client 14</x:v>
      </x:c>
      <x:c r="I712" s="16" t="n">
        <x:v>46323</x:v>
      </x:c>
    </x:row>
    <x:row r="713">
      <x:c r="A713" t="str">
        <x:v>DV-2024-00712</x:v>
      </x:c>
      <x:c r="B713" s="16" t="n">
        <x:v>45413</x:v>
      </x:c>
      <x:c r="C713" t="str">
        <x:v>Client 25</x:v>
      </x:c>
      <x:c r="D713" t="str">
        <x:v>Douane</x:v>
      </x:c>
      <x:c r="E713" t="str">
        <x:v>Pôle B</x:v>
      </x:c>
      <x:c r="F713" s="18" t="n">
        <x:v>10440.12</x:v>
      </x:c>
      <x:c r="G713" s="18" t="n">
        <x:v>10440.12</x:v>
      </x:c>
      <x:c r="H713" t="str">
        <x:v>Client 25</x:v>
      </x:c>
      <x:c r="I713" s="16" t="n">
        <x:v>45451</x:v>
      </x:c>
    </x:row>
    <x:row r="714">
      <x:c r="A714" t="str">
        <x:v>DV-2026-00713</x:v>
      </x:c>
      <x:c r="B714" s="16" t="n">
        <x:v>46255</x:v>
      </x:c>
      <x:c r="C714" t="str">
        <x:v>Client 31</x:v>
      </x:c>
      <x:c r="D714" t="str">
        <x:v>Fret maritime</x:v>
      </x:c>
      <x:c r="E714" t="str">
        <x:v>Pôle D</x:v>
      </x:c>
      <x:c r="F714" s="18" t="n">
        <x:v>3739.39</x:v>
      </x:c>
      <x:c r="G714" s="18" t="n">
        <x:v>1175.65</x:v>
      </x:c>
      <x:c r="H714" t="str">
        <x:v>Client 31</x:v>
      </x:c>
      <x:c r="I714" s="16" t="n">
        <x:v>46291</x:v>
      </x:c>
    </x:row>
    <x:row r="715">
      <x:c r="A715" t="str">
        <x:v>DV-2026-00714</x:v>
      </x:c>
      <x:c r="B715" s="16" t="n">
        <x:v>46068</x:v>
      </x:c>
      <x:c r="C715" t="str">
        <x:v>Client 26</x:v>
      </x:c>
      <x:c r="D715" t="str">
        <x:v>Douane</x:v>
      </x:c>
      <x:c r="E715" t="str">
        <x:v>Pôle B</x:v>
      </x:c>
      <x:c r="F715" s="18" t="n">
        <x:v>11543.41</x:v>
      </x:c>
      <x:c r="G715" s="18" t="n">
        <x:v>0</x:v>
      </x:c>
      <x:c r="H715" t="str">
        <x:v>Client 26</x:v>
      </x:c>
      <x:c r="I715" s="16"/>
    </x:row>
    <x:row r="716">
      <x:c r="A716" t="str">
        <x:v>DV-2025-00715</x:v>
      </x:c>
      <x:c r="B716" s="16" t="n">
        <x:v>45732</x:v>
      </x:c>
      <x:c r="C716" t="str">
        <x:v>Client 24</x:v>
      </x:c>
      <x:c r="D716" t="str">
        <x:v>Logistique</x:v>
      </x:c>
      <x:c r="E716" t="str">
        <x:v>Pôle B</x:v>
      </x:c>
      <x:c r="F716" s="18" t="n">
        <x:v>6551.31</x:v>
      </x:c>
      <x:c r="G716" s="18" t="n">
        <x:v>6551.31</x:v>
      </x:c>
      <x:c r="H716" t="str">
        <x:v>Client 24</x:v>
      </x:c>
      <x:c r="I716" s="16" t="n">
        <x:v>45737</x:v>
      </x:c>
    </x:row>
    <x:row r="717">
      <x:c r="A717" t="str">
        <x:v>DV-2026-00716</x:v>
      </x:c>
      <x:c r="B717" s="16" t="n">
        <x:v>46041</x:v>
      </x:c>
      <x:c r="C717" t="str">
        <x:v>Client 42</x:v>
      </x:c>
      <x:c r="D717" t="str">
        <x:v>Logistique</x:v>
      </x:c>
      <x:c r="E717" t="str">
        <x:v>Pôle A</x:v>
      </x:c>
      <x:c r="F717" s="18" t="n">
        <x:v>6884.02</x:v>
      </x:c>
      <x:c r="G717" s="18" t="n">
        <x:v>6884.02</x:v>
      </x:c>
      <x:c r="H717" t="str">
        <x:v>Client 42</x:v>
      </x:c>
      <x:c r="I717" s="16" t="n">
        <x:v>46127</x:v>
      </x:c>
    </x:row>
    <x:row r="718">
      <x:c r="A718" t="str">
        <x:v>DV-2026-00717</x:v>
      </x:c>
      <x:c r="B718" s="16" t="n">
        <x:v>46248</x:v>
      </x:c>
      <x:c r="C718" t="str">
        <x:v>Client 25</x:v>
      </x:c>
      <x:c r="D718" t="str">
        <x:v>Fret aérien</x:v>
      </x:c>
      <x:c r="E718" t="str">
        <x:v>Pôle B</x:v>
      </x:c>
      <x:c r="F718" s="18" t="n">
        <x:v>2402.93</x:v>
      </x:c>
      <x:c r="G718" s="18" t="n">
        <x:v>2402.93</x:v>
      </x:c>
      <x:c r="H718" t="str">
        <x:v>Client 25</x:v>
      </x:c>
      <x:c r="I718" s="16" t="n">
        <x:v>46255</x:v>
      </x:c>
    </x:row>
    <x:row r="719">
      <x:c r="A719" t="str">
        <x:v>DV-2026-00718</x:v>
      </x:c>
      <x:c r="B719" s="16" t="n">
        <x:v>46197</x:v>
      </x:c>
      <x:c r="C719" t="str">
        <x:v>Client 25</x:v>
      </x:c>
      <x:c r="D719" t="str">
        <x:v>Logistique</x:v>
      </x:c>
      <x:c r="E719" t="str">
        <x:v>Pôle E</x:v>
      </x:c>
      <x:c r="F719" s="18" t="n">
        <x:v>22427.24</x:v>
      </x:c>
      <x:c r="G719" s="18" t="n">
        <x:v>4745.55</x:v>
      </x:c>
      <x:c r="H719" t="str">
        <x:v>Client 25</x:v>
      </x:c>
      <x:c r="I719" s="16" t="n">
        <x:v>46246</x:v>
      </x:c>
    </x:row>
    <x:row r="720">
      <x:c r="A720" t="str">
        <x:v>DV-2025-00719</x:v>
      </x:c>
      <x:c r="B720" s="16" t="n">
        <x:v>45998</x:v>
      </x:c>
      <x:c r="C720" t="str">
        <x:v>Client 21</x:v>
      </x:c>
      <x:c r="D720" t="str">
        <x:v>Douane</x:v>
      </x:c>
      <x:c r="E720" t="str">
        <x:v>Pôle D</x:v>
      </x:c>
      <x:c r="F720" s="18" t="n">
        <x:v>13695.48</x:v>
      </x:c>
      <x:c r="G720" s="18" t="n">
        <x:v>2244.26</x:v>
      </x:c>
      <x:c r="H720" t="str">
        <x:v>Client 21</x:v>
      </x:c>
      <x:c r="I720" s="16" t="n">
        <x:v>46072</x:v>
      </x:c>
    </x:row>
    <x:row r="721">
      <x:c r="A721" t="str">
        <x:v>DV-2026-00720</x:v>
      </x:c>
      <x:c r="B721" s="16" t="n">
        <x:v>46109</x:v>
      </x:c>
      <x:c r="C721" t="str">
        <x:v>Client 18</x:v>
      </x:c>
      <x:c r="D721" t="str">
        <x:v>Express</x:v>
      </x:c>
      <x:c r="E721" t="str">
        <x:v>Pôle B</x:v>
      </x:c>
      <x:c r="F721" s="18" t="n">
        <x:v>19930.61</x:v>
      </x:c>
      <x:c r="G721" s="18" t="n">
        <x:v>19930.61</x:v>
      </x:c>
      <x:c r="H721" t="str">
        <x:v>Client 18</x:v>
      </x:c>
      <x:c r="I721" s="16" t="n">
        <x:v>46137</x:v>
      </x:c>
    </x:row>
    <x:row r="722">
      <x:c r="A722" t="str">
        <x:v>DV-2025-00721</x:v>
      </x:c>
      <x:c r="B722" s="16" t="n">
        <x:v>45726</x:v>
      </x:c>
      <x:c r="C722" t="str">
        <x:v>Client 11</x:v>
      </x:c>
      <x:c r="D722" t="str">
        <x:v>Fret aérien</x:v>
      </x:c>
      <x:c r="E722" t="str">
        <x:v>Pôle D</x:v>
      </x:c>
      <x:c r="F722" s="18" t="n">
        <x:v>12989.37</x:v>
      </x:c>
      <x:c r="G722" s="18" t="n">
        <x:v>12989.37</x:v>
      </x:c>
      <x:c r="H722" t="str">
        <x:v>Client 11</x:v>
      </x:c>
      <x:c r="I722" s="16" t="n">
        <x:v>45790</x:v>
      </x:c>
    </x:row>
    <x:row r="723">
      <x:c r="A723" t="str">
        <x:v>DV-2024-00722</x:v>
      </x:c>
      <x:c r="B723" s="16" t="n">
        <x:v>45570</x:v>
      </x:c>
      <x:c r="C723" t="str">
        <x:v>Client 17</x:v>
      </x:c>
      <x:c r="D723" t="str">
        <x:v>Douane</x:v>
      </x:c>
      <x:c r="E723" t="str">
        <x:v>Pôle C</x:v>
      </x:c>
      <x:c r="F723" s="18" t="n">
        <x:v>14738.69</x:v>
      </x:c>
      <x:c r="G723" s="18" t="n">
        <x:v>10986.07</x:v>
      </x:c>
      <x:c r="H723" t="str">
        <x:v>Client 17</x:v>
      </x:c>
      <x:c r="I723" s="16" t="n">
        <x:v>45637</x:v>
      </x:c>
    </x:row>
    <x:row r="724">
      <x:c r="A724" t="str">
        <x:v>DV-2026-00723</x:v>
      </x:c>
      <x:c r="B724" s="16" t="n">
        <x:v>46180</x:v>
      </x:c>
      <x:c r="C724" t="str">
        <x:v>Client 39</x:v>
      </x:c>
      <x:c r="D724" t="str">
        <x:v>Fret maritime</x:v>
      </x:c>
      <x:c r="E724" t="str">
        <x:v>Pôle D</x:v>
      </x:c>
      <x:c r="F724" s="18" t="n">
        <x:v>22832.77</x:v>
      </x:c>
      <x:c r="G724" s="18" t="n">
        <x:v>13271.83</x:v>
      </x:c>
      <x:c r="H724" t="str">
        <x:v>Client 39</x:v>
      </x:c>
      <x:c r="I724" s="16" t="n">
        <x:v>46270</x:v>
      </x:c>
    </x:row>
    <x:row r="725">
      <x:c r="A725" t="str">
        <x:v>DV-2026-00724</x:v>
      </x:c>
      <x:c r="B725" s="16" t="n">
        <x:v>46235</x:v>
      </x:c>
      <x:c r="C725" t="str">
        <x:v>Client 32</x:v>
      </x:c>
      <x:c r="D725" t="str">
        <x:v>Express</x:v>
      </x:c>
      <x:c r="E725" t="str">
        <x:v>Pôle B</x:v>
      </x:c>
      <x:c r="F725" s="18" t="n">
        <x:v>13148.61</x:v>
      </x:c>
      <x:c r="G725" s="18" t="n">
        <x:v>13148.61</x:v>
      </x:c>
      <x:c r="H725" t="str">
        <x:v>Client 32</x:v>
      </x:c>
      <x:c r="I725" s="16" t="n">
        <x:v>46293</x:v>
      </x:c>
    </x:row>
    <x:row r="726">
      <x:c r="A726" t="str">
        <x:v>DV-2024-00725</x:v>
      </x:c>
      <x:c r="B726" s="16" t="n">
        <x:v>45654</x:v>
      </x:c>
      <x:c r="C726" t="str">
        <x:v>Client 45</x:v>
      </x:c>
      <x:c r="D726" t="str">
        <x:v>Douane</x:v>
      </x:c>
      <x:c r="E726" t="str">
        <x:v>Pôle B</x:v>
      </x:c>
      <x:c r="F726" s="18" t="n">
        <x:v>23890.19</x:v>
      </x:c>
      <x:c r="G726" s="18" t="n">
        <x:v>4129.41</x:v>
      </x:c>
      <x:c r="H726" t="str">
        <x:v>Client 45</x:v>
      </x:c>
      <x:c r="I726" s="16" t="n">
        <x:v>45691</x:v>
      </x:c>
    </x:row>
    <x:row r="727">
      <x:c r="A727" t="str">
        <x:v>DV-2024-00726</x:v>
      </x:c>
      <x:c r="B727" s="16" t="n">
        <x:v>45626</x:v>
      </x:c>
      <x:c r="C727" t="str">
        <x:v>Client 16</x:v>
      </x:c>
      <x:c r="D727" t="str">
        <x:v>Express</x:v>
      </x:c>
      <x:c r="E727" t="str">
        <x:v>Pôle A</x:v>
      </x:c>
      <x:c r="F727" s="18" t="n">
        <x:v>13720.5</x:v>
      </x:c>
      <x:c r="G727" s="18" t="n">
        <x:v>9227.29</x:v>
      </x:c>
      <x:c r="H727" t="str">
        <x:v>Client 34</x:v>
      </x:c>
      <x:c r="I727" s="16" t="n">
        <x:v>45627</x:v>
      </x:c>
    </x:row>
    <x:row r="728">
      <x:c r="A728" t="str">
        <x:v>DV-2026-00727</x:v>
      </x:c>
      <x:c r="B728" s="16" t="n">
        <x:v>46100</x:v>
      </x:c>
      <x:c r="C728" t="str">
        <x:v>Client 35</x:v>
      </x:c>
      <x:c r="D728" t="str">
        <x:v>Fret aérien</x:v>
      </x:c>
      <x:c r="E728" t="str">
        <x:v>Pôle E</x:v>
      </x:c>
      <x:c r="F728" s="18" t="n">
        <x:v>8922.73</x:v>
      </x:c>
      <x:c r="G728" s="18" t="n">
        <x:v>6611.57</x:v>
      </x:c>
      <x:c r="H728" t="str">
        <x:v>Client 35</x:v>
      </x:c>
      <x:c r="I728" s="16" t="n">
        <x:v>46105</x:v>
      </x:c>
    </x:row>
    <x:row r="729">
      <x:c r="A729" t="str">
        <x:v>DV-2026-00728</x:v>
      </x:c>
      <x:c r="B729" s="16" t="n">
        <x:v>46058</x:v>
      </x:c>
      <x:c r="C729" t="str">
        <x:v>Client 42</x:v>
      </x:c>
      <x:c r="D729" t="str">
        <x:v>Fret maritime</x:v>
      </x:c>
      <x:c r="E729" t="str">
        <x:v>Pôle D</x:v>
      </x:c>
      <x:c r="F729" s="18" t="n">
        <x:v>23234.73</x:v>
      </x:c>
      <x:c r="G729" s="18" t="n">
        <x:v>23234.73</x:v>
      </x:c>
      <x:c r="H729" t="str">
        <x:v>Client 42</x:v>
      </x:c>
      <x:c r="I729" s="16" t="n">
        <x:v>46141</x:v>
      </x:c>
    </x:row>
    <x:row r="730">
      <x:c r="A730" t="str">
        <x:v>DV-2024-00729</x:v>
      </x:c>
      <x:c r="B730" s="16" t="n">
        <x:v>45533</x:v>
      </x:c>
      <x:c r="C730" t="str">
        <x:v>Client 17</x:v>
      </x:c>
      <x:c r="D730" t="str">
        <x:v>Express</x:v>
      </x:c>
      <x:c r="E730" t="str">
        <x:v>Pôle E</x:v>
      </x:c>
      <x:c r="F730" s="18" t="n">
        <x:v>3257.57</x:v>
      </x:c>
      <x:c r="G730" s="18" t="n">
        <x:v>2533.51</x:v>
      </x:c>
      <x:c r="H730" t="str">
        <x:v>Client 17</x:v>
      </x:c>
      <x:c r="I730" s="16" t="n">
        <x:v>45603</x:v>
      </x:c>
    </x:row>
    <x:row r="731">
      <x:c r="A731" t="str">
        <x:v>DV-2026-00730</x:v>
      </x:c>
      <x:c r="B731" s="16" t="n">
        <x:v>46217</x:v>
      </x:c>
      <x:c r="C731" t="str">
        <x:v>Client 25</x:v>
      </x:c>
      <x:c r="D731" t="str">
        <x:v>Fret maritime</x:v>
      </x:c>
      <x:c r="E731" t="str">
        <x:v>Pôle C</x:v>
      </x:c>
      <x:c r="F731" s="18" t="n">
        <x:v>15190.81</x:v>
      </x:c>
      <x:c r="G731" s="18" t="n">
        <x:v>3083.22</x:v>
      </x:c>
      <x:c r="H731" t="str">
        <x:v>Client 25</x:v>
      </x:c>
      <x:c r="I731" s="16" t="n">
        <x:v>46240</x:v>
      </x:c>
    </x:row>
    <x:row r="732">
      <x:c r="A732" t="str">
        <x:v>DV-2025-00731</x:v>
      </x:c>
      <x:c r="B732" s="16" t="n">
        <x:v>45916</x:v>
      </x:c>
      <x:c r="C732" t="str">
        <x:v>Client 18</x:v>
      </x:c>
      <x:c r="D732" t="str">
        <x:v>Express</x:v>
      </x:c>
      <x:c r="E732" t="str">
        <x:v>Pôle B</x:v>
      </x:c>
      <x:c r="F732" s="18" t="n">
        <x:v>22128.22</x:v>
      </x:c>
      <x:c r="G732" s="18" t="n">
        <x:v>22128.22</x:v>
      </x:c>
      <x:c r="H732" t="str">
        <x:v>Client 18</x:v>
      </x:c>
      <x:c r="I732" s="16" t="n">
        <x:v>45927</x:v>
      </x:c>
    </x:row>
    <x:row r="733">
      <x:c r="A733" t="str">
        <x:v>DV-2024-00732</x:v>
      </x:c>
      <x:c r="B733" s="16" t="n">
        <x:v>45632</x:v>
      </x:c>
      <x:c r="C733" t="str">
        <x:v>Client 29</x:v>
      </x:c>
      <x:c r="D733" t="str">
        <x:v>Douane</x:v>
      </x:c>
      <x:c r="E733" t="str">
        <x:v>Pôle C</x:v>
      </x:c>
      <x:c r="F733" s="18" t="n">
        <x:v>5724.78</x:v>
      </x:c>
      <x:c r="G733" s="18" t="n">
        <x:v>0</x:v>
      </x:c>
      <x:c r="H733" t="str">
        <x:v>Client 29</x:v>
      </x:c>
      <x:c r="I733" s="16"/>
    </x:row>
    <x:row r="734">
      <x:c r="A734" t="str">
        <x:v>DV-2026-00733</x:v>
      </x:c>
      <x:c r="B734" s="16" t="n">
        <x:v>46043</x:v>
      </x:c>
      <x:c r="C734" t="str">
        <x:v>Client 26</x:v>
      </x:c>
      <x:c r="D734" t="str">
        <x:v>Fret maritime</x:v>
      </x:c>
      <x:c r="E734" t="str">
        <x:v>Pôle D</x:v>
      </x:c>
      <x:c r="F734" s="18" t="n">
        <x:v>426.34</x:v>
      </x:c>
      <x:c r="G734" s="18" t="n">
        <x:v>426.34</x:v>
      </x:c>
      <x:c r="H734" t="str">
        <x:v>Client 26</x:v>
      </x:c>
      <x:c r="I734" s="16" t="n">
        <x:v>46111</x:v>
      </x:c>
    </x:row>
    <x:row r="735">
      <x:c r="A735" t="str">
        <x:v>DV-2025-00734</x:v>
      </x:c>
      <x:c r="B735" s="16" t="n">
        <x:v>45701</x:v>
      </x:c>
      <x:c r="C735" t="str">
        <x:v>Client 30</x:v>
      </x:c>
      <x:c r="D735" t="str">
        <x:v>Logistique</x:v>
      </x:c>
      <x:c r="E735" t="str">
        <x:v>Pôle B</x:v>
      </x:c>
      <x:c r="F735" s="18" t="n">
        <x:v>18492.79</x:v>
      </x:c>
      <x:c r="G735" s="18" t="n">
        <x:v>18492.79</x:v>
      </x:c>
      <x:c r="H735" t="str">
        <x:v>Client 30</x:v>
      </x:c>
      <x:c r="I735" s="16" t="n">
        <x:v>45778</x:v>
      </x:c>
    </x:row>
    <x:row r="736">
      <x:c r="A736" t="str">
        <x:v>DV-2024-00735</x:v>
      </x:c>
      <x:c r="B736" s="16" t="n">
        <x:v>45558</x:v>
      </x:c>
      <x:c r="C736" t="str">
        <x:v>Client 47</x:v>
      </x:c>
      <x:c r="D736" t="str">
        <x:v>Fret aérien</x:v>
      </x:c>
      <x:c r="E736" t="str">
        <x:v>Pôle E</x:v>
      </x:c>
      <x:c r="F736" s="18" t="n">
        <x:v>19998.12</x:v>
      </x:c>
      <x:c r="G736" s="18" t="n">
        <x:v>19998.12</x:v>
      </x:c>
      <x:c r="H736" t="str">
        <x:v>Client 47</x:v>
      </x:c>
      <x:c r="I736" s="16" t="n">
        <x:v>45649</x:v>
      </x:c>
    </x:row>
    <x:row r="737">
      <x:c r="A737" t="str">
        <x:v>DV-2026-00736</x:v>
      </x:c>
      <x:c r="B737" s="16" t="n">
        <x:v>46045</x:v>
      </x:c>
      <x:c r="C737" t="str">
        <x:v>Client 22</x:v>
      </x:c>
      <x:c r="D737" t="str">
        <x:v>Logistique</x:v>
      </x:c>
      <x:c r="E737" t="str">
        <x:v>Pôle A</x:v>
      </x:c>
      <x:c r="F737" s="18" t="n">
        <x:v>807.07</x:v>
      </x:c>
      <x:c r="G737" s="18" t="n">
        <x:v>807.07</x:v>
      </x:c>
      <x:c r="H737" t="str">
        <x:v>Client 22</x:v>
      </x:c>
      <x:c r="I737" s="16" t="n">
        <x:v>46112</x:v>
      </x:c>
    </x:row>
    <x:row r="738">
      <x:c r="A738" t="str">
        <x:v>DV-2026-00737</x:v>
      </x:c>
      <x:c r="B738" s="16" t="n">
        <x:v>46139</x:v>
      </x:c>
      <x:c r="C738" t="str">
        <x:v>Client 09</x:v>
      </x:c>
      <x:c r="D738" t="str">
        <x:v>Logistique</x:v>
      </x:c>
      <x:c r="E738" t="str">
        <x:v>Pôle D</x:v>
      </x:c>
      <x:c r="F738" s="18" t="n">
        <x:v>4662.87</x:v>
      </x:c>
      <x:c r="G738" s="18" t="n">
        <x:v>2360.19</x:v>
      </x:c>
      <x:c r="H738" t="str">
        <x:v>Client 09</x:v>
      </x:c>
      <x:c r="I738" s="16" t="n">
        <x:v>46214</x:v>
      </x:c>
    </x:row>
    <x:row r="739">
      <x:c r="A739" t="str">
        <x:v>DV-2026-00738</x:v>
      </x:c>
      <x:c r="B739" s="16" t="n">
        <x:v>46277</x:v>
      </x:c>
      <x:c r="C739" t="str">
        <x:v>Client 16</x:v>
      </x:c>
      <x:c r="D739" t="str">
        <x:v>Fret aérien</x:v>
      </x:c>
      <x:c r="E739" t="str">
        <x:v>Pôle B</x:v>
      </x:c>
      <x:c r="F739" s="18" t="n">
        <x:v>18676.66</x:v>
      </x:c>
      <x:c r="G739" s="18" t="n">
        <x:v>7448.27</x:v>
      </x:c>
      <x:c r="H739" t="str">
        <x:v>Client 16</x:v>
      </x:c>
      <x:c r="I739" s="16" t="n">
        <x:v>46311</x:v>
      </x:c>
    </x:row>
    <x:row r="740">
      <x:c r="A740" t="str">
        <x:v>DV-2025-00739</x:v>
      </x:c>
      <x:c r="B740" s="16" t="n">
        <x:v>45836</x:v>
      </x:c>
      <x:c r="C740" t="str">
        <x:v>Client 43</x:v>
      </x:c>
      <x:c r="D740" t="str">
        <x:v>Fret maritime</x:v>
      </x:c>
      <x:c r="E740" t="str">
        <x:v>Pôle C</x:v>
      </x:c>
      <x:c r="F740" s="18" t="n">
        <x:v>8111.45</x:v>
      </x:c>
      <x:c r="G740" s="18" t="n">
        <x:v>8111.45</x:v>
      </x:c>
      <x:c r="H740" t="str">
        <x:v>Client 43</x:v>
      </x:c>
      <x:c r="I740" s="16" t="n">
        <x:v>45892</x:v>
      </x:c>
    </x:row>
    <x:row r="741">
      <x:c r="A741" t="str">
        <x:v>DV-2024-00740</x:v>
      </x:c>
      <x:c r="B741" s="16" t="n">
        <x:v>45622</x:v>
      </x:c>
      <x:c r="C741" t="str">
        <x:v>Client 24</x:v>
      </x:c>
      <x:c r="D741" t="str">
        <x:v>Douane</x:v>
      </x:c>
      <x:c r="E741" t="str">
        <x:v>Pôle C</x:v>
      </x:c>
      <x:c r="F741" s="18" t="n">
        <x:v>7017.47</x:v>
      </x:c>
      <x:c r="G741" s="18" t="n">
        <x:v>7017.47</x:v>
      </x:c>
      <x:c r="H741" t="str">
        <x:v>Client 24</x:v>
      </x:c>
      <x:c r="I741" s="16" t="n">
        <x:v>45697</x:v>
      </x:c>
    </x:row>
    <x:row r="742">
      <x:c r="A742" t="str">
        <x:v>DV-2024-00741</x:v>
      </x:c>
      <x:c r="B742" s="16" t="n">
        <x:v>45536</x:v>
      </x:c>
      <x:c r="C742" t="str">
        <x:v>Client 40</x:v>
      </x:c>
      <x:c r="D742" t="str">
        <x:v>Douane</x:v>
      </x:c>
      <x:c r="E742" t="str">
        <x:v>Pôle E</x:v>
      </x:c>
      <x:c r="F742" s="18" t="n">
        <x:v>3875.85</x:v>
      </x:c>
      <x:c r="G742" s="18" t="n">
        <x:v>3875.85</x:v>
      </x:c>
      <x:c r="H742" t="str">
        <x:v>Client 40</x:v>
      </x:c>
      <x:c r="I742" s="16" t="n">
        <x:v>45556</x:v>
      </x:c>
    </x:row>
    <x:row r="743">
      <x:c r="A743" t="str">
        <x:v>DV-2025-00742</x:v>
      </x:c>
      <x:c r="B743" s="16" t="n">
        <x:v>45928</x:v>
      </x:c>
      <x:c r="C743" t="str">
        <x:v>Client 22</x:v>
      </x:c>
      <x:c r="D743" t="str">
        <x:v>Express</x:v>
      </x:c>
      <x:c r="E743" t="str">
        <x:v>Pôle A</x:v>
      </x:c>
      <x:c r="F743" s="18" t="n">
        <x:v>15902.28</x:v>
      </x:c>
      <x:c r="G743" s="18" t="n">
        <x:v>8709.67</x:v>
      </x:c>
      <x:c r="H743" t="str">
        <x:v>Client 22</x:v>
      </x:c>
      <x:c r="I743" s="16" t="n">
        <x:v>45931</x:v>
      </x:c>
    </x:row>
    <x:row r="744">
      <x:c r="A744" t="str">
        <x:v>DV-2025-00743</x:v>
      </x:c>
      <x:c r="B744" s="16" t="n">
        <x:v>45819</x:v>
      </x:c>
      <x:c r="C744" t="str">
        <x:v>Client 27</x:v>
      </x:c>
      <x:c r="D744" t="str">
        <x:v>Express</x:v>
      </x:c>
      <x:c r="E744" t="str">
        <x:v>Pôle A</x:v>
      </x:c>
      <x:c r="F744" s="18" t="n">
        <x:v>22902.55</x:v>
      </x:c>
      <x:c r="G744" s="18" t="n">
        <x:v>8487.67</x:v>
      </x:c>
      <x:c r="H744" t="str">
        <x:v>Client 27</x:v>
      </x:c>
      <x:c r="I744" s="16" t="n">
        <x:v>45891</x:v>
      </x:c>
    </x:row>
    <x:row r="745">
      <x:c r="A745" t="str">
        <x:v>DV-2025-00744</x:v>
      </x:c>
      <x:c r="B745" s="16" t="n">
        <x:v>45945</x:v>
      </x:c>
      <x:c r="C745" t="str">
        <x:v>Client 11</x:v>
      </x:c>
      <x:c r="D745" t="str">
        <x:v>Express</x:v>
      </x:c>
      <x:c r="E745" t="str">
        <x:v>Pôle C</x:v>
      </x:c>
      <x:c r="F745" s="18" t="n">
        <x:v>7104.7</x:v>
      </x:c>
      <x:c r="G745" s="18" t="n">
        <x:v>7104.7</x:v>
      </x:c>
      <x:c r="H745" t="str">
        <x:v>Client 11</x:v>
      </x:c>
      <x:c r="I745" s="16" t="n">
        <x:v>45988</x:v>
      </x:c>
    </x:row>
    <x:row r="746">
      <x:c r="A746" t="str">
        <x:v>DV-2026-00745</x:v>
      </x:c>
      <x:c r="B746" s="16" t="n">
        <x:v>46055</x:v>
      </x:c>
      <x:c r="C746" t="str">
        <x:v>Client 47</x:v>
      </x:c>
      <x:c r="D746" t="str">
        <x:v>Fret maritime</x:v>
      </x:c>
      <x:c r="E746" t="str">
        <x:v>Pôle D</x:v>
      </x:c>
      <x:c r="F746" s="18" t="n">
        <x:v>24365.62</x:v>
      </x:c>
      <x:c r="G746" s="18" t="n">
        <x:v>0</x:v>
      </x:c>
      <x:c r="H746" t="str">
        <x:v>Client 47</x:v>
      </x:c>
      <x:c r="I746" s="16"/>
    </x:row>
    <x:row r="747">
      <x:c r="A747" t="str">
        <x:v>DV-2024-00746</x:v>
      </x:c>
      <x:c r="B747" s="16" t="n">
        <x:v>45342</x:v>
      </x:c>
      <x:c r="C747" t="str">
        <x:v>Client 34</x:v>
      </x:c>
      <x:c r="D747" t="str">
        <x:v>Fret maritime</x:v>
      </x:c>
      <x:c r="E747" t="str">
        <x:v>Pôle D</x:v>
      </x:c>
      <x:c r="F747" s="18" t="n">
        <x:v>18236.71</x:v>
      </x:c>
      <x:c r="G747" s="18" t="n">
        <x:v>0</x:v>
      </x:c>
      <x:c r="H747" t="str">
        <x:v>Client 34</x:v>
      </x:c>
      <x:c r="I747" s="16"/>
    </x:row>
    <x:row r="748">
      <x:c r="A748" t="str">
        <x:v>DV-2025-00747</x:v>
      </x:c>
      <x:c r="B748" s="16" t="n">
        <x:v>45853</x:v>
      </x:c>
      <x:c r="C748" t="str">
        <x:v>Client 12</x:v>
      </x:c>
      <x:c r="D748" t="str">
        <x:v>Express</x:v>
      </x:c>
      <x:c r="E748" t="str">
        <x:v>Pôle D</x:v>
      </x:c>
      <x:c r="F748" s="18" t="n">
        <x:v>22789.93</x:v>
      </x:c>
      <x:c r="G748" s="18" t="n">
        <x:v>22789.93</x:v>
      </x:c>
      <x:c r="H748" t="str">
        <x:v>Client 12</x:v>
      </x:c>
      <x:c r="I748" s="16" t="n">
        <x:v>45879</x:v>
      </x:c>
    </x:row>
    <x:row r="749">
      <x:c r="A749" t="str">
        <x:v>DV-2025-00748</x:v>
      </x:c>
      <x:c r="B749" s="16" t="n">
        <x:v>45884</x:v>
      </x:c>
      <x:c r="C749" t="str">
        <x:v>Client 03</x:v>
      </x:c>
      <x:c r="D749" t="str">
        <x:v>Fret maritime</x:v>
      </x:c>
      <x:c r="E749" t="str">
        <x:v>Pôle D</x:v>
      </x:c>
      <x:c r="F749" s="18" t="n">
        <x:v>5144.07</x:v>
      </x:c>
      <x:c r="G749" s="18" t="n">
        <x:v>5144.07</x:v>
      </x:c>
      <x:c r="H749" t="str">
        <x:v>Client 03</x:v>
      </x:c>
      <x:c r="I749" s="16" t="n">
        <x:v>45895</x:v>
      </x:c>
    </x:row>
    <x:row r="750">
      <x:c r="A750" t="str">
        <x:v>DV-2025-00749</x:v>
      </x:c>
      <x:c r="B750" s="16" t="n">
        <x:v>45777</x:v>
      </x:c>
      <x:c r="C750" t="str">
        <x:v>Client 33</x:v>
      </x:c>
      <x:c r="D750" t="str">
        <x:v>Express</x:v>
      </x:c>
      <x:c r="E750" t="str">
        <x:v>Pôle E</x:v>
      </x:c>
      <x:c r="F750" s="18" t="n">
        <x:v>1239.12</x:v>
      </x:c>
      <x:c r="G750" s="18" t="n">
        <x:v>1239.12</x:v>
      </x:c>
      <x:c r="H750" t="str">
        <x:v>Client 33</x:v>
      </x:c>
      <x:c r="I750" s="16" t="n">
        <x:v>45864</x:v>
      </x:c>
    </x:row>
    <x:row r="751">
      <x:c r="A751" t="str">
        <x:v>DV-2024-00750</x:v>
      </x:c>
      <x:c r="B751" s="16" t="n">
        <x:v>45387</x:v>
      </x:c>
      <x:c r="C751" t="str">
        <x:v>Client 17</x:v>
      </x:c>
      <x:c r="D751" t="str">
        <x:v>Douane</x:v>
      </x:c>
      <x:c r="E751" t="str">
        <x:v>Pôle E</x:v>
      </x:c>
      <x:c r="F751" s="18" t="n">
        <x:v>21604.65</x:v>
      </x:c>
      <x:c r="G751" s="18" t="n">
        <x:v>21604.65</x:v>
      </x:c>
      <x:c r="H751" t="str">
        <x:v>Client 11</x:v>
      </x:c>
      <x:c r="I751" s="16" t="n">
        <x:v>45430</x:v>
      </x:c>
    </x:row>
    <x:row r="752">
      <x:c r="A752" t="str">
        <x:v>DV-2024-00751</x:v>
      </x:c>
      <x:c r="B752" s="16" t="n">
        <x:v>45356</x:v>
      </x:c>
      <x:c r="C752" t="str">
        <x:v>Client 07</x:v>
      </x:c>
      <x:c r="D752" t="str">
        <x:v>Fret maritime</x:v>
      </x:c>
      <x:c r="E752" t="str">
        <x:v>Pôle A</x:v>
      </x:c>
      <x:c r="F752" s="18" t="n">
        <x:v>20710.54</x:v>
      </x:c>
      <x:c r="G752" s="18" t="n">
        <x:v>20710.54</x:v>
      </x:c>
      <x:c r="H752" t="str">
        <x:v>Client 11</x:v>
      </x:c>
      <x:c r="I752" s="16" t="n">
        <x:v>45374</x:v>
      </x:c>
    </x:row>
    <x:row r="753">
      <x:c r="A753" t="str">
        <x:v>DV-2024-00752</x:v>
      </x:c>
      <x:c r="B753" s="16" t="n">
        <x:v>45518</x:v>
      </x:c>
      <x:c r="C753" t="str">
        <x:v>Client 43</x:v>
      </x:c>
      <x:c r="D753" t="str">
        <x:v>Fret maritime</x:v>
      </x:c>
      <x:c r="E753" t="str">
        <x:v>Pôle B</x:v>
      </x:c>
      <x:c r="F753" s="18" t="n">
        <x:v>23338.82</x:v>
      </x:c>
      <x:c r="G753" s="18" t="n">
        <x:v>23338.82</x:v>
      </x:c>
      <x:c r="H753" t="str">
        <x:v>Client 43</x:v>
      </x:c>
      <x:c r="I753" s="16" t="n">
        <x:v>45590</x:v>
      </x:c>
    </x:row>
    <x:row r="754">
      <x:c r="A754" t="str">
        <x:v>DV-2025-00753</x:v>
      </x:c>
      <x:c r="B754" s="16" t="n">
        <x:v>45871</x:v>
      </x:c>
      <x:c r="C754" t="str">
        <x:v>Client 21</x:v>
      </x:c>
      <x:c r="D754" t="str">
        <x:v>Logistique</x:v>
      </x:c>
      <x:c r="E754" t="str">
        <x:v>Pôle C</x:v>
      </x:c>
      <x:c r="F754" s="18" t="n">
        <x:v>7011.42</x:v>
      </x:c>
      <x:c r="G754" s="18" t="n">
        <x:v>7011.42</x:v>
      </x:c>
      <x:c r="H754" t="str">
        <x:v>Client 35</x:v>
      </x:c>
      <x:c r="I754" s="16" t="n">
        <x:v>45927</x:v>
      </x:c>
    </x:row>
    <x:row r="755">
      <x:c r="A755" t="str">
        <x:v>DV-2026-00754</x:v>
      </x:c>
      <x:c r="B755" s="16" t="n">
        <x:v>46089</x:v>
      </x:c>
      <x:c r="C755" t="str">
        <x:v>Client 45</x:v>
      </x:c>
      <x:c r="D755" t="str">
        <x:v>Logistique</x:v>
      </x:c>
      <x:c r="E755" t="str">
        <x:v>Pôle B</x:v>
      </x:c>
      <x:c r="F755" s="18" t="n">
        <x:v>9113.98</x:v>
      </x:c>
      <x:c r="G755" s="18" t="n">
        <x:v>9113.98</x:v>
      </x:c>
      <x:c r="H755" t="str">
        <x:v>Client 16</x:v>
      </x:c>
      <x:c r="I755" s="16" t="n">
        <x:v>46152</x:v>
      </x:c>
    </x:row>
    <x:row r="756">
      <x:c r="A756" t="str">
        <x:v>DV-2024-00755</x:v>
      </x:c>
      <x:c r="B756" s="16" t="n">
        <x:v>45465</x:v>
      </x:c>
      <x:c r="C756" t="str">
        <x:v>Client 28</x:v>
      </x:c>
      <x:c r="D756" t="str">
        <x:v>Logistique</x:v>
      </x:c>
      <x:c r="E756" t="str">
        <x:v>Pôle B</x:v>
      </x:c>
      <x:c r="F756" s="18" t="n">
        <x:v>3618.95</x:v>
      </x:c>
      <x:c r="G756" s="18" t="n">
        <x:v>3618.95</x:v>
      </x:c>
      <x:c r="H756" t="str">
        <x:v>Client 28</x:v>
      </x:c>
      <x:c r="I756" s="16" t="n">
        <x:v>45554</x:v>
      </x:c>
    </x:row>
    <x:row r="757">
      <x:c r="A757" t="str">
        <x:v>DV-2024-00756</x:v>
      </x:c>
      <x:c r="B757" s="16" t="n">
        <x:v>45543</x:v>
      </x:c>
      <x:c r="C757" t="str">
        <x:v>Client 20</x:v>
      </x:c>
      <x:c r="D757" t="str">
        <x:v>Logistique</x:v>
      </x:c>
      <x:c r="E757" t="str">
        <x:v>Pôle C</x:v>
      </x:c>
      <x:c r="F757" s="18" t="n">
        <x:v>18940.68</x:v>
      </x:c>
      <x:c r="G757" s="18" t="n">
        <x:v>18940.68</x:v>
      </x:c>
      <x:c r="H757" t="str">
        <x:v>Client 20</x:v>
      </x:c>
      <x:c r="I757" s="16" t="n">
        <x:v>45546</x:v>
      </x:c>
    </x:row>
    <x:row r="758">
      <x:c r="A758" t="str">
        <x:v>DV-2025-00757</x:v>
      </x:c>
      <x:c r="B758" s="16" t="n">
        <x:v>45802</x:v>
      </x:c>
      <x:c r="C758" t="str">
        <x:v>Client 02</x:v>
      </x:c>
      <x:c r="D758" t="str">
        <x:v>Logistique</x:v>
      </x:c>
      <x:c r="E758" t="str">
        <x:v>Pôle E</x:v>
      </x:c>
      <x:c r="F758" s="18" t="n">
        <x:v>12165.3</x:v>
      </x:c>
      <x:c r="G758" s="18" t="n">
        <x:v>12165.3</x:v>
      </x:c>
      <x:c r="H758" t="str">
        <x:v>Client 02</x:v>
      </x:c>
      <x:c r="I758" s="16" t="n">
        <x:v>45804</x:v>
      </x:c>
    </x:row>
    <x:row r="759">
      <x:c r="A759" t="str">
        <x:v>DV-2024-00758</x:v>
      </x:c>
      <x:c r="B759" s="16" t="n">
        <x:v>45504</x:v>
      </x:c>
      <x:c r="C759" t="str">
        <x:v>Client 01</x:v>
      </x:c>
      <x:c r="D759" t="str">
        <x:v>Fret maritime</x:v>
      </x:c>
      <x:c r="E759" t="str">
        <x:v>Pôle E</x:v>
      </x:c>
      <x:c r="F759" s="18" t="n">
        <x:v>20496.63</x:v>
      </x:c>
      <x:c r="G759" s="18" t="n">
        <x:v>14808.67</x:v>
      </x:c>
      <x:c r="H759" t="str">
        <x:v>Client 01</x:v>
      </x:c>
      <x:c r="I759" s="16" t="n">
        <x:v>45523</x:v>
      </x:c>
    </x:row>
    <x:row r="760">
      <x:c r="A760" t="str">
        <x:v>DV-2025-00759</x:v>
      </x:c>
      <x:c r="B760" s="16" t="n">
        <x:v>45884</x:v>
      </x:c>
      <x:c r="C760" t="str">
        <x:v>Client 34</x:v>
      </x:c>
      <x:c r="D760" t="str">
        <x:v>Douane</x:v>
      </x:c>
      <x:c r="E760" t="str">
        <x:v>Pôle C</x:v>
      </x:c>
      <x:c r="F760" s="18" t="n">
        <x:v>3121.93</x:v>
      </x:c>
      <x:c r="G760" s="18" t="n">
        <x:v>3121.93</x:v>
      </x:c>
      <x:c r="H760" t="str">
        <x:v>Client 34</x:v>
      </x:c>
      <x:c r="I760" s="16" t="n">
        <x:v>45936</x:v>
      </x:c>
    </x:row>
    <x:row r="761">
      <x:c r="A761" t="str">
        <x:v>DV-2026-00760</x:v>
      </x:c>
      <x:c r="B761" s="16" t="n">
        <x:v>46133</x:v>
      </x:c>
      <x:c r="C761" t="str">
        <x:v>Client 46</x:v>
      </x:c>
      <x:c r="D761" t="str">
        <x:v>Logistique</x:v>
      </x:c>
      <x:c r="E761" t="str">
        <x:v>Pôle D</x:v>
      </x:c>
      <x:c r="F761" s="18" t="n">
        <x:v>6883.21</x:v>
      </x:c>
      <x:c r="G761" s="18" t="n">
        <x:v>6883.21</x:v>
      </x:c>
      <x:c r="H761" t="str">
        <x:v>Client 15</x:v>
      </x:c>
      <x:c r="I761" s="16" t="n">
        <x:v>46182</x:v>
      </x:c>
    </x:row>
    <x:row r="762">
      <x:c r="A762" t="str">
        <x:v>DV-2026-00761</x:v>
      </x:c>
      <x:c r="B762" s="16" t="n">
        <x:v>46125</x:v>
      </x:c>
      <x:c r="C762" t="str">
        <x:v>Client 32</x:v>
      </x:c>
      <x:c r="D762" t="str">
        <x:v>Express</x:v>
      </x:c>
      <x:c r="E762" t="str">
        <x:v>Pôle C</x:v>
      </x:c>
      <x:c r="F762" s="18" t="n">
        <x:v>19868.63</x:v>
      </x:c>
      <x:c r="G762" s="18" t="n">
        <x:v>19868.63</x:v>
      </x:c>
      <x:c r="H762" t="str">
        <x:v>Client 32</x:v>
      </x:c>
      <x:c r="I762" s="16" t="n">
        <x:v>46161</x:v>
      </x:c>
    </x:row>
    <x:row r="763">
      <x:c r="A763" t="str">
        <x:v>DV-2024-00762</x:v>
      </x:c>
      <x:c r="B763" s="16" t="n">
        <x:v>45414</x:v>
      </x:c>
      <x:c r="C763" t="str">
        <x:v>Client 17</x:v>
      </x:c>
      <x:c r="D763" t="str">
        <x:v>Logistique</x:v>
      </x:c>
      <x:c r="E763" t="str">
        <x:v>Pôle E</x:v>
      </x:c>
      <x:c r="F763" s="18" t="n">
        <x:v>11668.14</x:v>
      </x:c>
      <x:c r="G763" s="18" t="n">
        <x:v>11668.14</x:v>
      </x:c>
      <x:c r="H763" t="str">
        <x:v>Client 17</x:v>
      </x:c>
      <x:c r="I763" s="16" t="n">
        <x:v>45456</x:v>
      </x:c>
    </x:row>
    <x:row r="764">
      <x:c r="A764" t="str">
        <x:v>DV-2024-00763</x:v>
      </x:c>
      <x:c r="B764" s="16" t="n">
        <x:v>45657</x:v>
      </x:c>
      <x:c r="C764" t="str">
        <x:v>Client 14</x:v>
      </x:c>
      <x:c r="D764" t="str">
        <x:v>Douane</x:v>
      </x:c>
      <x:c r="E764" t="str">
        <x:v>Pôle D</x:v>
      </x:c>
      <x:c r="F764" s="18" t="n">
        <x:v>18899.39</x:v>
      </x:c>
      <x:c r="G764" s="18" t="n">
        <x:v>7938.55</x:v>
      </x:c>
      <x:c r="H764" t="str">
        <x:v>Client 47</x:v>
      </x:c>
      <x:c r="I764" s="16" t="n">
        <x:v>45751</x:v>
      </x:c>
    </x:row>
    <x:row r="765">
      <x:c r="A765" t="str">
        <x:v>DV-2024-00764</x:v>
      </x:c>
      <x:c r="B765" s="16" t="n">
        <x:v>45469</x:v>
      </x:c>
      <x:c r="C765" t="str">
        <x:v>Client 46</x:v>
      </x:c>
      <x:c r="D765" t="str">
        <x:v>Fret aérien</x:v>
      </x:c>
      <x:c r="E765" t="str">
        <x:v>Pôle A</x:v>
      </x:c>
      <x:c r="F765" s="18" t="n">
        <x:v>22588.54</x:v>
      </x:c>
      <x:c r="G765" s="18" t="n">
        <x:v>6237.82</x:v>
      </x:c>
      <x:c r="H765" t="str">
        <x:v>Client 46</x:v>
      </x:c>
      <x:c r="I765" s="16" t="n">
        <x:v>45472</x:v>
      </x:c>
    </x:row>
    <x:row r="766">
      <x:c r="A766" t="str">
        <x:v>DV-2024-00765</x:v>
      </x:c>
      <x:c r="B766" s="16" t="n">
        <x:v>45626</x:v>
      </x:c>
      <x:c r="C766" t="str">
        <x:v>Client 16</x:v>
      </x:c>
      <x:c r="D766" t="str">
        <x:v>Logistique</x:v>
      </x:c>
      <x:c r="E766" t="str">
        <x:v>Pôle A</x:v>
      </x:c>
      <x:c r="F766" s="18" t="n">
        <x:v>7413.39</x:v>
      </x:c>
      <x:c r="G766" s="18" t="n">
        <x:v>7413.39</x:v>
      </x:c>
      <x:c r="H766" t="str">
        <x:v>Client 16</x:v>
      </x:c>
      <x:c r="I766" s="16" t="n">
        <x:v>45656</x:v>
      </x:c>
    </x:row>
    <x:row r="767">
      <x:c r="A767" t="str">
        <x:v>DV-2024-00766</x:v>
      </x:c>
      <x:c r="B767" s="16" t="n">
        <x:v>45575</x:v>
      </x:c>
      <x:c r="C767" t="str">
        <x:v>Client 20</x:v>
      </x:c>
      <x:c r="D767" t="str">
        <x:v>Express</x:v>
      </x:c>
      <x:c r="E767" t="str">
        <x:v>Pôle E</x:v>
      </x:c>
      <x:c r="F767" s="18" t="n">
        <x:v>19674.02</x:v>
      </x:c>
      <x:c r="G767" s="18" t="n">
        <x:v>19674.02</x:v>
      </x:c>
      <x:c r="H767" t="str">
        <x:v>Client 20</x:v>
      </x:c>
      <x:c r="I767" s="16" t="n">
        <x:v>45612</x:v>
      </x:c>
    </x:row>
    <x:row r="768">
      <x:c r="A768" t="str">
        <x:v>DV-2024-00767</x:v>
      </x:c>
      <x:c r="B768" s="16" t="n">
        <x:v>45476</x:v>
      </x:c>
      <x:c r="C768" t="str">
        <x:v>Client 04</x:v>
      </x:c>
      <x:c r="D768" t="str">
        <x:v>Logistique</x:v>
      </x:c>
      <x:c r="E768" t="str">
        <x:v>Pôle C</x:v>
      </x:c>
      <x:c r="F768" s="18" t="n">
        <x:v>2680.3</x:v>
      </x:c>
      <x:c r="G768" s="18" t="n">
        <x:v>2680.3</x:v>
      </x:c>
      <x:c r="H768" t="str">
        <x:v>Client 04</x:v>
      </x:c>
      <x:c r="I768" s="16" t="n">
        <x:v>45513</x:v>
      </x:c>
    </x:row>
    <x:row r="769">
      <x:c r="A769" t="str">
        <x:v>DV-2024-00768</x:v>
      </x:c>
      <x:c r="B769" s="16" t="n">
        <x:v>45592</x:v>
      </x:c>
      <x:c r="C769" t="str">
        <x:v>Client 08</x:v>
      </x:c>
      <x:c r="D769" t="str">
        <x:v>Douane</x:v>
      </x:c>
      <x:c r="E769" t="str">
        <x:v>Pôle C</x:v>
      </x:c>
      <x:c r="F769" s="18" t="n">
        <x:v>13042.23</x:v>
      </x:c>
      <x:c r="G769" s="18" t="n">
        <x:v>7105.55</x:v>
      </x:c>
      <x:c r="H769" t="str">
        <x:v>Client 08</x:v>
      </x:c>
      <x:c r="I769" s="16" t="n">
        <x:v>45658</x:v>
      </x:c>
    </x:row>
    <x:row r="770">
      <x:c r="A770" t="str">
        <x:v>DV-2025-00769</x:v>
      </x:c>
      <x:c r="B770" s="16" t="n">
        <x:v>46002</x:v>
      </x:c>
      <x:c r="C770" t="str">
        <x:v>Client 48</x:v>
      </x:c>
      <x:c r="D770" t="str">
        <x:v>Douane</x:v>
      </x:c>
      <x:c r="E770" t="str">
        <x:v>Pôle B</x:v>
      </x:c>
      <x:c r="F770" s="18" t="n">
        <x:v>3578.13</x:v>
      </x:c>
      <x:c r="G770" s="18" t="n">
        <x:v>3578.13</x:v>
      </x:c>
      <x:c r="H770" t="str">
        <x:v>Client 48</x:v>
      </x:c>
      <x:c r="I770" s="16" t="n">
        <x:v>46041</x:v>
      </x:c>
    </x:row>
    <x:row r="771">
      <x:c r="A771" t="str">
        <x:v>DV-2025-00770</x:v>
      </x:c>
      <x:c r="B771" s="16" t="n">
        <x:v>45901</x:v>
      </x:c>
      <x:c r="C771" t="str">
        <x:v>Client 36</x:v>
      </x:c>
      <x:c r="D771" t="str">
        <x:v>Fret aérien</x:v>
      </x:c>
      <x:c r="E771" t="str">
        <x:v>Pôle D</x:v>
      </x:c>
      <x:c r="F771" s="18" t="n">
        <x:v>22529.5</x:v>
      </x:c>
      <x:c r="G771" s="18" t="n">
        <x:v>22529.5</x:v>
      </x:c>
      <x:c r="H771" t="str">
        <x:v>Client 16</x:v>
      </x:c>
      <x:c r="I771" s="16" t="n">
        <x:v>45919</x:v>
      </x:c>
    </x:row>
    <x:row r="772">
      <x:c r="A772" t="str">
        <x:v>DV-2026-00771</x:v>
      </x:c>
      <x:c r="B772" s="16" t="n">
        <x:v>46089</x:v>
      </x:c>
      <x:c r="C772" t="str">
        <x:v>Client 04</x:v>
      </x:c>
      <x:c r="D772" t="str">
        <x:v>Douane</x:v>
      </x:c>
      <x:c r="E772" t="str">
        <x:v>Pôle B</x:v>
      </x:c>
      <x:c r="F772" s="18" t="n">
        <x:v>7211.71</x:v>
      </x:c>
      <x:c r="G772" s="18" t="n">
        <x:v>7211.71</x:v>
      </x:c>
      <x:c r="H772" t="str">
        <x:v>Client 04</x:v>
      </x:c>
      <x:c r="I772" s="16" t="n">
        <x:v>46184</x:v>
      </x:c>
    </x:row>
    <x:row r="773">
      <x:c r="A773" t="str">
        <x:v>DV-2025-00772</x:v>
      </x:c>
      <x:c r="B773" s="16" t="n">
        <x:v>45708</x:v>
      </x:c>
      <x:c r="C773" t="str">
        <x:v>Client 27</x:v>
      </x:c>
      <x:c r="D773" t="str">
        <x:v>Fret maritime</x:v>
      </x:c>
      <x:c r="E773" t="str">
        <x:v>Pôle A</x:v>
      </x:c>
      <x:c r="F773" s="18" t="n">
        <x:v>13241.07</x:v>
      </x:c>
      <x:c r="G773" s="18" t="n">
        <x:v>13241.07</x:v>
      </x:c>
      <x:c r="H773" t="str">
        <x:v>Client 27</x:v>
      </x:c>
      <x:c r="I773" s="16" t="n">
        <x:v>45792</x:v>
      </x:c>
    </x:row>
    <x:row r="774">
      <x:c r="A774" t="str">
        <x:v>DV-2024-00773</x:v>
      </x:c>
      <x:c r="B774" s="16" t="n">
        <x:v>45619</x:v>
      </x:c>
      <x:c r="C774" t="str">
        <x:v>Client 04</x:v>
      </x:c>
      <x:c r="D774" t="str">
        <x:v>Logistique</x:v>
      </x:c>
      <x:c r="E774" t="str">
        <x:v>Pôle B</x:v>
      </x:c>
      <x:c r="F774" s="18" t="n">
        <x:v>16681.13</x:v>
      </x:c>
      <x:c r="G774" s="18" t="n">
        <x:v>16681.13</x:v>
      </x:c>
      <x:c r="H774" t="str">
        <x:v>Client 04</x:v>
      </x:c>
      <x:c r="I774" s="16" t="n">
        <x:v>45712</x:v>
      </x:c>
    </x:row>
    <x:row r="775">
      <x:c r="A775" t="str">
        <x:v>DV-2025-00774</x:v>
      </x:c>
      <x:c r="B775" s="16" t="n">
        <x:v>45954</x:v>
      </x:c>
      <x:c r="C775" t="str">
        <x:v>Client 38</x:v>
      </x:c>
      <x:c r="D775" t="str">
        <x:v>Logistique</x:v>
      </x:c>
      <x:c r="E775" t="str">
        <x:v>Pôle A</x:v>
      </x:c>
      <x:c r="F775" s="18" t="n">
        <x:v>15581.7</x:v>
      </x:c>
      <x:c r="G775" s="18" t="n">
        <x:v>0</x:v>
      </x:c>
      <x:c r="H775" t="str">
        <x:v>Client 38</x:v>
      </x:c>
      <x:c r="I775" s="16"/>
    </x:row>
    <x:row r="776">
      <x:c r="A776" t="str">
        <x:v>DV-2025-00775</x:v>
      </x:c>
      <x:c r="B776" s="16" t="n">
        <x:v>45763</x:v>
      </x:c>
      <x:c r="C776" t="str">
        <x:v>Client 13</x:v>
      </x:c>
      <x:c r="D776" t="str">
        <x:v>Fret aérien</x:v>
      </x:c>
      <x:c r="E776" t="str">
        <x:v>Pôle C</x:v>
      </x:c>
      <x:c r="F776" s="18" t="n">
        <x:v>8515.65</x:v>
      </x:c>
      <x:c r="G776" s="18" t="n">
        <x:v>8515.65</x:v>
      </x:c>
      <x:c r="H776" t="str">
        <x:v>Client 36</x:v>
      </x:c>
      <x:c r="I776" s="16" t="n">
        <x:v>45810</x:v>
      </x:c>
    </x:row>
    <x:row r="777">
      <x:c r="A777" t="str">
        <x:v>DV-2025-00776</x:v>
      </x:c>
      <x:c r="B777" s="16" t="n">
        <x:v>45928</x:v>
      </x:c>
      <x:c r="C777" t="str">
        <x:v>Client 25</x:v>
      </x:c>
      <x:c r="D777" t="str">
        <x:v>Douane</x:v>
      </x:c>
      <x:c r="E777" t="str">
        <x:v>Pôle D</x:v>
      </x:c>
      <x:c r="F777" s="18" t="n">
        <x:v>3719.44</x:v>
      </x:c>
      <x:c r="G777" s="18" t="n">
        <x:v>3719.44</x:v>
      </x:c>
      <x:c r="H777" t="str">
        <x:v>Client 25</x:v>
      </x:c>
      <x:c r="I777" s="16" t="n">
        <x:v>45955</x:v>
      </x:c>
    </x:row>
    <x:row r="778">
      <x:c r="A778" t="str">
        <x:v>DV-2026-00777</x:v>
      </x:c>
      <x:c r="B778" s="16" t="n">
        <x:v>46051</x:v>
      </x:c>
      <x:c r="C778" t="str">
        <x:v>Client 22</x:v>
      </x:c>
      <x:c r="D778" t="str">
        <x:v>Logistique</x:v>
      </x:c>
      <x:c r="E778" t="str">
        <x:v>Pôle E</x:v>
      </x:c>
      <x:c r="F778" s="18" t="n">
        <x:v>16833.1</x:v>
      </x:c>
      <x:c r="G778" s="18" t="n">
        <x:v>16833.1</x:v>
      </x:c>
      <x:c r="H778" t="str">
        <x:v>Client 22</x:v>
      </x:c>
      <x:c r="I778" s="16" t="n">
        <x:v>46094</x:v>
      </x:c>
    </x:row>
    <x:row r="779">
      <x:c r="A779" t="str">
        <x:v>DV-2025-00778</x:v>
      </x:c>
      <x:c r="B779" s="16" t="n">
        <x:v>45930</x:v>
      </x:c>
      <x:c r="C779" t="str">
        <x:v>Client 24</x:v>
      </x:c>
      <x:c r="D779" t="str">
        <x:v>Douane</x:v>
      </x:c>
      <x:c r="E779" t="str">
        <x:v>Pôle B</x:v>
      </x:c>
      <x:c r="F779" s="18" t="n">
        <x:v>3595.62</x:v>
      </x:c>
      <x:c r="G779" s="18" t="n">
        <x:v>3595.62</x:v>
      </x:c>
      <x:c r="H779" t="str">
        <x:v>Client 24</x:v>
      </x:c>
      <x:c r="I779" s="16" t="n">
        <x:v>45989</x:v>
      </x:c>
    </x:row>
    <x:row r="780">
      <x:c r="A780" t="str">
        <x:v>DV-2024-00779</x:v>
      </x:c>
      <x:c r="B780" s="16" t="n">
        <x:v>45621</x:v>
      </x:c>
      <x:c r="C780" t="str">
        <x:v>Client 21</x:v>
      </x:c>
      <x:c r="D780" t="str">
        <x:v>Logistique</x:v>
      </x:c>
      <x:c r="E780" t="str">
        <x:v>Pôle C</x:v>
      </x:c>
      <x:c r="F780" s="18" t="n">
        <x:v>21697.08</x:v>
      </x:c>
      <x:c r="G780" s="18" t="n">
        <x:v>21697.08</x:v>
      </x:c>
      <x:c r="H780" t="str">
        <x:v>Client 21</x:v>
      </x:c>
      <x:c r="I780" s="16" t="n">
        <x:v>45688</x:v>
      </x:c>
    </x:row>
    <x:row r="781">
      <x:c r="A781" t="str">
        <x:v>DV-2026-00780</x:v>
      </x:c>
      <x:c r="B781" s="16" t="n">
        <x:v>46117</x:v>
      </x:c>
      <x:c r="C781" t="str">
        <x:v>Client 33</x:v>
      </x:c>
      <x:c r="D781" t="str">
        <x:v>Douane</x:v>
      </x:c>
      <x:c r="E781" t="str">
        <x:v>Pôle E</x:v>
      </x:c>
      <x:c r="F781" s="18" t="n">
        <x:v>7753.26</x:v>
      </x:c>
      <x:c r="G781" s="18" t="n">
        <x:v>7753.26</x:v>
      </x:c>
      <x:c r="H781" t="str">
        <x:v>Client 33</x:v>
      </x:c>
      <x:c r="I781" s="16" t="n">
        <x:v>46176</x:v>
      </x:c>
    </x:row>
    <x:row r="782">
      <x:c r="A782" t="str">
        <x:v>DV-2025-00781</x:v>
      </x:c>
      <x:c r="B782" s="16" t="n">
        <x:v>45876</x:v>
      </x:c>
      <x:c r="C782" t="str">
        <x:v>Client 11</x:v>
      </x:c>
      <x:c r="D782" t="str">
        <x:v>Fret maritime</x:v>
      </x:c>
      <x:c r="E782" t="str">
        <x:v>Pôle A</x:v>
      </x:c>
      <x:c r="F782" s="18" t="n">
        <x:v>14111.49</x:v>
      </x:c>
      <x:c r="G782" s="18" t="n">
        <x:v>14111.49</x:v>
      </x:c>
      <x:c r="H782" t="str">
        <x:v>Client 42</x:v>
      </x:c>
      <x:c r="I782" s="16" t="n">
        <x:v>45900</x:v>
      </x:c>
    </x:row>
    <x:row r="783">
      <x:c r="A783" t="str">
        <x:v>DV-2026-00782</x:v>
      </x:c>
      <x:c r="B783" s="16" t="n">
        <x:v>46214</x:v>
      </x:c>
      <x:c r="C783" t="str">
        <x:v>Client 10</x:v>
      </x:c>
      <x:c r="D783" t="str">
        <x:v>Fret maritime</x:v>
      </x:c>
      <x:c r="E783" t="str">
        <x:v>Pôle E</x:v>
      </x:c>
      <x:c r="F783" s="18" t="n">
        <x:v>10018.04</x:v>
      </x:c>
      <x:c r="G783" s="18" t="n">
        <x:v>5225.62</x:v>
      </x:c>
      <x:c r="H783" t="str">
        <x:v>Client 10</x:v>
      </x:c>
      <x:c r="I783" s="16" t="n">
        <x:v>46224</x:v>
      </x:c>
    </x:row>
    <x:row r="784">
      <x:c r="A784" t="str">
        <x:v>DV-2024-00783</x:v>
      </x:c>
      <x:c r="B784" s="16" t="n">
        <x:v>45583</x:v>
      </x:c>
      <x:c r="C784" t="str">
        <x:v>Client 23</x:v>
      </x:c>
      <x:c r="D784" t="str">
        <x:v>Logistique</x:v>
      </x:c>
      <x:c r="E784" t="str">
        <x:v>Pôle E</x:v>
      </x:c>
      <x:c r="F784" s="18" t="n">
        <x:v>21059.53</x:v>
      </x:c>
      <x:c r="G784" s="18" t="n">
        <x:v>0</x:v>
      </x:c>
      <x:c r="H784" t="str">
        <x:v>Client 23</x:v>
      </x:c>
      <x:c r="I784" s="16"/>
    </x:row>
    <x:row r="785">
      <x:c r="A785" t="str">
        <x:v>DV-2025-00784</x:v>
      </x:c>
      <x:c r="B785" s="16" t="n">
        <x:v>45946</x:v>
      </x:c>
      <x:c r="C785" t="str">
        <x:v>Client 04</x:v>
      </x:c>
      <x:c r="D785" t="str">
        <x:v>Douane</x:v>
      </x:c>
      <x:c r="E785" t="str">
        <x:v>Pôle B</x:v>
      </x:c>
      <x:c r="F785" s="18" t="n">
        <x:v>18556.96</x:v>
      </x:c>
      <x:c r="G785" s="18" t="n">
        <x:v>18556.96</x:v>
      </x:c>
      <x:c r="H785" t="str">
        <x:v>Client 04</x:v>
      </x:c>
      <x:c r="I785" s="16" t="n">
        <x:v>46037</x:v>
      </x:c>
    </x:row>
    <x:row r="786">
      <x:c r="A786" t="str">
        <x:v>DV-2024-00785</x:v>
      </x:c>
      <x:c r="B786" s="16" t="n">
        <x:v>45400</x:v>
      </x:c>
      <x:c r="C786" t="str">
        <x:v>Client 10</x:v>
      </x:c>
      <x:c r="D786" t="str">
        <x:v>Logistique</x:v>
      </x:c>
      <x:c r="E786" t="str">
        <x:v>Pôle D</x:v>
      </x:c>
      <x:c r="F786" s="18" t="n">
        <x:v>16325.67</x:v>
      </x:c>
      <x:c r="G786" s="18" t="n">
        <x:v>16325.67</x:v>
      </x:c>
      <x:c r="H786" t="str">
        <x:v>Client 10</x:v>
      </x:c>
      <x:c r="I786" s="16" t="n">
        <x:v>45436</x:v>
      </x:c>
    </x:row>
    <x:row r="787">
      <x:c r="A787" t="str">
        <x:v>DV-2026-00786</x:v>
      </x:c>
      <x:c r="B787" s="16" t="n">
        <x:v>46198</x:v>
      </x:c>
      <x:c r="C787" t="str">
        <x:v>Client 50</x:v>
      </x:c>
      <x:c r="D787" t="str">
        <x:v>Fret maritime</x:v>
      </x:c>
      <x:c r="E787" t="str">
        <x:v>Pôle E</x:v>
      </x:c>
      <x:c r="F787" s="18" t="n">
        <x:v>4676.16</x:v>
      </x:c>
      <x:c r="G787" s="18" t="n">
        <x:v>0</x:v>
      </x:c>
      <x:c r="H787" t="str">
        <x:v>Client 50</x:v>
      </x:c>
      <x:c r="I787" s="16"/>
    </x:row>
    <x:row r="788">
      <x:c r="A788" t="str">
        <x:v>DV-2025-00787</x:v>
      </x:c>
      <x:c r="B788" s="16" t="n">
        <x:v>45854</x:v>
      </x:c>
      <x:c r="C788" t="str">
        <x:v>Client 47</x:v>
      </x:c>
      <x:c r="D788" t="str">
        <x:v>Fret maritime</x:v>
      </x:c>
      <x:c r="E788" t="str">
        <x:v>Pôle E</x:v>
      </x:c>
      <x:c r="F788" s="18" t="n">
        <x:v>8016.33</x:v>
      </x:c>
      <x:c r="G788" s="18" t="n">
        <x:v>8016.33</x:v>
      </x:c>
      <x:c r="H788" t="str">
        <x:v>Client 47</x:v>
      </x:c>
      <x:c r="I788" s="16" t="n">
        <x:v>45942</x:v>
      </x:c>
    </x:row>
    <x:row r="789">
      <x:c r="A789" t="str">
        <x:v>DV-2026-00788</x:v>
      </x:c>
      <x:c r="B789" s="16" t="n">
        <x:v>46111</x:v>
      </x:c>
      <x:c r="C789" t="str">
        <x:v>Client 31</x:v>
      </x:c>
      <x:c r="D789" t="str">
        <x:v>Fret aérien</x:v>
      </x:c>
      <x:c r="E789" t="str">
        <x:v>Pôle A</x:v>
      </x:c>
      <x:c r="F789" s="18" t="n">
        <x:v>18470.68</x:v>
      </x:c>
      <x:c r="G789" s="18" t="n">
        <x:v>18470.68</x:v>
      </x:c>
      <x:c r="H789" t="str">
        <x:v>Client 31</x:v>
      </x:c>
      <x:c r="I789" s="16" t="n">
        <x:v>46113</x:v>
      </x:c>
    </x:row>
    <x:row r="790">
      <x:c r="A790" t="str">
        <x:v>DV-2026-00789</x:v>
      </x:c>
      <x:c r="B790" s="16" t="n">
        <x:v>46202</x:v>
      </x:c>
      <x:c r="C790" t="str">
        <x:v>Client 32</x:v>
      </x:c>
      <x:c r="D790" t="str">
        <x:v>Douane</x:v>
      </x:c>
      <x:c r="E790" t="str">
        <x:v>Pôle B</x:v>
      </x:c>
      <x:c r="F790" s="18" t="n">
        <x:v>21346.39</x:v>
      </x:c>
      <x:c r="G790" s="18" t="n">
        <x:v>0</x:v>
      </x:c>
      <x:c r="H790" t="str">
        <x:v>Client 32</x:v>
      </x:c>
      <x:c r="I790" s="16"/>
    </x:row>
    <x:row r="791">
      <x:c r="A791" t="str">
        <x:v>DV-2024-00790</x:v>
      </x:c>
      <x:c r="B791" s="16" t="n">
        <x:v>45367</x:v>
      </x:c>
      <x:c r="C791" t="str">
        <x:v>Client 20</x:v>
      </x:c>
      <x:c r="D791" t="str">
        <x:v>Fret aérien</x:v>
      </x:c>
      <x:c r="E791" t="str">
        <x:v>Pôle A</x:v>
      </x:c>
      <x:c r="F791" s="18" t="n">
        <x:v>16286.04</x:v>
      </x:c>
      <x:c r="G791" s="18" t="n">
        <x:v>16286.04</x:v>
      </x:c>
      <x:c r="H791" t="str">
        <x:v>Client 20</x:v>
      </x:c>
      <x:c r="I791" s="16" t="n">
        <x:v>45374</x:v>
      </x:c>
    </x:row>
    <x:row r="792">
      <x:c r="A792" t="str">
        <x:v>DV-2025-00791</x:v>
      </x:c>
      <x:c r="B792" s="16" t="n">
        <x:v>45794</x:v>
      </x:c>
      <x:c r="C792" t="str">
        <x:v>Client 29</x:v>
      </x:c>
      <x:c r="D792" t="str">
        <x:v>Logistique</x:v>
      </x:c>
      <x:c r="E792" t="str">
        <x:v>Pôle D</x:v>
      </x:c>
      <x:c r="F792" s="18" t="n">
        <x:v>7528.72</x:v>
      </x:c>
      <x:c r="G792" s="18" t="n">
        <x:v>7528.72</x:v>
      </x:c>
      <x:c r="H792" t="str">
        <x:v>Client 29</x:v>
      </x:c>
      <x:c r="I792" s="16" t="n">
        <x:v>45839</x:v>
      </x:c>
    </x:row>
    <x:row r="793">
      <x:c r="A793" t="str">
        <x:v>DV-2024-00792</x:v>
      </x:c>
      <x:c r="B793" s="16" t="n">
        <x:v>45456</x:v>
      </x:c>
      <x:c r="C793" t="str">
        <x:v>Client 14</x:v>
      </x:c>
      <x:c r="D793" t="str">
        <x:v>Fret maritime</x:v>
      </x:c>
      <x:c r="E793" t="str">
        <x:v>Pôle A</x:v>
      </x:c>
      <x:c r="F793" s="18" t="n">
        <x:v>21932.39</x:v>
      </x:c>
      <x:c r="G793" s="18" t="n">
        <x:v>21932.39</x:v>
      </x:c>
      <x:c r="H793" t="str">
        <x:v>Client 14</x:v>
      </x:c>
      <x:c r="I793" s="16" t="n">
        <x:v>45529</x:v>
      </x:c>
    </x:row>
    <x:row r="794">
      <x:c r="A794" t="str">
        <x:v>DV-2024-00793</x:v>
      </x:c>
      <x:c r="B794" s="16" t="n">
        <x:v>45581</x:v>
      </x:c>
      <x:c r="C794" t="str">
        <x:v>Client 22</x:v>
      </x:c>
      <x:c r="D794" t="str">
        <x:v>Fret maritime</x:v>
      </x:c>
      <x:c r="E794" t="str">
        <x:v>Pôle A</x:v>
      </x:c>
      <x:c r="F794" s="18" t="n">
        <x:v>20495.96</x:v>
      </x:c>
      <x:c r="G794" s="18" t="n">
        <x:v>20495.96</x:v>
      </x:c>
      <x:c r="H794" t="str">
        <x:v>Client 22</x:v>
      </x:c>
      <x:c r="I794" s="16" t="n">
        <x:v>45665</x:v>
      </x:c>
    </x:row>
    <x:row r="795">
      <x:c r="A795" t="str">
        <x:v>DV-2024-00794</x:v>
      </x:c>
      <x:c r="B795" s="16" t="n">
        <x:v>45567</x:v>
      </x:c>
      <x:c r="C795" t="str">
        <x:v>Client 24</x:v>
      </x:c>
      <x:c r="D795" t="str">
        <x:v>Fret maritime</x:v>
      </x:c>
      <x:c r="E795" t="str">
        <x:v>Pôle A</x:v>
      </x:c>
      <x:c r="F795" s="18" t="n">
        <x:v>10170.24</x:v>
      </x:c>
      <x:c r="G795" s="18" t="n">
        <x:v>10170.24</x:v>
      </x:c>
      <x:c r="H795" t="str">
        <x:v>Client 24</x:v>
      </x:c>
      <x:c r="I795" s="16" t="n">
        <x:v>45629</x:v>
      </x:c>
    </x:row>
    <x:row r="796">
      <x:c r="A796" t="str">
        <x:v>DV-2026-00795</x:v>
      </x:c>
      <x:c r="B796" s="16" t="n">
        <x:v>46126</x:v>
      </x:c>
      <x:c r="C796" t="str">
        <x:v>Client 40</x:v>
      </x:c>
      <x:c r="D796" t="str">
        <x:v>Fret maritime</x:v>
      </x:c>
      <x:c r="E796" t="str">
        <x:v>Pôle D</x:v>
      </x:c>
      <x:c r="F796" s="18" t="n">
        <x:v>21443.02</x:v>
      </x:c>
      <x:c r="G796" s="18" t="n">
        <x:v>21443.02</x:v>
      </x:c>
      <x:c r="H796" t="str">
        <x:v>Client 09</x:v>
      </x:c>
      <x:c r="I796" s="16" t="n">
        <x:v>46199</x:v>
      </x:c>
    </x:row>
    <x:row r="797">
      <x:c r="A797" t="str">
        <x:v>DV-2024-00796</x:v>
      </x:c>
      <x:c r="B797" s="16" t="n">
        <x:v>45400</x:v>
      </x:c>
      <x:c r="C797" t="str">
        <x:v>Client 20</x:v>
      </x:c>
      <x:c r="D797" t="str">
        <x:v>Douane</x:v>
      </x:c>
      <x:c r="E797" t="str">
        <x:v>Pôle E</x:v>
      </x:c>
      <x:c r="F797" s="18" t="n">
        <x:v>3482.54</x:v>
      </x:c>
      <x:c r="G797" s="18" t="n">
        <x:v>3482.54</x:v>
      </x:c>
      <x:c r="H797" t="str">
        <x:v>Client 20</x:v>
      </x:c>
      <x:c r="I797" s="16" t="n">
        <x:v>45458</x:v>
      </x:c>
    </x:row>
    <x:row r="798">
      <x:c r="A798" t="str">
        <x:v>DV-2025-00797</x:v>
      </x:c>
      <x:c r="B798" s="16" t="n">
        <x:v>45795</x:v>
      </x:c>
      <x:c r="C798" t="str">
        <x:v>Client 26</x:v>
      </x:c>
      <x:c r="D798" t="str">
        <x:v>Fret maritime</x:v>
      </x:c>
      <x:c r="E798" t="str">
        <x:v>Pôle D</x:v>
      </x:c>
      <x:c r="F798" s="18" t="n">
        <x:v>4540.88</x:v>
      </x:c>
      <x:c r="G798" s="18" t="n">
        <x:v>4540.88</x:v>
      </x:c>
      <x:c r="H798" t="str">
        <x:v>Client 26</x:v>
      </x:c>
      <x:c r="I798" s="16" t="n">
        <x:v>45880</x:v>
      </x:c>
    </x:row>
    <x:row r="799">
      <x:c r="A799" t="str">
        <x:v>DV-2024-00798</x:v>
      </x:c>
      <x:c r="B799" s="16" t="n">
        <x:v>45470</x:v>
      </x:c>
      <x:c r="C799" t="str">
        <x:v>Client 12</x:v>
      </x:c>
      <x:c r="D799" t="str">
        <x:v>Logistique</x:v>
      </x:c>
      <x:c r="E799" t="str">
        <x:v>Pôle A</x:v>
      </x:c>
      <x:c r="F799" s="18" t="n">
        <x:v>1159.53</x:v>
      </x:c>
      <x:c r="G799" s="18" t="n">
        <x:v>1159.53</x:v>
      </x:c>
      <x:c r="H799" t="str">
        <x:v>Client 12</x:v>
      </x:c>
      <x:c r="I799" s="16" t="n">
        <x:v>45542</x:v>
      </x:c>
    </x:row>
    <x:row r="800">
      <x:c r="A800" t="str">
        <x:v>DV-2025-00799</x:v>
      </x:c>
      <x:c r="B800" s="16" t="n">
        <x:v>45666</x:v>
      </x:c>
      <x:c r="C800" t="str">
        <x:v>Client 04</x:v>
      </x:c>
      <x:c r="D800" t="str">
        <x:v>Fret maritime</x:v>
      </x:c>
      <x:c r="E800" t="str">
        <x:v>Pôle D</x:v>
      </x:c>
      <x:c r="F800" s="18" t="n">
        <x:v>15455.39</x:v>
      </x:c>
      <x:c r="G800" s="18" t="n">
        <x:v>15455.39</x:v>
      </x:c>
      <x:c r="H800" t="str">
        <x:v>Client 04</x:v>
      </x:c>
      <x:c r="I800" s="16" t="n">
        <x:v>45712</x:v>
      </x:c>
    </x:row>
    <x:row r="801">
      <x:c r="A801" t="str">
        <x:v>DV-2024-00800</x:v>
      </x:c>
      <x:c r="B801" s="16" t="n">
        <x:v>45622</x:v>
      </x:c>
      <x:c r="C801" t="str">
        <x:v>Client 35</x:v>
      </x:c>
      <x:c r="D801" t="str">
        <x:v>Fret maritime</x:v>
      </x:c>
      <x:c r="E801" t="str">
        <x:v>Pôle D</x:v>
      </x:c>
      <x:c r="F801" s="18" t="n">
        <x:v>300.5</x:v>
      </x:c>
      <x:c r="G801" s="18" t="n">
        <x:v>300.5</x:v>
      </x:c>
      <x:c r="H801" t="str">
        <x:v>Client 35</x:v>
      </x:c>
      <x:c r="I801" s="16" t="n">
        <x:v>45670</x:v>
      </x:c>
    </x:row>
    <x:row r="802">
      <x:c r="A802" t="str">
        <x:v>DV-2025-00801</x:v>
      </x:c>
      <x:c r="B802" s="16" t="n">
        <x:v>45770</x:v>
      </x:c>
      <x:c r="C802" t="str">
        <x:v>Client 08</x:v>
      </x:c>
      <x:c r="D802" t="str">
        <x:v>Express</x:v>
      </x:c>
      <x:c r="E802" t="str">
        <x:v>Pôle B</x:v>
      </x:c>
      <x:c r="F802" s="18" t="n">
        <x:v>14968.47</x:v>
      </x:c>
      <x:c r="G802" s="18" t="n">
        <x:v>14968.47</x:v>
      </x:c>
      <x:c r="H802" t="str">
        <x:v>Client 08</x:v>
      </x:c>
      <x:c r="I802" s="16" t="n">
        <x:v>45849</x:v>
      </x:c>
    </x:row>
    <x:row r="803">
      <x:c r="A803" t="str">
        <x:v>DV-2026-00802</x:v>
      </x:c>
      <x:c r="B803" s="16" t="n">
        <x:v>46251</x:v>
      </x:c>
      <x:c r="C803" t="str">
        <x:v>Client 04</x:v>
      </x:c>
      <x:c r="D803" t="str">
        <x:v>Douane</x:v>
      </x:c>
      <x:c r="E803" t="str">
        <x:v>Pôle D</x:v>
      </x:c>
      <x:c r="F803" s="18" t="n">
        <x:v>9157</x:v>
      </x:c>
      <x:c r="G803" s="18" t="n">
        <x:v>2297.6</x:v>
      </x:c>
      <x:c r="H803" t="str">
        <x:v>Client 04</x:v>
      </x:c>
      <x:c r="I803" s="16" t="n">
        <x:v>46324</x:v>
      </x:c>
    </x:row>
    <x:row r="804">
      <x:c r="A804" t="str">
        <x:v>DV-2026-00803</x:v>
      </x:c>
      <x:c r="B804" s="16" t="n">
        <x:v>46076</x:v>
      </x:c>
      <x:c r="C804" t="str">
        <x:v>Client 48</x:v>
      </x:c>
      <x:c r="D804" t="str">
        <x:v>Douane</x:v>
      </x:c>
      <x:c r="E804" t="str">
        <x:v>Pôle A</x:v>
      </x:c>
      <x:c r="F804" s="18" t="n">
        <x:v>21725.75</x:v>
      </x:c>
      <x:c r="G804" s="18" t="n">
        <x:v>21725.75</x:v>
      </x:c>
      <x:c r="H804" t="str">
        <x:v>Client 48</x:v>
      </x:c>
      <x:c r="I804" s="16" t="n">
        <x:v>46119</x:v>
      </x:c>
    </x:row>
    <x:row r="805">
      <x:c r="A805" t="str">
        <x:v>DV-2025-00804</x:v>
      </x:c>
      <x:c r="B805" s="16" t="n">
        <x:v>45674</x:v>
      </x:c>
      <x:c r="C805" t="str">
        <x:v>Client 25</x:v>
      </x:c>
      <x:c r="D805" t="str">
        <x:v>Logistique</x:v>
      </x:c>
      <x:c r="E805" t="str">
        <x:v>Pôle D</x:v>
      </x:c>
      <x:c r="F805" s="18" t="n">
        <x:v>17426.75</x:v>
      </x:c>
      <x:c r="G805" s="18" t="n">
        <x:v>17426.75</x:v>
      </x:c>
      <x:c r="H805" t="str">
        <x:v>Client 34</x:v>
      </x:c>
      <x:c r="I805" s="16" t="n">
        <x:v>45720</x:v>
      </x:c>
    </x:row>
    <x:row r="806">
      <x:c r="A806" t="str">
        <x:v>DV-2026-00805</x:v>
      </x:c>
      <x:c r="B806" s="16" t="n">
        <x:v>46245</x:v>
      </x:c>
      <x:c r="C806" t="str">
        <x:v>Client 34</x:v>
      </x:c>
      <x:c r="D806" t="str">
        <x:v>Express</x:v>
      </x:c>
      <x:c r="E806" t="str">
        <x:v>Pôle A</x:v>
      </x:c>
      <x:c r="F806" s="18" t="n">
        <x:v>9610.14</x:v>
      </x:c>
      <x:c r="G806" s="18" t="n">
        <x:v>0</x:v>
      </x:c>
      <x:c r="H806" t="str">
        <x:v>Client 34</x:v>
      </x:c>
      <x:c r="I806" s="16"/>
    </x:row>
    <x:row r="807">
      <x:c r="A807" t="str">
        <x:v>DV-2026-00806</x:v>
      </x:c>
      <x:c r="B807" s="16" t="n">
        <x:v>46165</x:v>
      </x:c>
      <x:c r="C807" t="str">
        <x:v>Client 46</x:v>
      </x:c>
      <x:c r="D807" t="str">
        <x:v>Douane</x:v>
      </x:c>
      <x:c r="E807" t="str">
        <x:v>Pôle E</x:v>
      </x:c>
      <x:c r="F807" s="18" t="n">
        <x:v>1889.55</x:v>
      </x:c>
      <x:c r="G807" s="18" t="n">
        <x:v>0</x:v>
      </x:c>
      <x:c r="H807" t="str">
        <x:v>Client 46</x:v>
      </x:c>
      <x:c r="I807" s="16"/>
    </x:row>
    <x:row r="808">
      <x:c r="A808" t="str">
        <x:v>DV-2024-00807</x:v>
      </x:c>
      <x:c r="B808" s="16" t="n">
        <x:v>45311</x:v>
      </x:c>
      <x:c r="C808" t="str">
        <x:v>Client 16</x:v>
      </x:c>
      <x:c r="D808" t="str">
        <x:v>Fret aérien</x:v>
      </x:c>
      <x:c r="E808" t="str">
        <x:v>Pôle C</x:v>
      </x:c>
      <x:c r="F808" s="18" t="n">
        <x:v>9627.57</x:v>
      </x:c>
      <x:c r="G808" s="18" t="n">
        <x:v>9627.57</x:v>
      </x:c>
      <x:c r="H808" t="str">
        <x:v>Client 16</x:v>
      </x:c>
      <x:c r="I808" s="16" t="n">
        <x:v>45339</x:v>
      </x:c>
    </x:row>
    <x:row r="809">
      <x:c r="A809" t="str">
        <x:v>DV-2024-00808</x:v>
      </x:c>
      <x:c r="B809" s="16" t="n">
        <x:v>45520</x:v>
      </x:c>
      <x:c r="C809" t="str">
        <x:v>Client 30</x:v>
      </x:c>
      <x:c r="D809" t="str">
        <x:v>Fret maritime</x:v>
      </x:c>
      <x:c r="E809" t="str">
        <x:v>Pôle B</x:v>
      </x:c>
      <x:c r="F809" s="18" t="n">
        <x:v>15927.13</x:v>
      </x:c>
      <x:c r="G809" s="18" t="n">
        <x:v>0</x:v>
      </x:c>
      <x:c r="H809" t="str">
        <x:v>Client 30</x:v>
      </x:c>
      <x:c r="I809" s="16"/>
    </x:row>
    <x:row r="810">
      <x:c r="A810" t="str">
        <x:v>DV-2024-00809</x:v>
      </x:c>
      <x:c r="B810" s="16" t="n">
        <x:v>45450</x:v>
      </x:c>
      <x:c r="C810" t="str">
        <x:v>Client 06</x:v>
      </x:c>
      <x:c r="D810" t="str">
        <x:v>Express</x:v>
      </x:c>
      <x:c r="E810" t="str">
        <x:v>Pôle E</x:v>
      </x:c>
      <x:c r="F810" s="18" t="n">
        <x:v>5474.31</x:v>
      </x:c>
      <x:c r="G810" s="18" t="n">
        <x:v>0</x:v>
      </x:c>
      <x:c r="H810" t="str">
        <x:v>Client 06</x:v>
      </x:c>
      <x:c r="I810" s="16"/>
    </x:row>
    <x:row r="811">
      <x:c r="A811" t="str">
        <x:v>DV-2025-00810</x:v>
      </x:c>
      <x:c r="B811" s="16" t="n">
        <x:v>45673</x:v>
      </x:c>
      <x:c r="C811" t="str">
        <x:v>Client 37</x:v>
      </x:c>
      <x:c r="D811" t="str">
        <x:v>Express</x:v>
      </x:c>
      <x:c r="E811" t="str">
        <x:v>Pôle A</x:v>
      </x:c>
      <x:c r="F811" s="18" t="n">
        <x:v>20361.51</x:v>
      </x:c>
      <x:c r="G811" s="18" t="n">
        <x:v>20361.51</x:v>
      </x:c>
      <x:c r="H811" t="str">
        <x:v>Client 37</x:v>
      </x:c>
      <x:c r="I811" s="16" t="n">
        <x:v>45731</x:v>
      </x:c>
    </x:row>
    <x:row r="812">
      <x:c r="A812" t="str">
        <x:v>DV-2024-00811</x:v>
      </x:c>
      <x:c r="B812" s="16" t="n">
        <x:v>45293</x:v>
      </x:c>
      <x:c r="C812" t="str">
        <x:v>Client 13</x:v>
      </x:c>
      <x:c r="D812" t="str">
        <x:v>Express</x:v>
      </x:c>
      <x:c r="E812" t="str">
        <x:v>Pôle A</x:v>
      </x:c>
      <x:c r="F812" s="18" t="n">
        <x:v>9221.04</x:v>
      </x:c>
      <x:c r="G812" s="18" t="n">
        <x:v>7445.52</x:v>
      </x:c>
      <x:c r="H812" t="str">
        <x:v>Client 13</x:v>
      </x:c>
      <x:c r="I812" s="16" t="n">
        <x:v>45301</x:v>
      </x:c>
    </x:row>
    <x:row r="813">
      <x:c r="A813" t="str">
        <x:v>DV-2026-00812</x:v>
      </x:c>
      <x:c r="B813" s="16" t="n">
        <x:v>46216</x:v>
      </x:c>
      <x:c r="C813" t="str">
        <x:v>Client 31</x:v>
      </x:c>
      <x:c r="D813" t="str">
        <x:v>Fret maritime</x:v>
      </x:c>
      <x:c r="E813" t="str">
        <x:v>Pôle C</x:v>
      </x:c>
      <x:c r="F813" s="18" t="n">
        <x:v>2050.55</x:v>
      </x:c>
      <x:c r="G813" s="18" t="n">
        <x:v>2050.55</x:v>
      </x:c>
      <x:c r="H813" t="str">
        <x:v>Client 31</x:v>
      </x:c>
      <x:c r="I813" s="16" t="n">
        <x:v>46247</x:v>
      </x:c>
    </x:row>
    <x:row r="814">
      <x:c r="A814" t="str">
        <x:v>DV-2025-00813</x:v>
      </x:c>
      <x:c r="B814" s="16" t="n">
        <x:v>45959</x:v>
      </x:c>
      <x:c r="C814" t="str">
        <x:v>Client 32</x:v>
      </x:c>
      <x:c r="D814" t="str">
        <x:v>Express</x:v>
      </x:c>
      <x:c r="E814" t="str">
        <x:v>Pôle E</x:v>
      </x:c>
      <x:c r="F814" s="18" t="n">
        <x:v>8849.44</x:v>
      </x:c>
      <x:c r="G814" s="18" t="n">
        <x:v>7104.32</x:v>
      </x:c>
      <x:c r="H814" t="str">
        <x:v>Client 32</x:v>
      </x:c>
      <x:c r="I814" s="16" t="n">
        <x:v>46013</x:v>
      </x:c>
    </x:row>
    <x:row r="815">
      <x:c r="A815" t="str">
        <x:v>DV-2025-00814</x:v>
      </x:c>
      <x:c r="B815" s="16" t="n">
        <x:v>46020</x:v>
      </x:c>
      <x:c r="C815" t="str">
        <x:v>Client 43</x:v>
      </x:c>
      <x:c r="D815" t="str">
        <x:v>Express</x:v>
      </x:c>
      <x:c r="E815" t="str">
        <x:v>Pôle A</x:v>
      </x:c>
      <x:c r="F815" s="18" t="n">
        <x:v>19663.57</x:v>
      </x:c>
      <x:c r="G815" s="18" t="n">
        <x:v>19663.57</x:v>
      </x:c>
      <x:c r="H815" t="str">
        <x:v>Client 43</x:v>
      </x:c>
      <x:c r="I815" s="16" t="n">
        <x:v>46091</x:v>
      </x:c>
    </x:row>
    <x:row r="816">
      <x:c r="A816" t="str">
        <x:v>DV-2024-00815</x:v>
      </x:c>
      <x:c r="B816" s="16" t="n">
        <x:v>45564</x:v>
      </x:c>
      <x:c r="C816" t="str">
        <x:v>Client 42</x:v>
      </x:c>
      <x:c r="D816" t="str">
        <x:v>Fret aérien</x:v>
      </x:c>
      <x:c r="E816" t="str">
        <x:v>Pôle D</x:v>
      </x:c>
      <x:c r="F816" s="18" t="n">
        <x:v>1933.71</x:v>
      </x:c>
      <x:c r="G816" s="18" t="n">
        <x:v>1933.71</x:v>
      </x:c>
      <x:c r="H816" t="str">
        <x:v>Client 42</x:v>
      </x:c>
      <x:c r="I816" s="16" t="n">
        <x:v>45602</x:v>
      </x:c>
    </x:row>
    <x:row r="817">
      <x:c r="A817" t="str">
        <x:v>DV-2025-00816</x:v>
      </x:c>
      <x:c r="B817" s="16" t="n">
        <x:v>45990</x:v>
      </x:c>
      <x:c r="C817" t="str">
        <x:v>Client 46</x:v>
      </x:c>
      <x:c r="D817" t="str">
        <x:v>Fret aérien</x:v>
      </x:c>
      <x:c r="E817" t="str">
        <x:v>Pôle B</x:v>
      </x:c>
      <x:c r="F817" s="18" t="n">
        <x:v>20962.88</x:v>
      </x:c>
      <x:c r="G817" s="18" t="n">
        <x:v>20962.88</x:v>
      </x:c>
      <x:c r="H817" t="str">
        <x:v>Client 11</x:v>
      </x:c>
      <x:c r="I817" s="16" t="n">
        <x:v>46055</x:v>
      </x:c>
    </x:row>
    <x:row r="818">
      <x:c r="A818" t="str">
        <x:v>DV-2024-00817</x:v>
      </x:c>
      <x:c r="B818" s="16" t="n">
        <x:v>45475</x:v>
      </x:c>
      <x:c r="C818" t="str">
        <x:v>Client 09</x:v>
      </x:c>
      <x:c r="D818" t="str">
        <x:v>Express</x:v>
      </x:c>
      <x:c r="E818" t="str">
        <x:v>Pôle C</x:v>
      </x:c>
      <x:c r="F818" s="18" t="n">
        <x:v>1135.29</x:v>
      </x:c>
      <x:c r="G818" s="18" t="n">
        <x:v>1135.29</x:v>
      </x:c>
      <x:c r="H818" t="str">
        <x:v>Client 30</x:v>
      </x:c>
      <x:c r="I818" s="16" t="n">
        <x:v>45556</x:v>
      </x:c>
    </x:row>
    <x:row r="819">
      <x:c r="A819" t="str">
        <x:v>DV-2024-00818</x:v>
      </x:c>
      <x:c r="B819" s="16" t="n">
        <x:v>45508</x:v>
      </x:c>
      <x:c r="C819" t="str">
        <x:v>Client 39</x:v>
      </x:c>
      <x:c r="D819" t="str">
        <x:v>Logistique</x:v>
      </x:c>
      <x:c r="E819" t="str">
        <x:v>Pôle C</x:v>
      </x:c>
      <x:c r="F819" s="18" t="n">
        <x:v>253.47</x:v>
      </x:c>
      <x:c r="G819" s="18" t="n">
        <x:v>62.38</x:v>
      </x:c>
      <x:c r="H819" t="str">
        <x:v>Client 39</x:v>
      </x:c>
      <x:c r="I819" s="16" t="n">
        <x:v>45550</x:v>
      </x:c>
    </x:row>
    <x:row r="820">
      <x:c r="A820" t="str">
        <x:v>DV-2026-00819</x:v>
      </x:c>
      <x:c r="B820" s="16" t="n">
        <x:v>46184</x:v>
      </x:c>
      <x:c r="C820" t="str">
        <x:v>Client 09</x:v>
      </x:c>
      <x:c r="D820" t="str">
        <x:v>Logistique</x:v>
      </x:c>
      <x:c r="E820" t="str">
        <x:v>Pôle B</x:v>
      </x:c>
      <x:c r="F820" s="18" t="n">
        <x:v>13246.37</x:v>
      </x:c>
      <x:c r="G820" s="18" t="n">
        <x:v>8085.47</x:v>
      </x:c>
      <x:c r="H820" t="str">
        <x:v>Client 09</x:v>
      </x:c>
      <x:c r="I820" s="16" t="n">
        <x:v>46258</x:v>
      </x:c>
    </x:row>
    <x:row r="821">
      <x:c r="A821" t="str">
        <x:v>DV-2025-00820</x:v>
      </x:c>
      <x:c r="B821" s="16" t="n">
        <x:v>45866</x:v>
      </x:c>
      <x:c r="C821" t="str">
        <x:v>Client 04</x:v>
      </x:c>
      <x:c r="D821" t="str">
        <x:v>Express</x:v>
      </x:c>
      <x:c r="E821" t="str">
        <x:v>Pôle A</x:v>
      </x:c>
      <x:c r="F821" s="18" t="n">
        <x:v>14247.08</x:v>
      </x:c>
      <x:c r="G821" s="18" t="n">
        <x:v>14247.08</x:v>
      </x:c>
      <x:c r="H821" t="str">
        <x:v>Client 04</x:v>
      </x:c>
      <x:c r="I821" s="16" t="n">
        <x:v>45954</x:v>
      </x:c>
    </x:row>
    <x:row r="822">
      <x:c r="A822" t="str">
        <x:v>DV-2024-00821</x:v>
      </x:c>
      <x:c r="B822" s="16" t="n">
        <x:v>45577</x:v>
      </x:c>
      <x:c r="C822" t="str">
        <x:v>Client 22</x:v>
      </x:c>
      <x:c r="D822" t="str">
        <x:v>Fret maritime</x:v>
      </x:c>
      <x:c r="E822" t="str">
        <x:v>Pôle E</x:v>
      </x:c>
      <x:c r="F822" s="18" t="n">
        <x:v>1717.25</x:v>
      </x:c>
      <x:c r="G822" s="18" t="n">
        <x:v>1717.25</x:v>
      </x:c>
      <x:c r="H822" t="str">
        <x:v>Client 20</x:v>
      </x:c>
      <x:c r="I822" s="16" t="n">
        <x:v>45589</x:v>
      </x:c>
    </x:row>
    <x:row r="823">
      <x:c r="A823" t="str">
        <x:v>DV-2026-00822</x:v>
      </x:c>
      <x:c r="B823" s="16" t="n">
        <x:v>46043</x:v>
      </x:c>
      <x:c r="C823" t="str">
        <x:v>Client 14</x:v>
      </x:c>
      <x:c r="D823" t="str">
        <x:v>Douane</x:v>
      </x:c>
      <x:c r="E823" t="str">
        <x:v>Pôle A</x:v>
      </x:c>
      <x:c r="F823" s="18" t="n">
        <x:v>24365.11</x:v>
      </x:c>
      <x:c r="G823" s="18" t="n">
        <x:v>24365.11</x:v>
      </x:c>
      <x:c r="H823" t="str">
        <x:v>Client 14</x:v>
      </x:c>
      <x:c r="I823" s="16" t="n">
        <x:v>46075</x:v>
      </x:c>
    </x:row>
    <x:row r="824">
      <x:c r="A824" t="str">
        <x:v>DV-2024-00823</x:v>
      </x:c>
      <x:c r="B824" s="16" t="n">
        <x:v>45574</x:v>
      </x:c>
      <x:c r="C824" t="str">
        <x:v>Client 46 </x:v>
      </x:c>
      <x:c r="D824" t="str">
        <x:v>Express</x:v>
      </x:c>
      <x:c r="E824" t="str">
        <x:v>Pôle B</x:v>
      </x:c>
      <x:c r="F824" s="18" t="n">
        <x:v>13572.07</x:v>
      </x:c>
      <x:c r="G824" s="18" t="n">
        <x:v>13572.07</x:v>
      </x:c>
      <x:c r="H824" t="str">
        <x:v>Client 46</x:v>
      </x:c>
      <x:c r="I824" s="16" t="n">
        <x:v>45657</x:v>
      </x:c>
    </x:row>
    <x:row r="825">
      <x:c r="A825" t="str">
        <x:v>DV-2024-00824</x:v>
      </x:c>
      <x:c r="B825" s="16" t="n">
        <x:v>45442</x:v>
      </x:c>
      <x:c r="C825" t="str">
        <x:v>Client 11</x:v>
      </x:c>
      <x:c r="D825" t="str">
        <x:v>Express</x:v>
      </x:c>
      <x:c r="E825" t="str">
        <x:v>Pôle B</x:v>
      </x:c>
      <x:c r="F825" s="18" t="n">
        <x:v>8325</x:v>
      </x:c>
      <x:c r="G825" s="18" t="n">
        <x:v>8325</x:v>
      </x:c>
      <x:c r="H825" t="str">
        <x:v>Client 11</x:v>
      </x:c>
      <x:c r="I825" s="16" t="n">
        <x:v>45478</x:v>
      </x:c>
    </x:row>
    <x:row r="826">
      <x:c r="A826" t="str">
        <x:v>DV-2024-00825</x:v>
      </x:c>
      <x:c r="B826" s="16" t="n">
        <x:v>45632</x:v>
      </x:c>
      <x:c r="C826" t="str">
        <x:v>Client 23</x:v>
      </x:c>
      <x:c r="D826" t="str">
        <x:v>Fret aérien</x:v>
      </x:c>
      <x:c r="E826" t="str">
        <x:v>Pôle D</x:v>
      </x:c>
      <x:c r="F826" s="18" t="n">
        <x:v>13408.85</x:v>
      </x:c>
      <x:c r="G826" s="18" t="n">
        <x:v>13408.85</x:v>
      </x:c>
      <x:c r="H826" t="str">
        <x:v>Client 01</x:v>
      </x:c>
      <x:c r="I826" s="16" t="n">
        <x:v>45661</x:v>
      </x:c>
    </x:row>
    <x:row r="827">
      <x:c r="A827" t="str">
        <x:v>DV-2024-00826</x:v>
      </x:c>
      <x:c r="B827" s="16" t="n">
        <x:v>45545</x:v>
      </x:c>
      <x:c r="C827" t="str">
        <x:v>Client 33</x:v>
      </x:c>
      <x:c r="D827" t="str">
        <x:v>Express</x:v>
      </x:c>
      <x:c r="E827" t="str">
        <x:v>Pôle A</x:v>
      </x:c>
      <x:c r="F827" s="18" t="n">
        <x:v>18156.25</x:v>
      </x:c>
      <x:c r="G827" s="18" t="n">
        <x:v>18156.25</x:v>
      </x:c>
      <x:c r="H827" t="str">
        <x:v>Client 33</x:v>
      </x:c>
      <x:c r="I827" s="16" t="n">
        <x:v>45635</x:v>
      </x:c>
    </x:row>
    <x:row r="828">
      <x:c r="A828" t="str">
        <x:v>DV-2025-00827</x:v>
      </x:c>
      <x:c r="B828" s="16" t="n">
        <x:v>45870</x:v>
      </x:c>
      <x:c r="C828" t="str">
        <x:v>Client 21</x:v>
      </x:c>
      <x:c r="D828" t="str">
        <x:v>Fret maritime</x:v>
      </x:c>
      <x:c r="E828" t="str">
        <x:v>Pôle C</x:v>
      </x:c>
      <x:c r="F828" s="18" t="n">
        <x:v>18920.27</x:v>
      </x:c>
      <x:c r="G828" s="18" t="n">
        <x:v>18920.27</x:v>
      </x:c>
      <x:c r="H828" t="str">
        <x:v>Client 21</x:v>
      </x:c>
      <x:c r="I828" s="16" t="n">
        <x:v>45932</x:v>
      </x:c>
    </x:row>
    <x:row r="829">
      <x:c r="A829" t="str">
        <x:v>DV-2024-00828</x:v>
      </x:c>
      <x:c r="B829" s="16" t="n">
        <x:v>45376</x:v>
      </x:c>
      <x:c r="C829" t="str">
        <x:v>Client 04</x:v>
      </x:c>
      <x:c r="D829" t="str">
        <x:v>Fret aérien</x:v>
      </x:c>
      <x:c r="E829" t="str">
        <x:v>Pôle E</x:v>
      </x:c>
      <x:c r="F829" s="18" t="n">
        <x:v>16187.62</x:v>
      </x:c>
      <x:c r="G829" s="18" t="n">
        <x:v>0</x:v>
      </x:c>
      <x:c r="H829" t="str">
        <x:v>Client 04</x:v>
      </x:c>
      <x:c r="I829" s="16"/>
    </x:row>
    <x:row r="830">
      <x:c r="A830" t="str">
        <x:v>DV-2025-00829</x:v>
      </x:c>
      <x:c r="B830" s="16" t="n">
        <x:v>45961</x:v>
      </x:c>
      <x:c r="C830" t="str">
        <x:v>Client 47</x:v>
      </x:c>
      <x:c r="D830" t="str">
        <x:v>Douane</x:v>
      </x:c>
      <x:c r="E830" t="str">
        <x:v>Pôle C</x:v>
      </x:c>
      <x:c r="F830" s="18" t="n">
        <x:v>21659.37</x:v>
      </x:c>
      <x:c r="G830" s="18" t="n">
        <x:v>21659.37</x:v>
      </x:c>
      <x:c r="H830" t="str">
        <x:v>Client 46</x:v>
      </x:c>
      <x:c r="I830" s="16" t="n">
        <x:v>46042</x:v>
      </x:c>
    </x:row>
    <x:row r="831">
      <x:c r="A831" t="str">
        <x:v>DV-2025-00830</x:v>
      </x:c>
      <x:c r="B831" s="16" t="n">
        <x:v>45814</x:v>
      </x:c>
      <x:c r="C831" t="str">
        <x:v>Client 35</x:v>
      </x:c>
      <x:c r="D831" t="str">
        <x:v>Fret maritime</x:v>
      </x:c>
      <x:c r="E831" t="str">
        <x:v>Pôle D</x:v>
      </x:c>
      <x:c r="F831" s="18" t="n">
        <x:v>22144.74</x:v>
      </x:c>
      <x:c r="G831" s="18" t="n">
        <x:v>22144.74</x:v>
      </x:c>
      <x:c r="H831" t="str">
        <x:v>Client 35</x:v>
      </x:c>
      <x:c r="I831" s="16" t="n">
        <x:v>45878</x:v>
      </x:c>
    </x:row>
    <x:row r="832">
      <x:c r="A832" t="str">
        <x:v>DV-2025-00831</x:v>
      </x:c>
      <x:c r="B832" s="16" t="n">
        <x:v>45908</x:v>
      </x:c>
      <x:c r="C832" t="str">
        <x:v>Client 29</x:v>
      </x:c>
      <x:c r="D832" t="str">
        <x:v>Douane</x:v>
      </x:c>
      <x:c r="E832" t="str">
        <x:v>Pôle E</x:v>
      </x:c>
      <x:c r="F832" s="18" t="n">
        <x:v>1831.04</x:v>
      </x:c>
      <x:c r="G832" s="18" t="n">
        <x:v>1220.16</x:v>
      </x:c>
      <x:c r="H832" t="str">
        <x:v>Client 29</x:v>
      </x:c>
      <x:c r="I832" s="16" t="n">
        <x:v>45997</x:v>
      </x:c>
    </x:row>
    <x:row r="833">
      <x:c r="A833" t="str">
        <x:v>DV-2025-00832</x:v>
      </x:c>
      <x:c r="B833" s="16" t="n">
        <x:v>45878</x:v>
      </x:c>
      <x:c r="C833" t="str">
        <x:v>Client 31</x:v>
      </x:c>
      <x:c r="D833" t="str">
        <x:v>Fret aérien</x:v>
      </x:c>
      <x:c r="E833" t="str">
        <x:v>Pôle B</x:v>
      </x:c>
      <x:c r="F833" s="18" t="n">
        <x:v>16084.49</x:v>
      </x:c>
      <x:c r="G833" s="18" t="n">
        <x:v>13016.02</x:v>
      </x:c>
      <x:c r="H833" t="str">
        <x:v>Client 31</x:v>
      </x:c>
      <x:c r="I833" s="16" t="n">
        <x:v>45881</x:v>
      </x:c>
    </x:row>
    <x:row r="834">
      <x:c r="A834" t="str">
        <x:v>DV-2024-00833</x:v>
      </x:c>
      <x:c r="B834" s="16" t="n">
        <x:v>45347</x:v>
      </x:c>
      <x:c r="C834" t="str">
        <x:v>Client 17</x:v>
      </x:c>
      <x:c r="D834" t="str">
        <x:v>Douane</x:v>
      </x:c>
      <x:c r="E834" t="str">
        <x:v>Pôle E</x:v>
      </x:c>
      <x:c r="F834" s="18" t="n">
        <x:v>2389.11</x:v>
      </x:c>
      <x:c r="G834" s="18" t="n">
        <x:v>0</x:v>
      </x:c>
      <x:c r="H834" t="str">
        <x:v>Client 17</x:v>
      </x:c>
      <x:c r="I834" s="16"/>
    </x:row>
    <x:row r="835">
      <x:c r="A835" t="str">
        <x:v>DV-2024-00834</x:v>
      </x:c>
      <x:c r="B835" s="16" t="n">
        <x:v>45343</x:v>
      </x:c>
      <x:c r="C835" t="str">
        <x:v>Client 27</x:v>
      </x:c>
      <x:c r="D835" t="str">
        <x:v>Logistique</x:v>
      </x:c>
      <x:c r="E835" t="str">
        <x:v>Pôle B</x:v>
      </x:c>
      <x:c r="F835" s="18" t="n">
        <x:v>21454.82</x:v>
      </x:c>
      <x:c r="G835" s="18" t="n">
        <x:v>0</x:v>
      </x:c>
      <x:c r="H835" t="str">
        <x:v>Client 27</x:v>
      </x:c>
      <x:c r="I835" s="16"/>
    </x:row>
    <x:row r="836">
      <x:c r="A836" t="str">
        <x:v>DV-2026-00835</x:v>
      </x:c>
      <x:c r="B836" s="16" t="n">
        <x:v>46151</x:v>
      </x:c>
      <x:c r="C836" t="str">
        <x:v>Client 42</x:v>
      </x:c>
      <x:c r="D836" t="str">
        <x:v>Fret aérien</x:v>
      </x:c>
      <x:c r="E836" t="str">
        <x:v>Pôle B</x:v>
      </x:c>
      <x:c r="F836" s="18" t="n">
        <x:v>23631.13</x:v>
      </x:c>
      <x:c r="G836" s="18" t="n">
        <x:v>23631.13</x:v>
      </x:c>
      <x:c r="H836" t="str">
        <x:v>Client 42</x:v>
      </x:c>
      <x:c r="I836" s="16" t="n">
        <x:v>46160</x:v>
      </x:c>
    </x:row>
    <x:row r="837">
      <x:c r="A837" t="str">
        <x:v>DV-2025-00836</x:v>
      </x:c>
      <x:c r="B837" s="16" t="n">
        <x:v>46017</x:v>
      </x:c>
      <x:c r="C837" t="str">
        <x:v>Client 24</x:v>
      </x:c>
      <x:c r="D837" t="str">
        <x:v>Fret aérien</x:v>
      </x:c>
      <x:c r="E837" t="str">
        <x:v>Pôle B</x:v>
      </x:c>
      <x:c r="F837" s="18" t="n">
        <x:v>21797.05</x:v>
      </x:c>
      <x:c r="G837" s="18" t="n">
        <x:v>21797.05</x:v>
      </x:c>
      <x:c r="H837" t="str">
        <x:v>Client 24</x:v>
      </x:c>
      <x:c r="I837" s="16" t="n">
        <x:v>46061</x:v>
      </x:c>
    </x:row>
    <x:row r="838">
      <x:c r="A838" t="str">
        <x:v>DV-2026-00837</x:v>
      </x:c>
      <x:c r="B838" s="16" t="n">
        <x:v>46026</x:v>
      </x:c>
      <x:c r="C838" t="str">
        <x:v>Client 03</x:v>
      </x:c>
      <x:c r="D838" t="str">
        <x:v>Douane</x:v>
      </x:c>
      <x:c r="E838" t="str">
        <x:v>Pôle B</x:v>
      </x:c>
      <x:c r="F838" s="18" t="n">
        <x:v>6301.89</x:v>
      </x:c>
      <x:c r="G838" s="18" t="n">
        <x:v>6301.89</x:v>
      </x:c>
      <x:c r="H838" t="str">
        <x:v>Client 03</x:v>
      </x:c>
      <x:c r="I838" s="16" t="n">
        <x:v>46061</x:v>
      </x:c>
    </x:row>
    <x:row r="839">
      <x:c r="A839" t="str">
        <x:v>DV-2026-00838</x:v>
      </x:c>
      <x:c r="B839" s="16" t="n">
        <x:v>46042</x:v>
      </x:c>
      <x:c r="C839" t="str">
        <x:v>Client 22</x:v>
      </x:c>
      <x:c r="D839" t="str">
        <x:v>Logistique</x:v>
      </x:c>
      <x:c r="E839" t="str">
        <x:v>Pôle D</x:v>
      </x:c>
      <x:c r="F839" s="18" t="n">
        <x:v>18906.46</x:v>
      </x:c>
      <x:c r="G839" s="18" t="n">
        <x:v>18906.46</x:v>
      </x:c>
      <x:c r="H839" t="str">
        <x:v>Client 22</x:v>
      </x:c>
      <x:c r="I839" s="16" t="n">
        <x:v>46095</x:v>
      </x:c>
    </x:row>
    <x:row r="840">
      <x:c r="A840" t="str">
        <x:v>DV-2026-00839</x:v>
      </x:c>
      <x:c r="B840" s="16" t="n">
        <x:v>46279</x:v>
      </x:c>
      <x:c r="C840" t="str">
        <x:v>Client 15</x:v>
      </x:c>
      <x:c r="D840" t="str">
        <x:v>Douane</x:v>
      </x:c>
      <x:c r="E840" t="str">
        <x:v>Pôle D</x:v>
      </x:c>
      <x:c r="F840" s="18" t="n">
        <x:v>23932.35</x:v>
      </x:c>
      <x:c r="G840" s="18" t="n">
        <x:v>23932.35</x:v>
      </x:c>
      <x:c r="H840" t="str">
        <x:v>Client 15</x:v>
      </x:c>
      <x:c r="I840" s="16" t="n">
        <x:v>46317</x:v>
      </x:c>
    </x:row>
    <x:row r="841">
      <x:c r="A841" t="str">
        <x:v>DV-2026-00840</x:v>
      </x:c>
      <x:c r="B841" s="16" t="n">
        <x:v>46219</x:v>
      </x:c>
      <x:c r="C841" t="str">
        <x:v>Client 10</x:v>
      </x:c>
      <x:c r="D841" t="str">
        <x:v>Fret maritime</x:v>
      </x:c>
      <x:c r="E841" t="str">
        <x:v>Pôle D</x:v>
      </x:c>
      <x:c r="F841" s="18" t="n">
        <x:v>22547.62</x:v>
      </x:c>
      <x:c r="G841" s="18" t="n">
        <x:v>22547.62</x:v>
      </x:c>
      <x:c r="H841" t="str">
        <x:v>Client 10</x:v>
      </x:c>
      <x:c r="I841" s="16" t="n">
        <x:v>46294</x:v>
      </x:c>
    </x:row>
    <x:row r="842">
      <x:c r="A842" t="str">
        <x:v>DV-2024-00841</x:v>
      </x:c>
      <x:c r="B842" s="16" t="n">
        <x:v>45486</x:v>
      </x:c>
      <x:c r="C842" t="str">
        <x:v>Client 23</x:v>
      </x:c>
      <x:c r="D842" t="str">
        <x:v>Fret aérien</x:v>
      </x:c>
      <x:c r="E842" t="str">
        <x:v>Pôle C</x:v>
      </x:c>
      <x:c r="F842" s="18" t="n">
        <x:v>3001.69</x:v>
      </x:c>
      <x:c r="G842" s="18" t="n">
        <x:v>1027.68</x:v>
      </x:c>
      <x:c r="H842" t="str">
        <x:v>Client 23</x:v>
      </x:c>
      <x:c r="I842" s="16" t="n">
        <x:v>45580</x:v>
      </x:c>
    </x:row>
    <x:row r="843">
      <x:c r="A843" t="str">
        <x:v>DV-2025-00842</x:v>
      </x:c>
      <x:c r="B843" s="16" t="n">
        <x:v>45760</x:v>
      </x:c>
      <x:c r="C843" t="str">
        <x:v>Client 29</x:v>
      </x:c>
      <x:c r="D843" t="str">
        <x:v>Logistique</x:v>
      </x:c>
      <x:c r="E843" t="str">
        <x:v>Pôle C</x:v>
      </x:c>
      <x:c r="F843" s="18" t="n">
        <x:v>20080.15</x:v>
      </x:c>
      <x:c r="G843" s="18" t="n">
        <x:v>20080.15</x:v>
      </x:c>
      <x:c r="H843" t="str">
        <x:v>Client 29</x:v>
      </x:c>
      <x:c r="I843" s="16" t="n">
        <x:v>45846</x:v>
      </x:c>
    </x:row>
    <x:row r="844">
      <x:c r="A844" t="str">
        <x:v>DV-2026-00843</x:v>
      </x:c>
      <x:c r="B844" s="16" t="n">
        <x:v>46265</x:v>
      </x:c>
      <x:c r="C844" t="str">
        <x:v>Client 15</x:v>
      </x:c>
      <x:c r="D844" t="str">
        <x:v>Logistique</x:v>
      </x:c>
      <x:c r="E844" t="str">
        <x:v>Pôle E</x:v>
      </x:c>
      <x:c r="F844" s="18" t="n">
        <x:v>2677.02</x:v>
      </x:c>
      <x:c r="G844" s="18" t="n">
        <x:v>2677.02</x:v>
      </x:c>
      <x:c r="H844" t="str">
        <x:v>Client 15</x:v>
      </x:c>
      <x:c r="I844" s="16" t="n">
        <x:v>46321</x:v>
      </x:c>
    </x:row>
    <x:row r="845">
      <x:c r="A845" t="str">
        <x:v>DV-2024-00844</x:v>
      </x:c>
      <x:c r="B845" s="16" t="n">
        <x:v>45566</x:v>
      </x:c>
      <x:c r="C845" t="str">
        <x:v>Client 44</x:v>
      </x:c>
      <x:c r="D845" t="str">
        <x:v>Logistique</x:v>
      </x:c>
      <x:c r="E845" t="str">
        <x:v>Pôle A</x:v>
      </x:c>
      <x:c r="F845" s="18" t="n">
        <x:v>16322.15</x:v>
      </x:c>
      <x:c r="G845" s="18" t="n">
        <x:v>16322.15</x:v>
      </x:c>
      <x:c r="H845" t="str">
        <x:v>Client 44</x:v>
      </x:c>
      <x:c r="I845" s="16" t="n">
        <x:v>45603</x:v>
      </x:c>
    </x:row>
    <x:row r="846">
      <x:c r="A846" t="str">
        <x:v>DV-2026-00845</x:v>
      </x:c>
      <x:c r="B846" s="16" t="n">
        <x:v>46266</x:v>
      </x:c>
      <x:c r="C846" t="str">
        <x:v>Client 37</x:v>
      </x:c>
      <x:c r="D846" t="str">
        <x:v>Douane</x:v>
      </x:c>
      <x:c r="E846" t="str">
        <x:v>Pôle C</x:v>
      </x:c>
      <x:c r="F846" s="18" t="n">
        <x:v>12639</x:v>
      </x:c>
      <x:c r="G846" s="18" t="n">
        <x:v>12639</x:v>
      </x:c>
      <x:c r="H846" t="str">
        <x:v>Client 37</x:v>
      </x:c>
      <x:c r="I846" s="16" t="n">
        <x:v>46280</x:v>
      </x:c>
    </x:row>
    <x:row r="847">
      <x:c r="A847" t="str">
        <x:v>DV-2024-00846</x:v>
      </x:c>
      <x:c r="B847" s="16" t="n">
        <x:v>45312</x:v>
      </x:c>
      <x:c r="C847" t="str">
        <x:v>Client 32</x:v>
      </x:c>
      <x:c r="D847" t="str">
        <x:v>Express</x:v>
      </x:c>
      <x:c r="E847" t="str">
        <x:v>Pôle A</x:v>
      </x:c>
      <x:c r="F847" s="18" t="n">
        <x:v>22260.02</x:v>
      </x:c>
      <x:c r="G847" s="18" t="n">
        <x:v>22260.02</x:v>
      </x:c>
      <x:c r="H847" t="str">
        <x:v>Client 47</x:v>
      </x:c>
      <x:c r="I847" s="16" t="n">
        <x:v>45402</x:v>
      </x:c>
    </x:row>
    <x:row r="848">
      <x:c r="A848" t="str">
        <x:v>DV-2026-00847</x:v>
      </x:c>
      <x:c r="B848" s="16" t="n">
        <x:v>46206</x:v>
      </x:c>
      <x:c r="C848" t="str">
        <x:v>Client 40</x:v>
      </x:c>
      <x:c r="D848" t="str">
        <x:v>Express</x:v>
      </x:c>
      <x:c r="E848" t="str">
        <x:v>Pôle E</x:v>
      </x:c>
      <x:c r="F848" s="18" t="n">
        <x:v>4810.75</x:v>
      </x:c>
      <x:c r="G848" s="18" t="n">
        <x:v>4810.75</x:v>
      </x:c>
      <x:c r="H848" t="str">
        <x:v>Client 40</x:v>
      </x:c>
      <x:c r="I848" s="16" t="n">
        <x:v>46252</x:v>
      </x:c>
    </x:row>
    <x:row r="849">
      <x:c r="A849" t="str">
        <x:v>DV-2026-00848</x:v>
      </x:c>
      <x:c r="B849" s="16" t="n">
        <x:v>46041</x:v>
      </x:c>
      <x:c r="C849" t="str">
        <x:v>Client 21</x:v>
      </x:c>
      <x:c r="D849" t="str">
        <x:v>Fret aérien</x:v>
      </x:c>
      <x:c r="E849" t="str">
        <x:v>Pôle B</x:v>
      </x:c>
      <x:c r="F849" s="18" t="n">
        <x:v>22392.62</x:v>
      </x:c>
      <x:c r="G849" s="18" t="n">
        <x:v>0</x:v>
      </x:c>
      <x:c r="H849" t="str">
        <x:v>Client 21</x:v>
      </x:c>
      <x:c r="I849" s="16"/>
    </x:row>
    <x:row r="850">
      <x:c r="A850" t="str">
        <x:v>DV-2025-00849</x:v>
      </x:c>
      <x:c r="B850" s="16" t="n">
        <x:v>45677</x:v>
      </x:c>
      <x:c r="C850" t="str">
        <x:v>Client 12</x:v>
      </x:c>
      <x:c r="D850" t="str">
        <x:v>Logistique</x:v>
      </x:c>
      <x:c r="E850" t="str">
        <x:v>Pôle B</x:v>
      </x:c>
      <x:c r="F850" s="18" t="n">
        <x:v>4139.83</x:v>
      </x:c>
      <x:c r="G850" s="18" t="n">
        <x:v>2696.72</x:v>
      </x:c>
      <x:c r="H850" t="str">
        <x:v>Client 12</x:v>
      </x:c>
      <x:c r="I850" s="16" t="n">
        <x:v>45757</x:v>
      </x:c>
    </x:row>
    <x:row r="851">
      <x:c r="A851" t="str">
        <x:v>DV-2026-00850</x:v>
      </x:c>
      <x:c r="B851" s="16" t="n">
        <x:v>46143</x:v>
      </x:c>
      <x:c r="C851" t="str">
        <x:v>Client 03</x:v>
      </x:c>
      <x:c r="D851" t="str">
        <x:v>Express</x:v>
      </x:c>
      <x:c r="E851" t="str">
        <x:v>Pôle D</x:v>
      </x:c>
      <x:c r="F851" s="18" t="n">
        <x:v>4612.23</x:v>
      </x:c>
      <x:c r="G851" s="18" t="n">
        <x:v>4612.23</x:v>
      </x:c>
      <x:c r="H851" t="str">
        <x:v>Client 03</x:v>
      </x:c>
      <x:c r="I851" s="16" t="n">
        <x:v>46182</x:v>
      </x:c>
    </x:row>
    <x:row r="852">
      <x:c r="A852" t="str">
        <x:v>DV-2026-00851</x:v>
      </x:c>
      <x:c r="B852" s="16" t="n">
        <x:v>46225</x:v>
      </x:c>
      <x:c r="C852" t="str">
        <x:v>Client 32</x:v>
      </x:c>
      <x:c r="D852" t="str">
        <x:v>Douane</x:v>
      </x:c>
      <x:c r="E852" t="str">
        <x:v>Pôle B</x:v>
      </x:c>
      <x:c r="F852" s="18" t="n">
        <x:v>22855.07</x:v>
      </x:c>
      <x:c r="G852" s="18" t="n">
        <x:v>22855.07</x:v>
      </x:c>
      <x:c r="H852" t="str">
        <x:v>Client 32</x:v>
      </x:c>
      <x:c r="I852" s="16" t="n">
        <x:v>46301</x:v>
      </x:c>
    </x:row>
    <x:row r="853">
      <x:c r="A853" t="str">
        <x:v>DV-2026-00852</x:v>
      </x:c>
      <x:c r="B853" s="16" t="n">
        <x:v>46085</x:v>
      </x:c>
      <x:c r="C853" t="str">
        <x:v>Client 08</x:v>
      </x:c>
      <x:c r="D853" t="str">
        <x:v>Logistique</x:v>
      </x:c>
      <x:c r="E853" t="str">
        <x:v>Pôle E</x:v>
      </x:c>
      <x:c r="F853" s="18" t="n">
        <x:v>20223.53</x:v>
      </x:c>
      <x:c r="G853" s="18" t="n">
        <x:v>20223.53</x:v>
      </x:c>
      <x:c r="H853" t="str">
        <x:v>Client 08</x:v>
      </x:c>
      <x:c r="I853" s="16" t="n">
        <x:v>46166</x:v>
      </x:c>
    </x:row>
    <x:row r="854">
      <x:c r="A854" t="str">
        <x:v>DV-2024-00853</x:v>
      </x:c>
      <x:c r="B854" s="16" t="n">
        <x:v>45640</x:v>
      </x:c>
      <x:c r="C854" t="str">
        <x:v>Client 30</x:v>
      </x:c>
      <x:c r="D854" t="str">
        <x:v>Fret aérien</x:v>
      </x:c>
      <x:c r="E854" t="str">
        <x:v>Pôle A</x:v>
      </x:c>
      <x:c r="F854" s="18" t="n">
        <x:v>14449.74</x:v>
      </x:c>
      <x:c r="G854" s="18" t="n">
        <x:v>4455.23</x:v>
      </x:c>
      <x:c r="H854" t="str">
        <x:v>Client 30</x:v>
      </x:c>
      <x:c r="I854" s="16" t="n">
        <x:v>45682</x:v>
      </x:c>
    </x:row>
    <x:row r="855">
      <x:c r="A855" t="str">
        <x:v>DV-2024-00854</x:v>
      </x:c>
      <x:c r="B855" s="16" t="n">
        <x:v>45613</x:v>
      </x:c>
      <x:c r="C855" t="str">
        <x:v>Client 30</x:v>
      </x:c>
      <x:c r="D855" t="str">
        <x:v>Fret aérien</x:v>
      </x:c>
      <x:c r="E855" t="str">
        <x:v>Pôle A</x:v>
      </x:c>
      <x:c r="F855" s="18" t="n">
        <x:v>10073.38</x:v>
      </x:c>
      <x:c r="G855" s="18" t="n">
        <x:v>0</x:v>
      </x:c>
      <x:c r="H855" t="str">
        <x:v>Client 30</x:v>
      </x:c>
      <x:c r="I855" s="16"/>
    </x:row>
    <x:row r="856">
      <x:c r="A856" t="str">
        <x:v>DV-2025-00855</x:v>
      </x:c>
      <x:c r="B856" s="16" t="n">
        <x:v>45786</x:v>
      </x:c>
      <x:c r="C856" t="str">
        <x:v>Client 04</x:v>
      </x:c>
      <x:c r="D856" t="str">
        <x:v>Fret maritime</x:v>
      </x:c>
      <x:c r="E856" t="str">
        <x:v>Pôle E</x:v>
      </x:c>
      <x:c r="F856" s="18" t="n">
        <x:v>11408.83</x:v>
      </x:c>
      <x:c r="G856" s="18" t="n">
        <x:v>11408.83</x:v>
      </x:c>
      <x:c r="H856" t="str">
        <x:v>Client 04</x:v>
      </x:c>
      <x:c r="I856" s="16" t="n">
        <x:v>45863</x:v>
      </x:c>
    </x:row>
    <x:row r="857">
      <x:c r="A857" t="str">
        <x:v>DV-2024-00856</x:v>
      </x:c>
      <x:c r="B857" s="16" t="n">
        <x:v>45506</x:v>
      </x:c>
      <x:c r="C857" t="str">
        <x:v>Client 27</x:v>
      </x:c>
      <x:c r="D857" t="str">
        <x:v>Fret aérien</x:v>
      </x:c>
      <x:c r="E857" t="str">
        <x:v>Pôle E</x:v>
      </x:c>
      <x:c r="F857" s="18" t="n">
        <x:v>14274.75</x:v>
      </x:c>
      <x:c r="G857" s="18" t="n">
        <x:v>14274.75</x:v>
      </x:c>
      <x:c r="H857" t="str">
        <x:v>Client 27</x:v>
      </x:c>
      <x:c r="I857" s="16" t="n">
        <x:v>45580</x:v>
      </x:c>
    </x:row>
    <x:row r="858">
      <x:c r="A858" t="str">
        <x:v>DV-2024-00857</x:v>
      </x:c>
      <x:c r="B858" s="16" t="n">
        <x:v>45624</x:v>
      </x:c>
      <x:c r="C858" t="str">
        <x:v>Client 33</x:v>
      </x:c>
      <x:c r="D858" t="str">
        <x:v>Express</x:v>
      </x:c>
      <x:c r="E858" t="str">
        <x:v>Pôle B</x:v>
      </x:c>
      <x:c r="F858" s="18" t="n">
        <x:v>23514.78</x:v>
      </x:c>
      <x:c r="G858" s="18" t="n">
        <x:v>23514.78</x:v>
      </x:c>
      <x:c r="H858" t="str">
        <x:v>Client 33</x:v>
      </x:c>
      <x:c r="I858" s="16" t="n">
        <x:v>45692</x:v>
      </x:c>
    </x:row>
    <x:row r="859">
      <x:c r="A859" t="str">
        <x:v>DV-2026-00858</x:v>
      </x:c>
      <x:c r="B859" s="16" t="n">
        <x:v>46199</x:v>
      </x:c>
      <x:c r="C859" t="str">
        <x:v>Client 05</x:v>
      </x:c>
      <x:c r="D859" t="str">
        <x:v>Fret aérien</x:v>
      </x:c>
      <x:c r="E859" t="str">
        <x:v>Pôle C</x:v>
      </x:c>
      <x:c r="F859" s="18" t="n">
        <x:v>21003.08</x:v>
      </x:c>
      <x:c r="G859" s="18" t="n">
        <x:v>21003.08</x:v>
      </x:c>
      <x:c r="H859" t="str">
        <x:v>Client 05</x:v>
      </x:c>
      <x:c r="I859" s="16" t="n">
        <x:v>46210</x:v>
      </x:c>
    </x:row>
    <x:row r="860">
      <x:c r="A860" t="str">
        <x:v>DV-2024-00859</x:v>
      </x:c>
      <x:c r="B860" s="16" t="n">
        <x:v>45310</x:v>
      </x:c>
      <x:c r="C860" t="str">
        <x:v>Client 43</x:v>
      </x:c>
      <x:c r="D860" t="str">
        <x:v>Express</x:v>
      </x:c>
      <x:c r="E860" t="str">
        <x:v>Pôle E</x:v>
      </x:c>
      <x:c r="F860" s="18" t="n">
        <x:v>2632.28</x:v>
      </x:c>
      <x:c r="G860" s="18" t="n">
        <x:v>2632.28</x:v>
      </x:c>
      <x:c r="H860" t="str">
        <x:v>Client 15</x:v>
      </x:c>
      <x:c r="I860" s="16" t="n">
        <x:v>45318</x:v>
      </x:c>
    </x:row>
    <x:row r="861">
      <x:c r="A861" t="str">
        <x:v>DV-2024-00860</x:v>
      </x:c>
      <x:c r="B861" s="16" t="n">
        <x:v>45457</x:v>
      </x:c>
      <x:c r="C861" t="str">
        <x:v>Client 49</x:v>
      </x:c>
      <x:c r="D861" t="str">
        <x:v>Douane</x:v>
      </x:c>
      <x:c r="E861" t="str">
        <x:v>Pôle E</x:v>
      </x:c>
      <x:c r="F861" s="18" t="n">
        <x:v>21145.19</x:v>
      </x:c>
      <x:c r="G861" s="18" t="n">
        <x:v>21145.19</x:v>
      </x:c>
      <x:c r="H861" t="str">
        <x:v>Client 49</x:v>
      </x:c>
      <x:c r="I861" s="16" t="n">
        <x:v>45540</x:v>
      </x:c>
    </x:row>
    <x:row r="862">
      <x:c r="A862" t="str">
        <x:v>DV-2024-00861</x:v>
      </x:c>
      <x:c r="B862" s="16" t="n">
        <x:v>45352</x:v>
      </x:c>
      <x:c r="C862" t="str">
        <x:v>Client 32</x:v>
      </x:c>
      <x:c r="D862" t="str">
        <x:v>Fret aérien</x:v>
      </x:c>
      <x:c r="E862" t="str">
        <x:v>Pôle B</x:v>
      </x:c>
      <x:c r="F862" s="18" t="n">
        <x:v>9894.49</x:v>
      </x:c>
      <x:c r="G862" s="18" t="n">
        <x:v>9894.49</x:v>
      </x:c>
      <x:c r="H862" t="str">
        <x:v>Client 32</x:v>
      </x:c>
      <x:c r="I862" s="16" t="n">
        <x:v>45430</x:v>
      </x:c>
    </x:row>
    <x:row r="863">
      <x:c r="A863" t="str">
        <x:v>DV-2025-00862</x:v>
      </x:c>
      <x:c r="B863" s="16" t="n">
        <x:v>45668</x:v>
      </x:c>
      <x:c r="C863" t="str">
        <x:v>Client 34</x:v>
      </x:c>
      <x:c r="D863" t="str">
        <x:v>Logistique</x:v>
      </x:c>
      <x:c r="E863" t="str">
        <x:v>Pôle A</x:v>
      </x:c>
      <x:c r="F863" s="18" t="n">
        <x:v>16948.84</x:v>
      </x:c>
      <x:c r="G863" s="18" t="n">
        <x:v>16948.84</x:v>
      </x:c>
      <x:c r="H863" t="str">
        <x:v>Client 33</x:v>
      </x:c>
      <x:c r="I863" s="16" t="n">
        <x:v>45730</x:v>
      </x:c>
    </x:row>
    <x:row r="864">
      <x:c r="A864" t="str">
        <x:v>DV-2024-00863</x:v>
      </x:c>
      <x:c r="B864" s="16" t="n">
        <x:v>45588</x:v>
      </x:c>
      <x:c r="C864" t="str">
        <x:v>Client 40</x:v>
      </x:c>
      <x:c r="D864" t="str">
        <x:v>Logistique</x:v>
      </x:c>
      <x:c r="E864" t="str">
        <x:v>Pôle A</x:v>
      </x:c>
      <x:c r="F864" s="18" t="n">
        <x:v>22998.91</x:v>
      </x:c>
      <x:c r="G864" s="18" t="n">
        <x:v>22998.91</x:v>
      </x:c>
      <x:c r="H864" t="str">
        <x:v>Client 21</x:v>
      </x:c>
      <x:c r="I864" s="16" t="n">
        <x:v>45589</x:v>
      </x:c>
    </x:row>
    <x:row r="865">
      <x:c r="A865" t="str">
        <x:v>DV-2024-00864</x:v>
      </x:c>
      <x:c r="B865" s="16" t="n">
        <x:v>45461</x:v>
      </x:c>
      <x:c r="C865" t="str">
        <x:v>Client 20</x:v>
      </x:c>
      <x:c r="D865" t="str">
        <x:v>Fret maritime</x:v>
      </x:c>
      <x:c r="E865" t="str">
        <x:v>Pôle A</x:v>
      </x:c>
      <x:c r="F865" s="18" t="n">
        <x:v>24421.6</x:v>
      </x:c>
      <x:c r="G865" s="18" t="n">
        <x:v>7459.08</x:v>
      </x:c>
      <x:c r="H865" t="str">
        <x:v>Client 20</x:v>
      </x:c>
      <x:c r="I865" s="16" t="n">
        <x:v>45499</x:v>
      </x:c>
    </x:row>
    <x:row r="866">
      <x:c r="A866" t="str">
        <x:v>DV-2024-00865</x:v>
      </x:c>
      <x:c r="B866" s="16" t="n">
        <x:v>45406</x:v>
      </x:c>
      <x:c r="C866" t="str">
        <x:v>Client 04</x:v>
      </x:c>
      <x:c r="D866" t="str">
        <x:v>Douane</x:v>
      </x:c>
      <x:c r="E866" t="str">
        <x:v>Pôle C</x:v>
      </x:c>
      <x:c r="F866" s="18" t="n">
        <x:v>23531.94</x:v>
      </x:c>
      <x:c r="G866" s="18" t="n">
        <x:v>23531.94</x:v>
      </x:c>
      <x:c r="H866" t="str">
        <x:v>Client 04</x:v>
      </x:c>
      <x:c r="I866" s="16" t="n">
        <x:v>45490</x:v>
      </x:c>
    </x:row>
    <x:row r="867">
      <x:c r="A867" t="str">
        <x:v>DV-2025-00866</x:v>
      </x:c>
      <x:c r="B867" s="16" t="n">
        <x:v>45671</x:v>
      </x:c>
      <x:c r="C867" t="str">
        <x:v>Client 15</x:v>
      </x:c>
      <x:c r="D867" t="str">
        <x:v>Express</x:v>
      </x:c>
      <x:c r="E867" t="str">
        <x:v>Pôle D</x:v>
      </x:c>
      <x:c r="F867" s="18" t="n">
        <x:v>23071.2</x:v>
      </x:c>
      <x:c r="G867" s="18" t="n">
        <x:v>23071.2</x:v>
      </x:c>
      <x:c r="H867" t="str">
        <x:v>Client 48</x:v>
      </x:c>
      <x:c r="I867" s="16" t="n">
        <x:v>45744</x:v>
      </x:c>
    </x:row>
    <x:row r="868">
      <x:c r="A868" t="str">
        <x:v>DV-2024-00867</x:v>
      </x:c>
      <x:c r="B868" s="16" t="n">
        <x:v>45298</x:v>
      </x:c>
      <x:c r="C868" t="str">
        <x:v>Client 41</x:v>
      </x:c>
      <x:c r="D868" t="str">
        <x:v>Logistique</x:v>
      </x:c>
      <x:c r="E868" t="str">
        <x:v>Pôle B</x:v>
      </x:c>
      <x:c r="F868" s="18" t="n">
        <x:v>18506.23</x:v>
      </x:c>
      <x:c r="G868" s="18" t="n">
        <x:v>18506.23</x:v>
      </x:c>
      <x:c r="H868" t="str">
        <x:v>Client 41</x:v>
      </x:c>
      <x:c r="I868" s="16" t="n">
        <x:v>45363</x:v>
      </x:c>
    </x:row>
    <x:row r="869">
      <x:c r="A869" t="str">
        <x:v>DV-2025-00868</x:v>
      </x:c>
      <x:c r="B869" s="16" t="n">
        <x:v>45963</x:v>
      </x:c>
      <x:c r="C869" t="str">
        <x:v>Client 39</x:v>
      </x:c>
      <x:c r="D869" t="str">
        <x:v>Express</x:v>
      </x:c>
      <x:c r="E869" t="str">
        <x:v>Pôle B</x:v>
      </x:c>
      <x:c r="F869" s="18" t="n">
        <x:v>16124.11</x:v>
      </x:c>
      <x:c r="G869" s="18" t="n">
        <x:v>16124.11</x:v>
      </x:c>
      <x:c r="H869" t="str">
        <x:v>Client 39</x:v>
      </x:c>
      <x:c r="I869" s="16" t="n">
        <x:v>45991</x:v>
      </x:c>
    </x:row>
    <x:row r="870">
      <x:c r="A870" t="str">
        <x:v>DV-2026-00869</x:v>
      </x:c>
      <x:c r="B870" s="16" t="n">
        <x:v>46137</x:v>
      </x:c>
      <x:c r="C870" t="str">
        <x:v>Client 10</x:v>
      </x:c>
      <x:c r="D870" t="str">
        <x:v>Douane</x:v>
      </x:c>
      <x:c r="E870" t="str">
        <x:v>Pôle A</x:v>
      </x:c>
      <x:c r="F870" s="18" t="n">
        <x:v>19471.18</x:v>
      </x:c>
      <x:c r="G870" s="18" t="n">
        <x:v>19471.18</x:v>
      </x:c>
      <x:c r="H870" t="str">
        <x:v>Client 10</x:v>
      </x:c>
      <x:c r="I870" s="16" t="n">
        <x:v>46157</x:v>
      </x:c>
    </x:row>
    <x:row r="871">
      <x:c r="A871" t="str">
        <x:v>DV-2025-00870</x:v>
      </x:c>
      <x:c r="B871" s="16" t="n">
        <x:v>46008</x:v>
      </x:c>
      <x:c r="C871" t="str">
        <x:v>Client 20</x:v>
      </x:c>
      <x:c r="D871" t="str">
        <x:v>Fret aérien</x:v>
      </x:c>
      <x:c r="E871" t="str">
        <x:v>Pôle C</x:v>
      </x:c>
      <x:c r="F871" s="18" t="n">
        <x:v>5670.13</x:v>
      </x:c>
      <x:c r="G871" s="18" t="n">
        <x:v>5670.13</x:v>
      </x:c>
      <x:c r="H871" t="str">
        <x:v>Client 20</x:v>
      </x:c>
      <x:c r="I871" s="16" t="n">
        <x:v>46023</x:v>
      </x:c>
    </x:row>
    <x:row r="872">
      <x:c r="A872" t="str">
        <x:v>DV-2025-00871</x:v>
      </x:c>
      <x:c r="B872" s="16" t="n">
        <x:v>45770</x:v>
      </x:c>
      <x:c r="C872" t="str">
        <x:v>Client 38</x:v>
      </x:c>
      <x:c r="D872" t="str">
        <x:v>Fret maritime</x:v>
      </x:c>
      <x:c r="E872" t="str">
        <x:v>Pôle D</x:v>
      </x:c>
      <x:c r="F872" s="18" t="n">
        <x:v>19742.37</x:v>
      </x:c>
      <x:c r="G872" s="18" t="n">
        <x:v>19742.37</x:v>
      </x:c>
      <x:c r="H872" t="str">
        <x:v>Client 38</x:v>
      </x:c>
      <x:c r="I872" s="16" t="n">
        <x:v>45829</x:v>
      </x:c>
    </x:row>
    <x:row r="873">
      <x:c r="A873" t="str">
        <x:v>DV-2026-00872</x:v>
      </x:c>
      <x:c r="B873" s="16" t="n">
        <x:v>46122</x:v>
      </x:c>
      <x:c r="C873" t="str">
        <x:v>Client 23</x:v>
      </x:c>
      <x:c r="D873" t="str">
        <x:v>Douane</x:v>
      </x:c>
      <x:c r="E873" t="str">
        <x:v>Pôle C</x:v>
      </x:c>
      <x:c r="F873" s="18" t="n">
        <x:v>11607.24</x:v>
      </x:c>
      <x:c r="G873" s="18" t="n">
        <x:v>11607.24</x:v>
      </x:c>
      <x:c r="H873" t="str">
        <x:v>Client 33</x:v>
      </x:c>
      <x:c r="I873" s="16" t="n">
        <x:v>46178</x:v>
      </x:c>
    </x:row>
    <x:row r="874">
      <x:c r="A874" t="str">
        <x:v>DV-2024-00873</x:v>
      </x:c>
      <x:c r="B874" s="16" t="n">
        <x:v>45526</x:v>
      </x:c>
      <x:c r="C874" t="str">
        <x:v>Client 28</x:v>
      </x:c>
      <x:c r="D874" t="str">
        <x:v>Logistique</x:v>
      </x:c>
      <x:c r="E874" t="str">
        <x:v>Pôle B</x:v>
      </x:c>
      <x:c r="F874" s="18" t="n">
        <x:v>7974.99</x:v>
      </x:c>
      <x:c r="G874" s="18" t="n">
        <x:v>3682.17</x:v>
      </x:c>
      <x:c r="H874" t="str">
        <x:v>Client 28</x:v>
      </x:c>
      <x:c r="I874" s="16" t="n">
        <x:v>45545</x:v>
      </x:c>
    </x:row>
    <x:row r="875">
      <x:c r="A875" t="str">
        <x:v>DV-2025-00874</x:v>
      </x:c>
      <x:c r="B875" s="16" t="n">
        <x:v>45771</x:v>
      </x:c>
      <x:c r="C875" t="str">
        <x:v>Client 41</x:v>
      </x:c>
      <x:c r="D875" t="str">
        <x:v>Fret maritime</x:v>
      </x:c>
      <x:c r="E875" t="str">
        <x:v>Pôle A</x:v>
      </x:c>
      <x:c r="F875" s="18" t="n">
        <x:v>13200.98</x:v>
      </x:c>
      <x:c r="G875" s="18" t="n">
        <x:v>8684.87</x:v>
      </x:c>
      <x:c r="H875" t="str">
        <x:v>Client 41</x:v>
      </x:c>
      <x:c r="I875" s="16" t="n">
        <x:v>45822</x:v>
      </x:c>
    </x:row>
    <x:row r="876">
      <x:c r="A876" t="str">
        <x:v>DV-2024-00875</x:v>
      </x:c>
      <x:c r="B876" s="16" t="n">
        <x:v>45331</x:v>
      </x:c>
      <x:c r="C876" t="str">
        <x:v>Client 42</x:v>
      </x:c>
      <x:c r="D876" t="str">
        <x:v>Fret aérien</x:v>
      </x:c>
      <x:c r="E876" t="str">
        <x:v>Pôle D</x:v>
      </x:c>
      <x:c r="F876" s="18" t="n">
        <x:v>6181.24</x:v>
      </x:c>
      <x:c r="G876" s="18" t="n">
        <x:v>0</x:v>
      </x:c>
      <x:c r="H876" t="str">
        <x:v>Client 42</x:v>
      </x:c>
      <x:c r="I876" s="16"/>
    </x:row>
    <x:row r="877">
      <x:c r="A877" t="str">
        <x:v>DV-2024-00876</x:v>
      </x:c>
      <x:c r="B877" s="16" t="n">
        <x:v>45459</x:v>
      </x:c>
      <x:c r="C877" t="str">
        <x:v>Client 02</x:v>
      </x:c>
      <x:c r="D877" t="str">
        <x:v>Fret aérien</x:v>
      </x:c>
      <x:c r="E877" t="str">
        <x:v>Pôle E</x:v>
      </x:c>
      <x:c r="F877" s="18" t="n">
        <x:v>16638.94</x:v>
      </x:c>
      <x:c r="G877" s="18" t="n">
        <x:v>16638.94</x:v>
      </x:c>
      <x:c r="H877" t="str">
        <x:v>Client 02</x:v>
      </x:c>
      <x:c r="I877" s="16" t="n">
        <x:v>45515</x:v>
      </x:c>
    </x:row>
    <x:row r="878">
      <x:c r="A878" t="str">
        <x:v>DV-2024-00877</x:v>
      </x:c>
      <x:c r="B878" s="16" t="n">
        <x:v>45492</x:v>
      </x:c>
      <x:c r="C878" t="str">
        <x:v>Client 07</x:v>
      </x:c>
      <x:c r="D878" t="str">
        <x:v>Fret aérien</x:v>
      </x:c>
      <x:c r="E878" t="str">
        <x:v>Pôle E</x:v>
      </x:c>
      <x:c r="F878" s="18" t="n">
        <x:v>7490.67</x:v>
      </x:c>
      <x:c r="G878" s="18" t="n">
        <x:v>7490.67</x:v>
      </x:c>
      <x:c r="H878" t="str">
        <x:v>Client 07</x:v>
      </x:c>
      <x:c r="I878" s="16" t="n">
        <x:v>45509</x:v>
      </x:c>
    </x:row>
    <x:row r="879">
      <x:c r="A879" t="str">
        <x:v>DV-2024-00878</x:v>
      </x:c>
      <x:c r="B879" s="16" t="n">
        <x:v>45540</x:v>
      </x:c>
      <x:c r="C879" t="str">
        <x:v>Client 07</x:v>
      </x:c>
      <x:c r="D879" t="str">
        <x:v>Fret maritime</x:v>
      </x:c>
      <x:c r="E879" t="str">
        <x:v>Pôle D</x:v>
      </x:c>
      <x:c r="F879" s="18" t="n">
        <x:v>1459.56</x:v>
      </x:c>
      <x:c r="G879" s="18" t="n">
        <x:v>1459.56</x:v>
      </x:c>
      <x:c r="H879" t="str">
        <x:v>Client 49</x:v>
      </x:c>
      <x:c r="I879" s="16" t="n">
        <x:v>45542</x:v>
      </x:c>
    </x:row>
    <x:row r="880">
      <x:c r="A880" t="str">
        <x:v>DV-2026-00879</x:v>
      </x:c>
      <x:c r="B880" s="16" t="n">
        <x:v>46111</x:v>
      </x:c>
      <x:c r="C880" t="str">
        <x:v>Client 18</x:v>
      </x:c>
      <x:c r="D880" t="str">
        <x:v>Douane</x:v>
      </x:c>
      <x:c r="E880" t="str">
        <x:v>Pôle D</x:v>
      </x:c>
      <x:c r="F880" s="18" t="n">
        <x:v>10092.98</x:v>
      </x:c>
      <x:c r="G880" s="18" t="n">
        <x:v>10092.98</x:v>
      </x:c>
      <x:c r="H880" t="str">
        <x:v>Client 18</x:v>
      </x:c>
      <x:c r="I880" s="16" t="n">
        <x:v>46160</x:v>
      </x:c>
    </x:row>
    <x:row r="881">
      <x:c r="A881" t="str">
        <x:v>DV-2025-00880</x:v>
      </x:c>
      <x:c r="B881" s="16" t="n">
        <x:v>45785</x:v>
      </x:c>
      <x:c r="C881" t="str">
        <x:v>Client 39</x:v>
      </x:c>
      <x:c r="D881" t="str">
        <x:v>Fret aérien</x:v>
      </x:c>
      <x:c r="E881" t="str">
        <x:v>Pôle C</x:v>
      </x:c>
      <x:c r="F881" s="18" t="n">
        <x:v>3017.99</x:v>
      </x:c>
      <x:c r="G881" s="18" t="n">
        <x:v>601.97</x:v>
      </x:c>
      <x:c r="H881" t="str">
        <x:v>Client 39</x:v>
      </x:c>
      <x:c r="I881" s="16" t="n">
        <x:v>45878</x:v>
      </x:c>
    </x:row>
    <x:row r="882">
      <x:c r="A882" t="str">
        <x:v>DV-2026-00881</x:v>
      </x:c>
      <x:c r="B882" s="16" t="n">
        <x:v>46201</x:v>
      </x:c>
      <x:c r="C882" t="str">
        <x:v>Client 24</x:v>
      </x:c>
      <x:c r="D882" t="str">
        <x:v>Douane</x:v>
      </x:c>
      <x:c r="E882" t="str">
        <x:v>Pôle D</x:v>
      </x:c>
      <x:c r="F882" s="18" t="n">
        <x:v>11607.21</x:v>
      </x:c>
      <x:c r="G882" s="18" t="n">
        <x:v>11607.21</x:v>
      </x:c>
      <x:c r="H882" t="str">
        <x:v>Client 24</x:v>
      </x:c>
      <x:c r="I882" s="16" t="n">
        <x:v>46263</x:v>
      </x:c>
    </x:row>
    <x:row r="883">
      <x:c r="A883" t="str">
        <x:v>DV-2024-00882</x:v>
      </x:c>
      <x:c r="B883" s="16" t="n">
        <x:v>45598</x:v>
      </x:c>
      <x:c r="C883" t="str">
        <x:v>Client 19</x:v>
      </x:c>
      <x:c r="D883" t="str">
        <x:v>Fret maritime</x:v>
      </x:c>
      <x:c r="E883" t="str">
        <x:v>Pôle B</x:v>
      </x:c>
      <x:c r="F883" s="18" t="n">
        <x:v>2236.47</x:v>
      </x:c>
      <x:c r="G883" s="18" t="n">
        <x:v>2236.47</x:v>
      </x:c>
      <x:c r="H883" t="str">
        <x:v>Client 19</x:v>
      </x:c>
      <x:c r="I883" s="16" t="n">
        <x:v>45631</x:v>
      </x:c>
    </x:row>
    <x:row r="884">
      <x:c r="A884" t="str">
        <x:v>DV-2026-00883</x:v>
      </x:c>
      <x:c r="B884" s="16" t="n">
        <x:v>46184</x:v>
      </x:c>
      <x:c r="C884" t="str">
        <x:v>Client 43</x:v>
      </x:c>
      <x:c r="D884" t="str">
        <x:v>Express</x:v>
      </x:c>
      <x:c r="E884" t="str">
        <x:v>Pôle D</x:v>
      </x:c>
      <x:c r="F884" s="18" t="n">
        <x:v>8772.2</x:v>
      </x:c>
      <x:c r="G884" s="18" t="n">
        <x:v>8772.2</x:v>
      </x:c>
      <x:c r="H884" t="str">
        <x:v>Client 43</x:v>
      </x:c>
      <x:c r="I884" s="16" t="n">
        <x:v>46211</x:v>
      </x:c>
    </x:row>
    <x:row r="885">
      <x:c r="A885" t="str">
        <x:v>DV-2025-00884</x:v>
      </x:c>
      <x:c r="B885" s="16" t="n">
        <x:v>45927</x:v>
      </x:c>
      <x:c r="C885" t="str">
        <x:v>Client 05</x:v>
      </x:c>
      <x:c r="D885" t="str">
        <x:v>Fret maritime</x:v>
      </x:c>
      <x:c r="E885" t="str">
        <x:v>Pôle B</x:v>
      </x:c>
      <x:c r="F885" s="18" t="n">
        <x:v>12033.32</x:v>
      </x:c>
      <x:c r="G885" s="18" t="n">
        <x:v>12033.32</x:v>
      </x:c>
      <x:c r="H885" t="str">
        <x:v>Client 05</x:v>
      </x:c>
      <x:c r="I885" s="16" t="n">
        <x:v>45964</x:v>
      </x:c>
    </x:row>
    <x:row r="886">
      <x:c r="A886" t="str">
        <x:v>DV-2024-00885</x:v>
      </x:c>
      <x:c r="B886" s="16" t="n">
        <x:v>45496</x:v>
      </x:c>
      <x:c r="C886" t="str">
        <x:v>Client 41</x:v>
      </x:c>
      <x:c r="D886" t="str">
        <x:v>Fret aérien</x:v>
      </x:c>
      <x:c r="E886" t="str">
        <x:v>Pôle A</x:v>
      </x:c>
      <x:c r="F886" s="18" t="n">
        <x:v>24430.1</x:v>
      </x:c>
      <x:c r="G886" s="18" t="n">
        <x:v>24430.1</x:v>
      </x:c>
      <x:c r="H886" t="str">
        <x:v>Client 41</x:v>
      </x:c>
      <x:c r="I886" s="16" t="n">
        <x:v>45538</x:v>
      </x:c>
    </x:row>
    <x:row r="887">
      <x:c r="A887" t="str">
        <x:v>DV-2026-00886</x:v>
      </x:c>
      <x:c r="B887" s="16" t="n">
        <x:v>46113</x:v>
      </x:c>
      <x:c r="C887" t="str">
        <x:v>Client 43</x:v>
      </x:c>
      <x:c r="D887" t="str">
        <x:v>Fret aérien</x:v>
      </x:c>
      <x:c r="E887" t="str">
        <x:v>Pôle B</x:v>
      </x:c>
      <x:c r="F887" s="18" t="n">
        <x:v>17777.44</x:v>
      </x:c>
      <x:c r="G887" s="18" t="n">
        <x:v>17777.44</x:v>
      </x:c>
      <x:c r="H887" t="str">
        <x:v>Client 43</x:v>
      </x:c>
      <x:c r="I887" s="16" t="n">
        <x:v>46123</x:v>
      </x:c>
    </x:row>
    <x:row r="888">
      <x:c r="A888" t="str">
        <x:v>DV-2024-00887</x:v>
      </x:c>
      <x:c r="B888" s="16" t="n">
        <x:v>45589</x:v>
      </x:c>
      <x:c r="C888" t="str">
        <x:v>Client 50</x:v>
      </x:c>
      <x:c r="D888" t="str">
        <x:v>Express</x:v>
      </x:c>
      <x:c r="E888" t="str">
        <x:v>Pôle C</x:v>
      </x:c>
      <x:c r="F888" s="18" t="n">
        <x:v>24459.47</x:v>
      </x:c>
      <x:c r="G888" s="18" t="n">
        <x:v>24459.47</x:v>
      </x:c>
      <x:c r="H888" t="str">
        <x:v>Client 06</x:v>
      </x:c>
      <x:c r="I888" s="16" t="n">
        <x:v>45607</x:v>
      </x:c>
    </x:row>
    <x:row r="889">
      <x:c r="A889" t="str">
        <x:v>DV-2024-00888</x:v>
      </x:c>
      <x:c r="B889" s="16" t="n">
        <x:v>45533</x:v>
      </x:c>
      <x:c r="C889" t="str">
        <x:v>Client 22</x:v>
      </x:c>
      <x:c r="D889" t="str">
        <x:v>Fret maritime</x:v>
      </x:c>
      <x:c r="E889" t="str">
        <x:v>Pôle E</x:v>
      </x:c>
      <x:c r="F889" s="18" t="n">
        <x:v>15900.95</x:v>
      </x:c>
      <x:c r="G889" s="18" t="n">
        <x:v>15900.95</x:v>
      </x:c>
      <x:c r="H889" t="str">
        <x:v>Client 46</x:v>
      </x:c>
      <x:c r="I889" s="16" t="n">
        <x:v>45606</x:v>
      </x:c>
    </x:row>
    <x:row r="890">
      <x:c r="A890" t="str">
        <x:v>DV-2024-00889</x:v>
      </x:c>
      <x:c r="B890" s="16" t="n">
        <x:v>45624</x:v>
      </x:c>
      <x:c r="C890" t="str">
        <x:v>Client 12</x:v>
      </x:c>
      <x:c r="D890" t="str">
        <x:v>Express</x:v>
      </x:c>
      <x:c r="E890" t="str">
        <x:v>Pôle E</x:v>
      </x:c>
      <x:c r="F890" s="18" t="n">
        <x:v>16292.49</x:v>
      </x:c>
      <x:c r="G890" s="18" t="n">
        <x:v>16292.49</x:v>
      </x:c>
      <x:c r="H890" t="str">
        <x:v>Client 12</x:v>
      </x:c>
      <x:c r="I890" s="16" t="n">
        <x:v>45707</x:v>
      </x:c>
    </x:row>
    <x:row r="891">
      <x:c r="A891" t="str">
        <x:v>DV-2024-00890</x:v>
      </x:c>
      <x:c r="B891" s="16" t="n">
        <x:v>45505</x:v>
      </x:c>
      <x:c r="C891" t="str">
        <x:v>Client 39</x:v>
      </x:c>
      <x:c r="D891" t="str">
        <x:v>Express</x:v>
      </x:c>
      <x:c r="E891" t="str">
        <x:v>Pôle E</x:v>
      </x:c>
      <x:c r="F891" s="18" t="n">
        <x:v>20597.84</x:v>
      </x:c>
      <x:c r="G891" s="18" t="n">
        <x:v>20597.84</x:v>
      </x:c>
      <x:c r="H891" t="str">
        <x:v>Client 39</x:v>
      </x:c>
      <x:c r="I891" s="16" t="n">
        <x:v>45572</x:v>
      </x:c>
    </x:row>
    <x:row r="892">
      <x:c r="A892" t="str">
        <x:v>DV-2024-00891</x:v>
      </x:c>
      <x:c r="B892" s="16" t="n">
        <x:v>45321</x:v>
      </x:c>
      <x:c r="C892" t="str">
        <x:v>Client 37</x:v>
      </x:c>
      <x:c r="D892" t="str">
        <x:v>Logistique</x:v>
      </x:c>
      <x:c r="E892" t="str">
        <x:v>Pôle E</x:v>
      </x:c>
      <x:c r="F892" s="18" t="n">
        <x:v>21543.41</x:v>
      </x:c>
      <x:c r="G892" s="18" t="n">
        <x:v>18427.03</x:v>
      </x:c>
      <x:c r="H892" t="str">
        <x:v>Client 37</x:v>
      </x:c>
      <x:c r="I892" s="16" t="n">
        <x:v>45359</x:v>
      </x:c>
    </x:row>
    <x:row r="893">
      <x:c r="A893" t="str">
        <x:v>DV-2025-00892</x:v>
      </x:c>
      <x:c r="B893" s="16" t="n">
        <x:v>45922</x:v>
      </x:c>
      <x:c r="C893" t="str">
        <x:v>Client 12</x:v>
      </x:c>
      <x:c r="D893" t="str">
        <x:v>Logistique</x:v>
      </x:c>
      <x:c r="E893" t="str">
        <x:v>Pôle D</x:v>
      </x:c>
      <x:c r="F893" s="18" t="n">
        <x:v>1763.39</x:v>
      </x:c>
      <x:c r="G893" s="18" t="n">
        <x:v>1763.39</x:v>
      </x:c>
      <x:c r="H893" t="str">
        <x:v>Client 12</x:v>
      </x:c>
      <x:c r="I893" s="16" t="n">
        <x:v>45961</x:v>
      </x:c>
    </x:row>
    <x:row r="894">
      <x:c r="A894" t="str">
        <x:v>DV-2025-00893</x:v>
      </x:c>
      <x:c r="B894" s="16" t="n">
        <x:v>45965</x:v>
      </x:c>
      <x:c r="C894" t="str">
        <x:v>Client 44</x:v>
      </x:c>
      <x:c r="D894" t="str">
        <x:v>Logistique</x:v>
      </x:c>
      <x:c r="E894" t="str">
        <x:v>Pôle B</x:v>
      </x:c>
      <x:c r="F894" s="18" t="n">
        <x:v>5048.67</x:v>
      </x:c>
      <x:c r="G894" s="18" t="n">
        <x:v>0</x:v>
      </x:c>
      <x:c r="H894" t="str">
        <x:v>Client 44</x:v>
      </x:c>
      <x:c r="I894" s="16"/>
    </x:row>
    <x:row r="895">
      <x:c r="A895" t="str">
        <x:v>DV-2026-00894</x:v>
      </x:c>
      <x:c r="B895" s="16" t="n">
        <x:v>46180</x:v>
      </x:c>
      <x:c r="C895" t="str">
        <x:v>Client 47</x:v>
      </x:c>
      <x:c r="D895" t="str">
        <x:v>Express</x:v>
      </x:c>
      <x:c r="E895" t="str">
        <x:v>Pôle C</x:v>
      </x:c>
      <x:c r="F895" s="18" t="n">
        <x:v>3203.35</x:v>
      </x:c>
      <x:c r="G895" s="18" t="n">
        <x:v>2177.23</x:v>
      </x:c>
      <x:c r="H895" t="str">
        <x:v>Client 47</x:v>
      </x:c>
      <x:c r="I895" s="16" t="n">
        <x:v>46222</x:v>
      </x:c>
    </x:row>
    <x:row r="896">
      <x:c r="A896" t="str">
        <x:v>DV-2025-00895</x:v>
      </x:c>
      <x:c r="B896" s="16" t="n">
        <x:v>45774</x:v>
      </x:c>
      <x:c r="C896" t="str">
        <x:v>Client 08</x:v>
      </x:c>
      <x:c r="D896" t="str">
        <x:v>Fret aérien</x:v>
      </x:c>
      <x:c r="E896" t="str">
        <x:v>Pôle C</x:v>
      </x:c>
      <x:c r="F896" s="18" t="n">
        <x:v>14721.88</x:v>
      </x:c>
      <x:c r="G896" s="18" t="n">
        <x:v>14721.88</x:v>
      </x:c>
      <x:c r="H896" t="str">
        <x:v>Client 08</x:v>
      </x:c>
      <x:c r="I896" s="16" t="n">
        <x:v>45837</x:v>
      </x:c>
    </x:row>
    <x:row r="897">
      <x:c r="A897" t="str">
        <x:v>DV-2025-00896</x:v>
      </x:c>
      <x:c r="B897" s="16" t="n">
        <x:v>45733</x:v>
      </x:c>
      <x:c r="C897" t="str">
        <x:v>Client 29</x:v>
      </x:c>
      <x:c r="D897" t="str">
        <x:v>Express</x:v>
      </x:c>
      <x:c r="E897" t="str">
        <x:v>Pôle E</x:v>
      </x:c>
      <x:c r="F897" s="18" t="n">
        <x:v>18666.33</x:v>
      </x:c>
      <x:c r="G897" s="18" t="n">
        <x:v>0</x:v>
      </x:c>
      <x:c r="H897" t="str">
        <x:v>Client 29</x:v>
      </x:c>
      <x:c r="I897" s="16"/>
    </x:row>
    <x:row r="898">
      <x:c r="A898" t="str">
        <x:v>DV-2024-00897</x:v>
      </x:c>
      <x:c r="B898" s="16" t="n">
        <x:v>45579</x:v>
      </x:c>
      <x:c r="C898" t="str">
        <x:v>Client 40</x:v>
      </x:c>
      <x:c r="D898" t="str">
        <x:v>Douane</x:v>
      </x:c>
      <x:c r="E898" t="str">
        <x:v>Pôle A</x:v>
      </x:c>
      <x:c r="F898" s="18" t="n">
        <x:v>2056.92</x:v>
      </x:c>
      <x:c r="G898" s="18" t="n">
        <x:v>2056.92</x:v>
      </x:c>
      <x:c r="H898" t="str">
        <x:v>Client 40</x:v>
      </x:c>
      <x:c r="I898" s="16" t="n">
        <x:v>45594</x:v>
      </x:c>
    </x:row>
    <x:row r="899">
      <x:c r="A899" t="str">
        <x:v>DV-2024-00898</x:v>
      </x:c>
      <x:c r="B899" s="16" t="n">
        <x:v>45572</x:v>
      </x:c>
      <x:c r="C899" t="str">
        <x:v>Client 05</x:v>
      </x:c>
      <x:c r="D899" t="str">
        <x:v>Douane</x:v>
      </x:c>
      <x:c r="E899" t="str">
        <x:v>Pôle C</x:v>
      </x:c>
      <x:c r="F899" s="18" t="n">
        <x:v>7314.6</x:v>
      </x:c>
      <x:c r="G899" s="18" t="n">
        <x:v>2603.79</x:v>
      </x:c>
      <x:c r="H899" t="str">
        <x:v>Client 05</x:v>
      </x:c>
      <x:c r="I899" s="16" t="n">
        <x:v>45584</x:v>
      </x:c>
    </x:row>
    <x:row r="900">
      <x:c r="A900" t="str">
        <x:v>DV-2025-00899</x:v>
      </x:c>
      <x:c r="B900" s="16" t="n">
        <x:v>45941</x:v>
      </x:c>
      <x:c r="C900" t="str">
        <x:v>Client 02</x:v>
      </x:c>
      <x:c r="D900" t="str">
        <x:v>Express</x:v>
      </x:c>
      <x:c r="E900" t="str">
        <x:v>Pôle D</x:v>
      </x:c>
      <x:c r="F900" s="18" t="n">
        <x:v>338.11</x:v>
      </x:c>
      <x:c r="G900" s="18" t="n">
        <x:v>247.32</x:v>
      </x:c>
      <x:c r="H900" t="str">
        <x:v>Client 02</x:v>
      </x:c>
      <x:c r="I900" s="16" t="n">
        <x:v>46028</x:v>
      </x:c>
    </x:row>
    <x:row r="901">
      <x:c r="A901" t="str">
        <x:v>DV-2026-00900</x:v>
      </x:c>
      <x:c r="B901" s="16" t="n">
        <x:v>46239</x:v>
      </x:c>
      <x:c r="C901" t="str">
        <x:v>Client 01</x:v>
      </x:c>
      <x:c r="D901" t="str">
        <x:v>Fret aérien</x:v>
      </x:c>
      <x:c r="E901" t="str">
        <x:v>Pôle D</x:v>
      </x:c>
      <x:c r="F901" s="18" t="n">
        <x:v>23608.93</x:v>
      </x:c>
      <x:c r="G901" s="18" t="n">
        <x:v>23608.93</x:v>
      </x:c>
      <x:c r="H901" t="str">
        <x:v>Client 01</x:v>
      </x:c>
      <x:c r="I901" s="16" t="n">
        <x:v>46308</x:v>
      </x:c>
    </x:row>
    <x:row r="902">
      <x:c r="A902" t="str">
        <x:v>DV-2024-00901</x:v>
      </x:c>
      <x:c r="B902" s="16" t="n">
        <x:v>45362</x:v>
      </x:c>
      <x:c r="C902" t="str">
        <x:v>Client 38</x:v>
      </x:c>
      <x:c r="D902" t="str">
        <x:v>Express</x:v>
      </x:c>
      <x:c r="E902" t="str">
        <x:v>Pôle C</x:v>
      </x:c>
      <x:c r="F902" s="18" t="n">
        <x:v>5775.64</x:v>
      </x:c>
      <x:c r="G902" s="18" t="n">
        <x:v>2473.14</x:v>
      </x:c>
      <x:c r="H902" t="str">
        <x:v>Client 38</x:v>
      </x:c>
      <x:c r="I902" s="16" t="n">
        <x:v>45447</x:v>
      </x:c>
    </x:row>
    <x:row r="903">
      <x:c r="A903" t="str">
        <x:v>DV-2024-00902</x:v>
      </x:c>
      <x:c r="B903" s="16" t="n">
        <x:v>45414</x:v>
      </x:c>
      <x:c r="C903" t="str">
        <x:v>Client 01</x:v>
      </x:c>
      <x:c r="D903" t="str">
        <x:v>Fret maritime</x:v>
      </x:c>
      <x:c r="E903" t="str">
        <x:v>Pôle D</x:v>
      </x:c>
      <x:c r="F903" s="18" t="n">
        <x:v>24801.33</x:v>
      </x:c>
      <x:c r="G903" s="18" t="n">
        <x:v>24801.33</x:v>
      </x:c>
      <x:c r="H903" t="str">
        <x:v>Client 15</x:v>
      </x:c>
      <x:c r="I903" s="16" t="n">
        <x:v>45475</x:v>
      </x:c>
    </x:row>
    <x:row r="904">
      <x:c r="A904" t="str">
        <x:v>DV-2026-00903</x:v>
      </x:c>
      <x:c r="B904" s="16" t="n">
        <x:v>46235</x:v>
      </x:c>
      <x:c r="C904" t="str">
        <x:v>Client 30</x:v>
      </x:c>
      <x:c r="D904" t="str">
        <x:v>Logistique</x:v>
      </x:c>
      <x:c r="E904" t="str">
        <x:v>Pôle C</x:v>
      </x:c>
      <x:c r="F904" s="18" t="n">
        <x:v>11769.52</x:v>
      </x:c>
      <x:c r="G904" s="18" t="n">
        <x:v>11769.52</x:v>
      </x:c>
      <x:c r="H904" t="str">
        <x:v>Client 35</x:v>
      </x:c>
      <x:c r="I904" s="16" t="n">
        <x:v>46327</x:v>
      </x:c>
    </x:row>
    <x:row r="905">
      <x:c r="A905" t="str">
        <x:v>DV-2026-00904</x:v>
      </x:c>
      <x:c r="B905" s="16" t="n">
        <x:v>46054</x:v>
      </x:c>
      <x:c r="C905" t="str">
        <x:v>Client 09</x:v>
      </x:c>
      <x:c r="D905" t="str">
        <x:v>Douane</x:v>
      </x:c>
      <x:c r="E905" t="str">
        <x:v>Pôle B</x:v>
      </x:c>
      <x:c r="F905" s="18" t="n">
        <x:v>18471.97</x:v>
      </x:c>
      <x:c r="G905" s="18" t="n">
        <x:v>18471.97</x:v>
      </x:c>
      <x:c r="H905" t="str">
        <x:v>Client 09</x:v>
      </x:c>
      <x:c r="I905" s="16" t="n">
        <x:v>46144</x:v>
      </x:c>
    </x:row>
    <x:row r="906">
      <x:c r="A906" t="str">
        <x:v>DV-2024-00905</x:v>
      </x:c>
      <x:c r="B906" s="16" t="n">
        <x:v>45358</x:v>
      </x:c>
      <x:c r="C906" t="str">
        <x:v>Client 45</x:v>
      </x:c>
      <x:c r="D906" t="str">
        <x:v>Logistique</x:v>
      </x:c>
      <x:c r="E906" t="str">
        <x:v>Pôle E</x:v>
      </x:c>
      <x:c r="F906" s="18" t="n">
        <x:v>14849.94</x:v>
      </x:c>
      <x:c r="G906" s="18" t="n">
        <x:v>14849.94</x:v>
      </x:c>
      <x:c r="H906" t="str">
        <x:v>Client 45</x:v>
      </x:c>
      <x:c r="I906" s="16" t="n">
        <x:v>45433</x:v>
      </x:c>
    </x:row>
    <x:row r="907">
      <x:c r="A907" t="str">
        <x:v>DV-2024-00906</x:v>
      </x:c>
      <x:c r="B907" s="16" t="n">
        <x:v>45533</x:v>
      </x:c>
      <x:c r="C907" t="str">
        <x:v>Client 22</x:v>
      </x:c>
      <x:c r="D907" t="str">
        <x:v>Fret aérien</x:v>
      </x:c>
      <x:c r="E907" t="str">
        <x:v>Pôle E</x:v>
      </x:c>
      <x:c r="F907" s="18" t="n">
        <x:v>24158.84</x:v>
      </x:c>
      <x:c r="G907" s="18" t="n">
        <x:v>24158.84</x:v>
      </x:c>
      <x:c r="H907" t="str">
        <x:v>Client 22</x:v>
      </x:c>
      <x:c r="I907" s="16" t="n">
        <x:v>45628</x:v>
      </x:c>
    </x:row>
    <x:row r="908">
      <x:c r="A908" t="str">
        <x:v>DV-2025-00907</x:v>
      </x:c>
      <x:c r="B908" s="16" t="n">
        <x:v>45894</x:v>
      </x:c>
      <x:c r="C908" t="str">
        <x:v>Client 09</x:v>
      </x:c>
      <x:c r="D908" t="str">
        <x:v>Fret maritime</x:v>
      </x:c>
      <x:c r="E908" t="str">
        <x:v>Pôle B</x:v>
      </x:c>
      <x:c r="F908" s="18" t="n">
        <x:v>21539.31</x:v>
      </x:c>
      <x:c r="G908" s="18" t="n">
        <x:v>21539.31</x:v>
      </x:c>
      <x:c r="H908" t="str">
        <x:v>Client 09</x:v>
      </x:c>
      <x:c r="I908" s="16" t="n">
        <x:v>45949</x:v>
      </x:c>
    </x:row>
    <x:row r="909">
      <x:c r="A909" t="str">
        <x:v>DV-2025-00908</x:v>
      </x:c>
      <x:c r="B909" s="16" t="n">
        <x:v>45717</x:v>
      </x:c>
      <x:c r="C909" t="str">
        <x:v>Client 36</x:v>
      </x:c>
      <x:c r="D909" t="str">
        <x:v>Fret maritime</x:v>
      </x:c>
      <x:c r="E909" t="str">
        <x:v>Pôle B</x:v>
      </x:c>
      <x:c r="F909" s="18" t="n">
        <x:v>10280.85</x:v>
      </x:c>
      <x:c r="G909" s="18" t="n">
        <x:v>10280.85</x:v>
      </x:c>
      <x:c r="H909" t="str">
        <x:v>Client 36</x:v>
      </x:c>
      <x:c r="I909" s="16" t="n">
        <x:v>45744</x:v>
      </x:c>
    </x:row>
    <x:row r="910">
      <x:c r="A910" t="str">
        <x:v>DV-2025-00909</x:v>
      </x:c>
      <x:c r="B910" s="16" t="n">
        <x:v>45860</x:v>
      </x:c>
      <x:c r="C910" t="str">
        <x:v>Client 07</x:v>
      </x:c>
      <x:c r="D910" t="str">
        <x:v>Douane</x:v>
      </x:c>
      <x:c r="E910" t="str">
        <x:v>Pôle E</x:v>
      </x:c>
      <x:c r="F910" s="18" t="n">
        <x:v>15474.84</x:v>
      </x:c>
      <x:c r="G910" s="18" t="n">
        <x:v>15474.84</x:v>
      </x:c>
      <x:c r="H910" t="str">
        <x:v>Client 07</x:v>
      </x:c>
      <x:c r="I910" s="16" t="n">
        <x:v>45894</x:v>
      </x:c>
    </x:row>
    <x:row r="911">
      <x:c r="A911" t="str">
        <x:v>DV-2024-00910</x:v>
      </x:c>
      <x:c r="B911" s="16" t="n">
        <x:v>45593</x:v>
      </x:c>
      <x:c r="C911" t="str">
        <x:v>Client 42</x:v>
      </x:c>
      <x:c r="D911" t="str">
        <x:v>Logistique</x:v>
      </x:c>
      <x:c r="E911" t="str">
        <x:v>Pôle D</x:v>
      </x:c>
      <x:c r="F911" s="18" t="n">
        <x:v>5521.3</x:v>
      </x:c>
      <x:c r="G911" s="18" t="n">
        <x:v>5521.3</x:v>
      </x:c>
      <x:c r="H911" t="str">
        <x:v>Client 42</x:v>
      </x:c>
      <x:c r="I911" s="16" t="n">
        <x:v>45669</x:v>
      </x:c>
    </x:row>
    <x:row r="912">
      <x:c r="A912" t="str">
        <x:v>DV-2025-00911</x:v>
      </x:c>
      <x:c r="B912" s="16" t="n">
        <x:v>45985</x:v>
      </x:c>
      <x:c r="C912" t="str">
        <x:v>Client 36</x:v>
      </x:c>
      <x:c r="D912" t="str">
        <x:v>Logistique</x:v>
      </x:c>
      <x:c r="E912" t="str">
        <x:v>Pôle A</x:v>
      </x:c>
      <x:c r="F912" s="18" t="n">
        <x:v>12665.81</x:v>
      </x:c>
      <x:c r="G912" s="18" t="n">
        <x:v>6318.56</x:v>
      </x:c>
      <x:c r="H912" t="str">
        <x:v>Client 43</x:v>
      </x:c>
      <x:c r="I912" s="16" t="n">
        <x:v>46039</x:v>
      </x:c>
    </x:row>
    <x:row r="913">
      <x:c r="A913" t="str">
        <x:v>DV-2025-00912</x:v>
      </x:c>
      <x:c r="B913" s="16" t="n">
        <x:v>45808</x:v>
      </x:c>
      <x:c r="C913" t="str">
        <x:v>Client 14</x:v>
      </x:c>
      <x:c r="D913" t="str">
        <x:v>Express</x:v>
      </x:c>
      <x:c r="E913" t="str">
        <x:v>Pôle E</x:v>
      </x:c>
      <x:c r="F913" s="18" t="n">
        <x:v>13652.05</x:v>
      </x:c>
      <x:c r="G913" s="18" t="n">
        <x:v>13652.05</x:v>
      </x:c>
      <x:c r="H913" t="str">
        <x:v>Client 27</x:v>
      </x:c>
      <x:c r="I913" s="16" t="n">
        <x:v>45816</x:v>
      </x:c>
    </x:row>
    <x:row r="914">
      <x:c r="A914" t="str">
        <x:v>DV-2024-00913</x:v>
      </x:c>
      <x:c r="B914" s="16" t="n">
        <x:v>45577</x:v>
      </x:c>
      <x:c r="C914" t="str">
        <x:v>Client 25</x:v>
      </x:c>
      <x:c r="D914" t="str">
        <x:v>Express</x:v>
      </x:c>
      <x:c r="E914" t="str">
        <x:v>Pôle D</x:v>
      </x:c>
      <x:c r="F914" s="18" t="n">
        <x:v>4329.09</x:v>
      </x:c>
      <x:c r="G914" s="18" t="n">
        <x:v>4329.09</x:v>
      </x:c>
      <x:c r="H914" t="str">
        <x:v>Client 25</x:v>
      </x:c>
      <x:c r="I914" s="16" t="n">
        <x:v>45646</x:v>
      </x:c>
    </x:row>
    <x:row r="915">
      <x:c r="A915" t="str">
        <x:v>DV-2025-00914</x:v>
      </x:c>
      <x:c r="B915" s="16" t="n">
        <x:v>45944</x:v>
      </x:c>
      <x:c r="C915" t="str">
        <x:v>Client 24</x:v>
      </x:c>
      <x:c r="D915" t="str">
        <x:v>Express</x:v>
      </x:c>
      <x:c r="E915" t="str">
        <x:v>Pôle C</x:v>
      </x:c>
      <x:c r="F915" s="18" t="n">
        <x:v>6217.95</x:v>
      </x:c>
      <x:c r="G915" s="18" t="n">
        <x:v>6217.95</x:v>
      </x:c>
      <x:c r="H915" t="str">
        <x:v>Client 24</x:v>
      </x:c>
      <x:c r="I915" s="16" t="n">
        <x:v>46034</x:v>
      </x:c>
    </x:row>
    <x:row r="916">
      <x:c r="A916" t="str">
        <x:v>DV-2024-00915</x:v>
      </x:c>
      <x:c r="B916" s="16" t="n">
        <x:v>45621</x:v>
      </x:c>
      <x:c r="C916" t="str">
        <x:v>Client 25</x:v>
      </x:c>
      <x:c r="D916" t="str">
        <x:v>Fret maritime</x:v>
      </x:c>
      <x:c r="E916" t="str">
        <x:v>Pôle A</x:v>
      </x:c>
      <x:c r="F916" s="18" t="n">
        <x:v>3717.72</x:v>
      </x:c>
      <x:c r="G916" s="18" t="n">
        <x:v>3717.72</x:v>
      </x:c>
      <x:c r="H916" t="str">
        <x:v>Client 25</x:v>
      </x:c>
      <x:c r="I916" s="16" t="n">
        <x:v>45687</x:v>
      </x:c>
    </x:row>
    <x:row r="917">
      <x:c r="A917" t="str">
        <x:v>DV-2024-00916</x:v>
      </x:c>
      <x:c r="B917" s="16" t="n">
        <x:v>45378</x:v>
      </x:c>
      <x:c r="C917" t="str">
        <x:v>Client 04</x:v>
      </x:c>
      <x:c r="D917" t="str">
        <x:v>Fret maritime</x:v>
      </x:c>
      <x:c r="E917" t="str">
        <x:v>Pôle B</x:v>
      </x:c>
      <x:c r="F917" s="18" t="n">
        <x:v>12046.97</x:v>
      </x:c>
      <x:c r="G917" s="18" t="n">
        <x:v>12046.97</x:v>
      </x:c>
      <x:c r="H917" t="str">
        <x:v>Client 04</x:v>
      </x:c>
      <x:c r="I917" s="16" t="n">
        <x:v>45401</x:v>
      </x:c>
    </x:row>
    <x:row r="918">
      <x:c r="A918" t="str">
        <x:v>DV-2025-00917</x:v>
      </x:c>
      <x:c r="B918" s="16" t="n">
        <x:v>45960</x:v>
      </x:c>
      <x:c r="C918" t="str">
        <x:v>Client 48</x:v>
      </x:c>
      <x:c r="D918" t="str">
        <x:v>Fret maritime</x:v>
      </x:c>
      <x:c r="E918" t="str">
        <x:v>Pôle A</x:v>
      </x:c>
      <x:c r="F918" s="18" t="n">
        <x:v>20672.17</x:v>
      </x:c>
      <x:c r="G918" s="18" t="n">
        <x:v>20672.17</x:v>
      </x:c>
      <x:c r="H918" t="str">
        <x:v>Client 48</x:v>
      </x:c>
      <x:c r="I918" s="16" t="n">
        <x:v>45989</x:v>
      </x:c>
    </x:row>
    <x:row r="919">
      <x:c r="A919" t="str">
        <x:v>DV-2026-00918</x:v>
      </x:c>
      <x:c r="B919" s="16" t="n">
        <x:v>46036</x:v>
      </x:c>
      <x:c r="C919" t="str">
        <x:v>Client 33</x:v>
      </x:c>
      <x:c r="D919" t="str">
        <x:v>Express</x:v>
      </x:c>
      <x:c r="E919" t="str">
        <x:v>Pôle E</x:v>
      </x:c>
      <x:c r="F919" s="18" t="n">
        <x:v>4362.97</x:v>
      </x:c>
      <x:c r="G919" s="18" t="n">
        <x:v>4362.97</x:v>
      </x:c>
      <x:c r="H919" t="str">
        <x:v>Client 33</x:v>
      </x:c>
      <x:c r="I919" s="16" t="n">
        <x:v>46086</x:v>
      </x:c>
    </x:row>
    <x:row r="920">
      <x:c r="A920" t="str">
        <x:v>DV-2026-00919</x:v>
      </x:c>
      <x:c r="B920" s="16" t="n">
        <x:v>46028</x:v>
      </x:c>
      <x:c r="C920" t="str">
        <x:v>Client 31</x:v>
      </x:c>
      <x:c r="D920" t="str">
        <x:v>Logistique</x:v>
      </x:c>
      <x:c r="E920" t="str">
        <x:v>Pôle D</x:v>
      </x:c>
      <x:c r="F920" s="18" t="n">
        <x:v>9491.62</x:v>
      </x:c>
      <x:c r="G920" s="18" t="n">
        <x:v>9491.62</x:v>
      </x:c>
      <x:c r="H920" t="str">
        <x:v>Client 31</x:v>
      </x:c>
      <x:c r="I920" s="16" t="n">
        <x:v>46117</x:v>
      </x:c>
    </x:row>
    <x:row r="921">
      <x:c r="A921" t="str">
        <x:v>DV-2024-00920</x:v>
      </x:c>
      <x:c r="B921" s="16" t="n">
        <x:v>45648</x:v>
      </x:c>
      <x:c r="C921" t="str">
        <x:v>Client 30</x:v>
      </x:c>
      <x:c r="D921" t="str">
        <x:v>Douane</x:v>
      </x:c>
      <x:c r="E921" t="str">
        <x:v>Pôle E</x:v>
      </x:c>
      <x:c r="F921" s="18" t="n">
        <x:v>6397.5</x:v>
      </x:c>
      <x:c r="G921" s="18" t="n">
        <x:v>6397.5</x:v>
      </x:c>
      <x:c r="H921" t="str">
        <x:v>Client 30</x:v>
      </x:c>
      <x:c r="I921" s="16" t="n">
        <x:v>45736</x:v>
      </x:c>
    </x:row>
    <x:row r="922">
      <x:c r="A922" t="str">
        <x:v>DV-2025-00921</x:v>
      </x:c>
      <x:c r="B922" s="16" t="n">
        <x:v>46012</x:v>
      </x:c>
      <x:c r="C922" t="str">
        <x:v>Client 15</x:v>
      </x:c>
      <x:c r="D922" t="str">
        <x:v>Fret maritime</x:v>
      </x:c>
      <x:c r="E922" t="str">
        <x:v>Pôle A</x:v>
      </x:c>
      <x:c r="F922" s="18" t="n">
        <x:v>24838.34</x:v>
      </x:c>
      <x:c r="G922" s="18" t="n">
        <x:v>24838.34</x:v>
      </x:c>
      <x:c r="H922" t="str">
        <x:v>Client 15</x:v>
      </x:c>
      <x:c r="I922" s="16" t="n">
        <x:v>46035</x:v>
      </x:c>
    </x:row>
    <x:row r="923">
      <x:c r="A923" t="str">
        <x:v>DV-2025-00922</x:v>
      </x:c>
      <x:c r="B923" s="16" t="n">
        <x:v>45968</x:v>
      </x:c>
      <x:c r="C923" t="str">
        <x:v>Client 34</x:v>
      </x:c>
      <x:c r="D923" t="str">
        <x:v>Express</x:v>
      </x:c>
      <x:c r="E923" t="str">
        <x:v>Pôle D</x:v>
      </x:c>
      <x:c r="F923" s="18" t="n">
        <x:v>23307.84</x:v>
      </x:c>
      <x:c r="G923" s="18" t="n">
        <x:v>23307.84</x:v>
      </x:c>
      <x:c r="H923" t="str">
        <x:v>Client 34</x:v>
      </x:c>
      <x:c r="I923" s="16" t="n">
        <x:v>45994</x:v>
      </x:c>
    </x:row>
    <x:row r="924">
      <x:c r="A924" t="str">
        <x:v>DV-2026-00923</x:v>
      </x:c>
      <x:c r="B924" s="16" t="n">
        <x:v>46222</x:v>
      </x:c>
      <x:c r="C924" t="str">
        <x:v>Client 11</x:v>
      </x:c>
      <x:c r="D924" t="str">
        <x:v>Express</x:v>
      </x:c>
      <x:c r="E924" t="str">
        <x:v>Pôle C</x:v>
      </x:c>
      <x:c r="F924" s="18" t="n">
        <x:v>13599.54</x:v>
      </x:c>
      <x:c r="G924" s="18" t="n">
        <x:v>13599.54</x:v>
      </x:c>
      <x:c r="H924" t="str">
        <x:v>Client 11</x:v>
      </x:c>
      <x:c r="I924" s="16" t="n">
        <x:v>46274</x:v>
      </x:c>
    </x:row>
    <x:row r="925">
      <x:c r="A925" t="str">
        <x:v>DV-2024-00924</x:v>
      </x:c>
      <x:c r="B925" s="16" t="n">
        <x:v>45549</x:v>
      </x:c>
      <x:c r="C925" t="str">
        <x:v>Client 31</x:v>
      </x:c>
      <x:c r="D925" t="str">
        <x:v>Fret aérien</x:v>
      </x:c>
      <x:c r="E925" t="str">
        <x:v>Pôle D</x:v>
      </x:c>
      <x:c r="F925" s="18" t="n">
        <x:v>6915.72</x:v>
      </x:c>
      <x:c r="G925" s="18" t="n">
        <x:v>0</x:v>
      </x:c>
      <x:c r="H925" t="str">
        <x:v>Client 31</x:v>
      </x:c>
      <x:c r="I925" s="16"/>
    </x:row>
    <x:row r="926">
      <x:c r="A926" t="str">
        <x:v>DV-2025-00925</x:v>
      </x:c>
      <x:c r="B926" s="16" t="n">
        <x:v>45707</x:v>
      </x:c>
      <x:c r="C926" t="str">
        <x:v>Client 25</x:v>
      </x:c>
      <x:c r="D926" t="str">
        <x:v>Fret aérien</x:v>
      </x:c>
      <x:c r="E926" t="str">
        <x:v>Pôle E</x:v>
      </x:c>
      <x:c r="F926" s="18" t="n">
        <x:v>8512.83</x:v>
      </x:c>
      <x:c r="G926" s="18" t="n">
        <x:v>8512.83</x:v>
      </x:c>
      <x:c r="H926" t="str">
        <x:v>Client 25</x:v>
      </x:c>
      <x:c r="I926" s="16" t="n">
        <x:v>45771</x:v>
      </x:c>
    </x:row>
    <x:row r="927">
      <x:c r="A927" t="str">
        <x:v>DV-2026-00926</x:v>
      </x:c>
      <x:c r="B927" s="16" t="n">
        <x:v>46213</x:v>
      </x:c>
      <x:c r="C927" t="str">
        <x:v>Client 31</x:v>
      </x:c>
      <x:c r="D927" t="str">
        <x:v>Fret maritime</x:v>
      </x:c>
      <x:c r="E927" t="str">
        <x:v>Pôle D</x:v>
      </x:c>
      <x:c r="F927" s="18" t="n">
        <x:v>9389.48</x:v>
      </x:c>
      <x:c r="G927" s="18" t="n">
        <x:v>9389.48</x:v>
      </x:c>
      <x:c r="H927" t="str">
        <x:v>Client 31</x:v>
      </x:c>
      <x:c r="I927" s="16" t="n">
        <x:v>46267</x:v>
      </x:c>
    </x:row>
    <x:row r="928">
      <x:c r="A928" t="str">
        <x:v>DV-2025-00927</x:v>
      </x:c>
      <x:c r="B928" s="16" t="n">
        <x:v>45810</x:v>
      </x:c>
      <x:c r="C928" t="str">
        <x:v>Client 30</x:v>
      </x:c>
      <x:c r="D928" t="str">
        <x:v>Logistique</x:v>
      </x:c>
      <x:c r="E928" t="str">
        <x:v>Pôle D</x:v>
      </x:c>
      <x:c r="F928" s="18" t="n">
        <x:v>925.84</x:v>
      </x:c>
      <x:c r="G928" s="18" t="n">
        <x:v>925.84</x:v>
      </x:c>
      <x:c r="H928" t="str">
        <x:v>Client 30</x:v>
      </x:c>
      <x:c r="I928" s="16" t="n">
        <x:v>45892</x:v>
      </x:c>
    </x:row>
    <x:row r="929">
      <x:c r="A929" t="str">
        <x:v>DV-2025-00928</x:v>
      </x:c>
      <x:c r="B929" s="16" t="n">
        <x:v>45858</x:v>
      </x:c>
      <x:c r="C929" t="str">
        <x:v>Client 44</x:v>
      </x:c>
      <x:c r="D929" t="str">
        <x:v>Fret maritime</x:v>
      </x:c>
      <x:c r="E929" t="str">
        <x:v>Pôle B</x:v>
      </x:c>
      <x:c r="F929" s="18" t="n">
        <x:v>8989.39</x:v>
      </x:c>
      <x:c r="G929" s="18" t="n">
        <x:v>8989.39</x:v>
      </x:c>
      <x:c r="H929" t="str">
        <x:v>Client 44</x:v>
      </x:c>
      <x:c r="I929" s="16" t="n">
        <x:v>45940</x:v>
      </x:c>
    </x:row>
    <x:row r="930">
      <x:c r="A930" t="str">
        <x:v>DV-2025-00929</x:v>
      </x:c>
      <x:c r="B930" s="16" t="n">
        <x:v>45852</x:v>
      </x:c>
      <x:c r="C930" t="str">
        <x:v>Client 19</x:v>
      </x:c>
      <x:c r="D930" t="str">
        <x:v>Logistique</x:v>
      </x:c>
      <x:c r="E930" t="str">
        <x:v>Pôle C</x:v>
      </x:c>
      <x:c r="F930" s="18" t="n">
        <x:v>3041.45</x:v>
      </x:c>
      <x:c r="G930" s="18" t="n">
        <x:v>3041.45</x:v>
      </x:c>
      <x:c r="H930" t="str">
        <x:v>Client 19</x:v>
      </x:c>
      <x:c r="I930" s="16" t="n">
        <x:v>45857</x:v>
      </x:c>
    </x:row>
    <x:row r="931">
      <x:c r="A931" t="str">
        <x:v>DV-2024-00930</x:v>
      </x:c>
      <x:c r="B931" s="16" t="n">
        <x:v>45469</x:v>
      </x:c>
      <x:c r="C931" t="str">
        <x:v>Client 15</x:v>
      </x:c>
      <x:c r="D931" t="str">
        <x:v>Fret aérien</x:v>
      </x:c>
      <x:c r="E931" t="str">
        <x:v>Pôle C</x:v>
      </x:c>
      <x:c r="F931" s="18" t="n">
        <x:v>10701.56</x:v>
      </x:c>
      <x:c r="G931" s="18" t="n">
        <x:v>10701.56</x:v>
      </x:c>
      <x:c r="H931" t="str">
        <x:v>Client 15</x:v>
      </x:c>
      <x:c r="I931" s="16" t="n">
        <x:v>45532</x:v>
      </x:c>
    </x:row>
    <x:row r="932">
      <x:c r="A932" t="str">
        <x:v>DV-2025-00931</x:v>
      </x:c>
      <x:c r="B932" s="16" t="n">
        <x:v>45774</x:v>
      </x:c>
      <x:c r="C932" t="str">
        <x:v>Client 44</x:v>
      </x:c>
      <x:c r="D932" t="str">
        <x:v>Fret maritime</x:v>
      </x:c>
      <x:c r="E932" t="str">
        <x:v>Pôle C</x:v>
      </x:c>
      <x:c r="F932" s="18" t="n">
        <x:v>3785.74</x:v>
      </x:c>
      <x:c r="G932" s="18" t="n">
        <x:v>3785.74</x:v>
      </x:c>
      <x:c r="H932" t="str">
        <x:v>Client 44</x:v>
      </x:c>
      <x:c r="I932" s="16" t="n">
        <x:v>45866</x:v>
      </x:c>
    </x:row>
    <x:row r="933">
      <x:c r="A933" t="str">
        <x:v>DV-2026-00932</x:v>
      </x:c>
      <x:c r="B933" s="16" t="n">
        <x:v>46260</x:v>
      </x:c>
      <x:c r="C933" t="str">
        <x:v>Client 27</x:v>
      </x:c>
      <x:c r="D933" t="str">
        <x:v>Express</x:v>
      </x:c>
      <x:c r="E933" t="str">
        <x:v>Pôle D</x:v>
      </x:c>
      <x:c r="F933" s="18" t="n">
        <x:v>11931.35</x:v>
      </x:c>
      <x:c r="G933" s="18" t="n">
        <x:v>11931.35</x:v>
      </x:c>
      <x:c r="H933" t="str">
        <x:v>Client 27</x:v>
      </x:c>
      <x:c r="I933" s="16" t="n">
        <x:v>46299</x:v>
      </x:c>
    </x:row>
    <x:row r="934">
      <x:c r="A934" t="str">
        <x:v>DV-2024-00933</x:v>
      </x:c>
      <x:c r="B934" s="16" t="n">
        <x:v>45605</x:v>
      </x:c>
      <x:c r="C934" t="str">
        <x:v>Client 10</x:v>
      </x:c>
      <x:c r="D934" t="str">
        <x:v>Logistique</x:v>
      </x:c>
      <x:c r="E934" t="str">
        <x:v>Pôle C</x:v>
      </x:c>
      <x:c r="F934" s="18" t="n">
        <x:v>15573.4</x:v>
      </x:c>
      <x:c r="G934" s="18" t="n">
        <x:v>15573.4</x:v>
      </x:c>
      <x:c r="H934" t="str">
        <x:v>Client 10</x:v>
      </x:c>
      <x:c r="I934" s="16" t="n">
        <x:v>45692</x:v>
      </x:c>
    </x:row>
    <x:row r="935">
      <x:c r="A935" t="str">
        <x:v>DV-2026-00934</x:v>
      </x:c>
      <x:c r="B935" s="16" t="n">
        <x:v>46268</x:v>
      </x:c>
      <x:c r="C935" t="str">
        <x:v>Client 01</x:v>
      </x:c>
      <x:c r="D935" t="str">
        <x:v>Douane</x:v>
      </x:c>
      <x:c r="E935" t="str">
        <x:v>Pôle A</x:v>
      </x:c>
      <x:c r="F935" s="18" t="n">
        <x:v>20634.88</x:v>
      </x:c>
      <x:c r="G935" s="18" t="n">
        <x:v>20634.88</x:v>
      </x:c>
      <x:c r="H935" t="str">
        <x:v>Client 01</x:v>
      </x:c>
      <x:c r="I935" s="16" t="n">
        <x:v>46337</x:v>
      </x:c>
    </x:row>
    <x:row r="936">
      <x:c r="A936" t="str">
        <x:v>DV-2025-00935</x:v>
      </x:c>
      <x:c r="B936" s="16" t="n">
        <x:v>45868</x:v>
      </x:c>
      <x:c r="C936" t="str">
        <x:v>Client 03</x:v>
      </x:c>
      <x:c r="D936" t="str">
        <x:v>Douane</x:v>
      </x:c>
      <x:c r="E936" t="str">
        <x:v>Pôle E</x:v>
      </x:c>
      <x:c r="F936" s="18" t="n">
        <x:v>21916.49</x:v>
      </x:c>
      <x:c r="G936" s="18" t="n">
        <x:v>5361.54</x:v>
      </x:c>
      <x:c r="H936" t="str">
        <x:v>Client 03</x:v>
      </x:c>
      <x:c r="I936" s="16" t="n">
        <x:v>45882</x:v>
      </x:c>
    </x:row>
    <x:row r="937">
      <x:c r="A937" t="str">
        <x:v>DV-2026-00936</x:v>
      </x:c>
      <x:c r="B937" s="16" t="n">
        <x:v>46275</x:v>
      </x:c>
      <x:c r="C937" t="str">
        <x:v>Client 11</x:v>
      </x:c>
      <x:c r="D937" t="str">
        <x:v>Express</x:v>
      </x:c>
      <x:c r="E937" t="str">
        <x:v>Pôle D</x:v>
      </x:c>
      <x:c r="F937" s="18" t="n">
        <x:v>15317.4</x:v>
      </x:c>
      <x:c r="G937" s="18" t="n">
        <x:v>6534.47</x:v>
      </x:c>
      <x:c r="H937" t="str">
        <x:v>Client 11</x:v>
      </x:c>
      <x:c r="I937" s="16" t="n">
        <x:v>46315</x:v>
      </x:c>
    </x:row>
    <x:row r="938">
      <x:c r="A938" t="str">
        <x:v>DV-2026-00937</x:v>
      </x:c>
      <x:c r="B938" s="16" t="n">
        <x:v>46050</x:v>
      </x:c>
      <x:c r="C938" t="str">
        <x:v>Client 13</x:v>
      </x:c>
      <x:c r="D938" t="str">
        <x:v>Fret maritime</x:v>
      </x:c>
      <x:c r="E938" t="str">
        <x:v>Pôle B</x:v>
      </x:c>
      <x:c r="F938" s="18" t="n">
        <x:v>16324.76</x:v>
      </x:c>
      <x:c r="G938" s="18" t="n">
        <x:v>16324.76</x:v>
      </x:c>
      <x:c r="H938" t="str">
        <x:v>Client 13</x:v>
      </x:c>
      <x:c r="I938" s="16" t="n">
        <x:v>46141</x:v>
      </x:c>
    </x:row>
    <x:row r="939">
      <x:c r="A939" t="str">
        <x:v>DV-2026-00938</x:v>
      </x:c>
      <x:c r="B939" s="16" t="n">
        <x:v>46109</x:v>
      </x:c>
      <x:c r="C939" t="str">
        <x:v>Client 23</x:v>
      </x:c>
      <x:c r="D939" t="str">
        <x:v>Fret maritime</x:v>
      </x:c>
      <x:c r="E939" t="str">
        <x:v>Pôle A</x:v>
      </x:c>
      <x:c r="F939" s="18" t="n">
        <x:v>24762.19</x:v>
      </x:c>
      <x:c r="G939" s="18" t="n">
        <x:v>24762.19</x:v>
      </x:c>
      <x:c r="H939" t="str">
        <x:v>Client 23</x:v>
      </x:c>
      <x:c r="I939" s="16" t="n">
        <x:v>46118</x:v>
      </x:c>
    </x:row>
    <x:row r="940">
      <x:c r="A940" t="str">
        <x:v>DV-2025-00939</x:v>
      </x:c>
      <x:c r="B940" s="16" t="n">
        <x:v>45753</x:v>
      </x:c>
      <x:c r="C940" t="str">
        <x:v>Client 22</x:v>
      </x:c>
      <x:c r="D940" t="str">
        <x:v>Logistique</x:v>
      </x:c>
      <x:c r="E940" t="str">
        <x:v>Pôle E</x:v>
      </x:c>
      <x:c r="F940" s="18" t="n">
        <x:v>1235.85</x:v>
      </x:c>
      <x:c r="G940" s="18" t="n">
        <x:v>1235.85</x:v>
      </x:c>
      <x:c r="H940" t="str">
        <x:v>Client 22</x:v>
      </x:c>
      <x:c r="I940" s="16" t="n">
        <x:v>45813</x:v>
      </x:c>
    </x:row>
    <x:row r="941">
      <x:c r="A941" t="str">
        <x:v>DV-2026-00940</x:v>
      </x:c>
      <x:c r="B941" s="16" t="n">
        <x:v>46174</x:v>
      </x:c>
      <x:c r="C941" t="str">
        <x:v>Client 48</x:v>
      </x:c>
      <x:c r="D941" t="str">
        <x:v>Express</x:v>
      </x:c>
      <x:c r="E941" t="str">
        <x:v>Pôle C</x:v>
      </x:c>
      <x:c r="F941" s="18" t="n">
        <x:v>24025.62</x:v>
      </x:c>
      <x:c r="G941" s="18" t="n">
        <x:v>24025.62</x:v>
      </x:c>
      <x:c r="H941" t="str">
        <x:v>Client 48</x:v>
      </x:c>
      <x:c r="I941" s="16" t="n">
        <x:v>46264</x:v>
      </x:c>
    </x:row>
    <x:row r="942">
      <x:c r="A942" t="str">
        <x:v>DV-2024-00941</x:v>
      </x:c>
      <x:c r="B942" s="16" t="n">
        <x:v>45399</x:v>
      </x:c>
      <x:c r="C942" t="str">
        <x:v>Client 27</x:v>
      </x:c>
      <x:c r="D942" t="str">
        <x:v>Douane</x:v>
      </x:c>
      <x:c r="E942" t="str">
        <x:v>Pôle D</x:v>
      </x:c>
      <x:c r="F942" s="18" t="n">
        <x:v>6721.9</x:v>
      </x:c>
      <x:c r="G942" s="18" t="n">
        <x:v>6721.9</x:v>
      </x:c>
      <x:c r="H942" t="str">
        <x:v>Client 27</x:v>
      </x:c>
      <x:c r="I942" s="16" t="n">
        <x:v>45450</x:v>
      </x:c>
    </x:row>
    <x:row r="943">
      <x:c r="A943" t="str">
        <x:v>DV-2024-00942</x:v>
      </x:c>
      <x:c r="B943" s="16" t="n">
        <x:v>45404</x:v>
      </x:c>
      <x:c r="C943" t="str">
        <x:v>Client 21</x:v>
      </x:c>
      <x:c r="D943" t="str">
        <x:v>Fret aérien</x:v>
      </x:c>
      <x:c r="E943" t="str">
        <x:v>Pôle B</x:v>
      </x:c>
      <x:c r="F943" s="18" t="n">
        <x:v>3503.2</x:v>
      </x:c>
      <x:c r="G943" s="18" t="n">
        <x:v>3503.2</x:v>
      </x:c>
      <x:c r="H943" t="str">
        <x:v>Client 21</x:v>
      </x:c>
      <x:c r="I943" s="16" t="n">
        <x:v>45411</x:v>
      </x:c>
    </x:row>
    <x:row r="944">
      <x:c r="A944" t="str">
        <x:v>DV-2026-00943</x:v>
      </x:c>
      <x:c r="B944" s="16" t="n">
        <x:v>46062</x:v>
      </x:c>
      <x:c r="C944" t="str">
        <x:v>Client 45</x:v>
      </x:c>
      <x:c r="D944" t="str">
        <x:v>Fret aérien</x:v>
      </x:c>
      <x:c r="E944" t="str">
        <x:v>Pôle A</x:v>
      </x:c>
      <x:c r="F944" s="18" t="n">
        <x:v>3283.11</x:v>
      </x:c>
      <x:c r="G944" s="18" t="n">
        <x:v>3283.11</x:v>
      </x:c>
      <x:c r="H944" t="str">
        <x:v>Client 43</x:v>
      </x:c>
      <x:c r="I944" s="16" t="n">
        <x:v>46101</x:v>
      </x:c>
    </x:row>
    <x:row r="945">
      <x:c r="A945" t="str">
        <x:v>DV-2024-00944</x:v>
      </x:c>
      <x:c r="B945" s="16" t="n">
        <x:v>45358</x:v>
      </x:c>
      <x:c r="C945" t="str">
        <x:v>Client 32</x:v>
      </x:c>
      <x:c r="D945" t="str">
        <x:v>Fret maritime</x:v>
      </x:c>
      <x:c r="E945" t="str">
        <x:v>Pôle A</x:v>
      </x:c>
      <x:c r="F945" s="18" t="n">
        <x:v>13385.62</x:v>
      </x:c>
      <x:c r="G945" s="18" t="n">
        <x:v>0</x:v>
      </x:c>
      <x:c r="H945" t="str">
        <x:v>Client 40</x:v>
      </x:c>
      <x:c r="I945" s="16"/>
    </x:row>
    <x:row r="946">
      <x:c r="A946" t="str">
        <x:v>DV-2026-00945</x:v>
      </x:c>
      <x:c r="B946" s="16" t="n">
        <x:v>46274</x:v>
      </x:c>
      <x:c r="C946" t="str">
        <x:v>Client 46</x:v>
      </x:c>
      <x:c r="D946" t="str">
        <x:v>Fret aérien</x:v>
      </x:c>
      <x:c r="E946" t="str">
        <x:v>Pôle D</x:v>
      </x:c>
      <x:c r="F946" s="18" t="n">
        <x:v>12204.87</x:v>
      </x:c>
      <x:c r="G946" s="18" t="n">
        <x:v>12204.87</x:v>
      </x:c>
      <x:c r="H946" t="str">
        <x:v>Client 46</x:v>
      </x:c>
      <x:c r="I946" s="16" t="n">
        <x:v>46279</x:v>
      </x:c>
    </x:row>
    <x:row r="947">
      <x:c r="A947" t="str">
        <x:v>DV-2024-00946</x:v>
      </x:c>
      <x:c r="B947" s="16" t="n">
        <x:v>45546</x:v>
      </x:c>
      <x:c r="C947" t="str">
        <x:v>Client 22</x:v>
      </x:c>
      <x:c r="D947" t="str">
        <x:v>Fret maritime</x:v>
      </x:c>
      <x:c r="E947" t="str">
        <x:v>Pôle A</x:v>
      </x:c>
      <x:c r="F947" s="18" t="n">
        <x:v>22914.6</x:v>
      </x:c>
      <x:c r="G947" s="18" t="n">
        <x:v>13428.13</x:v>
      </x:c>
      <x:c r="H947" t="str">
        <x:v>Client 22</x:v>
      </x:c>
      <x:c r="I947" s="16" t="n">
        <x:v>45612</x:v>
      </x:c>
    </x:row>
    <x:row r="948">
      <x:c r="A948" t="str">
        <x:v>DV-2026-00947</x:v>
      </x:c>
      <x:c r="B948" s="16" t="n">
        <x:v>46202</x:v>
      </x:c>
      <x:c r="C948" t="str">
        <x:v>Client 21</x:v>
      </x:c>
      <x:c r="D948" t="str">
        <x:v>Express</x:v>
      </x:c>
      <x:c r="E948" t="str">
        <x:v>Pôle E</x:v>
      </x:c>
      <x:c r="F948" s="18" t="n">
        <x:v>8078.28</x:v>
      </x:c>
      <x:c r="G948" s="18" t="n">
        <x:v>1655.13</x:v>
      </x:c>
      <x:c r="H948" t="str">
        <x:v>Client 21</x:v>
      </x:c>
      <x:c r="I948" s="16" t="n">
        <x:v>46211</x:v>
      </x:c>
    </x:row>
    <x:row r="949">
      <x:c r="A949" t="str">
        <x:v>DV-2026-00948</x:v>
      </x:c>
      <x:c r="B949" s="16" t="n">
        <x:v>46163</x:v>
      </x:c>
      <x:c r="C949" t="str">
        <x:v>Client 49</x:v>
      </x:c>
      <x:c r="D949" t="str">
        <x:v>Fret aérien</x:v>
      </x:c>
      <x:c r="E949" t="str">
        <x:v>Pôle C</x:v>
      </x:c>
      <x:c r="F949" s="18" t="n">
        <x:v>17550.28</x:v>
      </x:c>
      <x:c r="G949" s="18" t="n">
        <x:v>17550.28</x:v>
      </x:c>
      <x:c r="H949" t="str">
        <x:v>Client 49</x:v>
      </x:c>
      <x:c r="I949" s="16" t="n">
        <x:v>46219</x:v>
      </x:c>
    </x:row>
    <x:row r="950">
      <x:c r="A950" t="str">
        <x:v>DV-2024-00949</x:v>
      </x:c>
      <x:c r="B950" s="16" t="n">
        <x:v>45429</x:v>
      </x:c>
      <x:c r="C950" t="str">
        <x:v>Client 44</x:v>
      </x:c>
      <x:c r="D950" t="str">
        <x:v>Logistique</x:v>
      </x:c>
      <x:c r="E950" t="str">
        <x:v>Pôle B</x:v>
      </x:c>
      <x:c r="F950" s="18" t="n">
        <x:v>4216.47</x:v>
      </x:c>
      <x:c r="G950" s="18" t="n">
        <x:v>4216.47</x:v>
      </x:c>
      <x:c r="H950" t="str">
        <x:v>Client 44</x:v>
      </x:c>
      <x:c r="I950" s="16" t="n">
        <x:v>45508</x:v>
      </x:c>
    </x:row>
    <x:row r="951">
      <x:c r="A951" t="str">
        <x:v>DV-2025-00950</x:v>
      </x:c>
      <x:c r="B951" s="16" t="n">
        <x:v>45944</x:v>
      </x:c>
      <x:c r="C951" t="str">
        <x:v>Client 31</x:v>
      </x:c>
      <x:c r="D951" t="str">
        <x:v>Express</x:v>
      </x:c>
      <x:c r="E951" t="str">
        <x:v>Pôle C</x:v>
      </x:c>
      <x:c r="F951" s="18" t="n">
        <x:v>17792.81</x:v>
      </x:c>
      <x:c r="G951" s="18" t="n">
        <x:v>17792.81</x:v>
      </x:c>
      <x:c r="H951" t="str">
        <x:v>Client 31</x:v>
      </x:c>
      <x:c r="I951" s="16" t="n">
        <x:v>45962</x:v>
      </x:c>
    </x:row>
    <x:row r="952">
      <x:c r="A952" t="str">
        <x:v>DV-2024-00951</x:v>
      </x:c>
      <x:c r="B952" s="16" t="n">
        <x:v>45445</x:v>
      </x:c>
      <x:c r="C952" t="str">
        <x:v>Client 03</x:v>
      </x:c>
      <x:c r="D952" t="str">
        <x:v>Fret maritime</x:v>
      </x:c>
      <x:c r="E952" t="str">
        <x:v>Pôle C</x:v>
      </x:c>
      <x:c r="F952" s="18" t="n">
        <x:v>5127.52</x:v>
      </x:c>
      <x:c r="G952" s="18" t="n">
        <x:v>5127.52</x:v>
      </x:c>
      <x:c r="H952" t="str">
        <x:v>Client 03</x:v>
      </x:c>
      <x:c r="I952" s="16" t="n">
        <x:v>45510</x:v>
      </x:c>
    </x:row>
    <x:row r="953">
      <x:c r="A953" t="str">
        <x:v>DV-2025-00952</x:v>
      </x:c>
      <x:c r="B953" s="16" t="n">
        <x:v>45753</x:v>
      </x:c>
      <x:c r="C953" t="str">
        <x:v>Client 21</x:v>
      </x:c>
      <x:c r="D953" t="str">
        <x:v>Logistique</x:v>
      </x:c>
      <x:c r="E953" t="str">
        <x:v>Pôle A</x:v>
      </x:c>
      <x:c r="F953" s="18" t="n">
        <x:v>11941</x:v>
      </x:c>
      <x:c r="G953" s="18" t="n">
        <x:v>2562.26</x:v>
      </x:c>
      <x:c r="H953" t="str">
        <x:v>Client 21</x:v>
      </x:c>
      <x:c r="I953" s="16" t="n">
        <x:v>45793</x:v>
      </x:c>
    </x:row>
    <x:row r="954">
      <x:c r="A954" t="str">
        <x:v>DV-2024-00953</x:v>
      </x:c>
      <x:c r="B954" s="16" t="n">
        <x:v>45543</x:v>
      </x:c>
      <x:c r="C954" t="str">
        <x:v>Client 13</x:v>
      </x:c>
      <x:c r="D954" t="str">
        <x:v>Douane</x:v>
      </x:c>
      <x:c r="E954" t="str">
        <x:v>Pôle A</x:v>
      </x:c>
      <x:c r="F954" s="18" t="n">
        <x:v>24092.78</x:v>
      </x:c>
      <x:c r="G954" s="18" t="n">
        <x:v>24092.78</x:v>
      </x:c>
      <x:c r="H954" t="str">
        <x:v>Client 13</x:v>
      </x:c>
      <x:c r="I954" s="16" t="n">
        <x:v>45632</x:v>
      </x:c>
    </x:row>
    <x:row r="955">
      <x:c r="A955" t="str">
        <x:v>DV-2024-00954</x:v>
      </x:c>
      <x:c r="B955" s="16" t="n">
        <x:v>45400</x:v>
      </x:c>
      <x:c r="C955" t="str">
        <x:v>Client 33</x:v>
      </x:c>
      <x:c r="D955" t="str">
        <x:v>Douane</x:v>
      </x:c>
      <x:c r="E955" t="str">
        <x:v>Pôle D</x:v>
      </x:c>
      <x:c r="F955" s="18" t="n">
        <x:v>10373.63</x:v>
      </x:c>
      <x:c r="G955" s="18" t="n">
        <x:v>10373.63</x:v>
      </x:c>
      <x:c r="H955" t="str">
        <x:v>Client 33</x:v>
      </x:c>
      <x:c r="I955" s="16" t="n">
        <x:v>45438</x:v>
      </x:c>
    </x:row>
    <x:row r="956">
      <x:c r="A956" t="str">
        <x:v>DV-2025-00955</x:v>
      </x:c>
      <x:c r="B956" s="16" t="n">
        <x:v>45683</x:v>
      </x:c>
      <x:c r="C956" t="str">
        <x:v>Client 23</x:v>
      </x:c>
      <x:c r="D956" t="str">
        <x:v>Express</x:v>
      </x:c>
      <x:c r="E956" t="str">
        <x:v>Pôle C</x:v>
      </x:c>
      <x:c r="F956" s="18" t="n">
        <x:v>15664.54</x:v>
      </x:c>
      <x:c r="G956" s="18" t="n">
        <x:v>15664.54</x:v>
      </x:c>
      <x:c r="H956" t="str">
        <x:v>Client 23</x:v>
      </x:c>
      <x:c r="I956" s="16" t="n">
        <x:v>45743</x:v>
      </x:c>
    </x:row>
    <x:row r="957">
      <x:c r="A957" t="str">
        <x:v>DV-2026-00956</x:v>
      </x:c>
      <x:c r="B957" s="16" t="n">
        <x:v>46055</x:v>
      </x:c>
      <x:c r="C957" t="str">
        <x:v>Client 34</x:v>
      </x:c>
      <x:c r="D957" t="str">
        <x:v>Douane</x:v>
      </x:c>
      <x:c r="E957" t="str">
        <x:v>Pôle A</x:v>
      </x:c>
      <x:c r="F957" s="18" t="n">
        <x:v>8189.67</x:v>
      </x:c>
      <x:c r="G957" s="18" t="n">
        <x:v>8189.67</x:v>
      </x:c>
      <x:c r="H957" t="str">
        <x:v>Client 34</x:v>
      </x:c>
      <x:c r="I957" s="16" t="n">
        <x:v>46135</x:v>
      </x:c>
    </x:row>
    <x:row r="958">
      <x:c r="A958" t="str">
        <x:v>DV-2026-00957</x:v>
      </x:c>
      <x:c r="B958" s="16" t="n">
        <x:v>46191</x:v>
      </x:c>
      <x:c r="C958" t="str">
        <x:v>Client 09</x:v>
      </x:c>
      <x:c r="D958" t="str">
        <x:v>Logistique</x:v>
      </x:c>
      <x:c r="E958" t="str">
        <x:v>Pôle D</x:v>
      </x:c>
      <x:c r="F958" s="18" t="n">
        <x:v>21083.85</x:v>
      </x:c>
      <x:c r="G958" s="18" t="n">
        <x:v>21083.85</x:v>
      </x:c>
      <x:c r="H958" t="str">
        <x:v>Client 09</x:v>
      </x:c>
      <x:c r="I958" s="16" t="n">
        <x:v>46197</x:v>
      </x:c>
    </x:row>
    <x:row r="959">
      <x:c r="A959" t="str">
        <x:v>DV-2026-00958</x:v>
      </x:c>
      <x:c r="B959" s="16" t="n">
        <x:v>46036</x:v>
      </x:c>
      <x:c r="C959" t="str">
        <x:v>Client 41</x:v>
      </x:c>
      <x:c r="D959" t="str">
        <x:v>Fret aérien</x:v>
      </x:c>
      <x:c r="E959" t="str">
        <x:v>Pôle C</x:v>
      </x:c>
      <x:c r="F959" s="18" t="n">
        <x:v>1276.47</x:v>
      </x:c>
      <x:c r="G959" s="18" t="n">
        <x:v>1276.47</x:v>
      </x:c>
      <x:c r="H959" t="str">
        <x:v>Client 41</x:v>
      </x:c>
      <x:c r="I959" s="16" t="n">
        <x:v>46040</x:v>
      </x:c>
    </x:row>
    <x:row r="960">
      <x:c r="A960" t="str">
        <x:v>DV-2026-00959</x:v>
      </x:c>
      <x:c r="B960" s="16" t="n">
        <x:v>46209</x:v>
      </x:c>
      <x:c r="C960" t="str">
        <x:v>Client 50</x:v>
      </x:c>
      <x:c r="D960" t="str">
        <x:v>Fret aérien</x:v>
      </x:c>
      <x:c r="E960" t="str">
        <x:v>Pôle E</x:v>
      </x:c>
      <x:c r="F960" s="18" t="n">
        <x:v>3908.52</x:v>
      </x:c>
      <x:c r="G960" s="18" t="n">
        <x:v>3908.52</x:v>
      </x:c>
      <x:c r="H960" t="str">
        <x:v>Client 50</x:v>
      </x:c>
      <x:c r="I960" s="16" t="n">
        <x:v>46267</x:v>
      </x:c>
    </x:row>
    <x:row r="961">
      <x:c r="A961" t="str">
        <x:v>DV-2025-00960</x:v>
      </x:c>
      <x:c r="B961" s="16" t="n">
        <x:v>45661</x:v>
      </x:c>
      <x:c r="C961" t="str">
        <x:v>Client 49 </x:v>
      </x:c>
      <x:c r="D961" t="str">
        <x:v>Logistique</x:v>
      </x:c>
      <x:c r="E961" t="str">
        <x:v>Pôle C</x:v>
      </x:c>
      <x:c r="F961" s="18" t="n">
        <x:v>10488.82</x:v>
      </x:c>
      <x:c r="G961" s="18" t="n">
        <x:v>10488.82</x:v>
      </x:c>
      <x:c r="H961" t="str">
        <x:v>Client 49</x:v>
      </x:c>
      <x:c r="I961" s="16" t="n">
        <x:v>45742</x:v>
      </x:c>
    </x:row>
    <x:row r="962">
      <x:c r="A962" t="str">
        <x:v>DV-2024-00961</x:v>
      </x:c>
      <x:c r="B962" s="16" t="n">
        <x:v>45414</x:v>
      </x:c>
      <x:c r="C962" t="str">
        <x:v>Client 26</x:v>
      </x:c>
      <x:c r="D962" t="str">
        <x:v>Fret maritime</x:v>
      </x:c>
      <x:c r="E962" t="str">
        <x:v>Pôle E</x:v>
      </x:c>
      <x:c r="F962" s="18" t="n">
        <x:v>1957.46</x:v>
      </x:c>
      <x:c r="G962" s="18" t="n">
        <x:v>1957.46</x:v>
      </x:c>
      <x:c r="H962" t="str">
        <x:v>Client 26</x:v>
      </x:c>
      <x:c r="I962" s="16" t="n">
        <x:v>45479</x:v>
      </x:c>
    </x:row>
    <x:row r="963">
      <x:c r="A963" t="str">
        <x:v>DV-2026-00962</x:v>
      </x:c>
      <x:c r="B963" s="16" t="n">
        <x:v>46241</x:v>
      </x:c>
      <x:c r="C963" t="str">
        <x:v>Client 09</x:v>
      </x:c>
      <x:c r="D963" t="str">
        <x:v>Douane</x:v>
      </x:c>
      <x:c r="E963" t="str">
        <x:v>Pôle D</x:v>
      </x:c>
      <x:c r="F963" s="18" t="n">
        <x:v>12885.49</x:v>
      </x:c>
      <x:c r="G963" s="18" t="n">
        <x:v>12885.49</x:v>
      </x:c>
      <x:c r="H963" t="str">
        <x:v>Client 09</x:v>
      </x:c>
      <x:c r="I963" s="16" t="n">
        <x:v>46317</x:v>
      </x:c>
    </x:row>
    <x:row r="964">
      <x:c r="A964" t="str">
        <x:v>DV-2026-00963</x:v>
      </x:c>
      <x:c r="B964" s="16" t="n">
        <x:v>46240</x:v>
      </x:c>
      <x:c r="C964" t="str">
        <x:v>Client 07</x:v>
      </x:c>
      <x:c r="D964" t="str">
        <x:v>Fret maritime</x:v>
      </x:c>
      <x:c r="E964" t="str">
        <x:v>Pôle E</x:v>
      </x:c>
      <x:c r="F964" s="18" t="n">
        <x:v>8473.52</x:v>
      </x:c>
      <x:c r="G964" s="18" t="n">
        <x:v>8473.52</x:v>
      </x:c>
      <x:c r="H964" t="str">
        <x:v>Client 07</x:v>
      </x:c>
      <x:c r="I964" s="16" t="n">
        <x:v>46259</x:v>
      </x:c>
    </x:row>
    <x:row r="965">
      <x:c r="A965" t="str">
        <x:v>DV-2026-00964</x:v>
      </x:c>
      <x:c r="B965" s="16" t="n">
        <x:v>46178</x:v>
      </x:c>
      <x:c r="C965" t="str">
        <x:v>Client 33</x:v>
      </x:c>
      <x:c r="D965" t="str">
        <x:v>Fret aérien</x:v>
      </x:c>
      <x:c r="E965" t="str">
        <x:v>Pôle A</x:v>
      </x:c>
      <x:c r="F965" s="18" t="n">
        <x:v>18200.08</x:v>
      </x:c>
      <x:c r="G965" s="18" t="n">
        <x:v>18200.08</x:v>
      </x:c>
      <x:c r="H965" t="str">
        <x:v>Client 33</x:v>
      </x:c>
      <x:c r="I965" s="16" t="n">
        <x:v>46264</x:v>
      </x:c>
    </x:row>
    <x:row r="966">
      <x:c r="A966" t="str">
        <x:v>DV-2024-00965</x:v>
      </x:c>
      <x:c r="B966" s="16" t="n">
        <x:v>45629</x:v>
      </x:c>
      <x:c r="C966" t="str">
        <x:v>Client 27</x:v>
      </x:c>
      <x:c r="D966" t="str">
        <x:v>Douane</x:v>
      </x:c>
      <x:c r="E966" t="str">
        <x:v>Pôle A</x:v>
      </x:c>
      <x:c r="F966" s="18" t="n">
        <x:v>15435.94</x:v>
      </x:c>
      <x:c r="G966" s="18" t="n">
        <x:v>15435.94</x:v>
      </x:c>
      <x:c r="H966" t="str">
        <x:v>Client 27</x:v>
      </x:c>
      <x:c r="I966" s="16" t="n">
        <x:v>45660</x:v>
      </x:c>
    </x:row>
    <x:row r="967">
      <x:c r="A967" t="str">
        <x:v>DV-2025-00966</x:v>
      </x:c>
      <x:c r="B967" s="16" t="n">
        <x:v>45980</x:v>
      </x:c>
      <x:c r="C967" t="str">
        <x:v>Client 39</x:v>
      </x:c>
      <x:c r="D967" t="str">
        <x:v>Fret aérien</x:v>
      </x:c>
      <x:c r="E967" t="str">
        <x:v>Pôle E</x:v>
      </x:c>
      <x:c r="F967" s="18" t="n">
        <x:v>17603.53</x:v>
      </x:c>
      <x:c r="G967" s="18" t="n">
        <x:v>3151.07</x:v>
      </x:c>
      <x:c r="H967" t="str">
        <x:v>Client 39</x:v>
      </x:c>
      <x:c r="I967" s="16" t="n">
        <x:v>45995</x:v>
      </x:c>
    </x:row>
    <x:row r="968">
      <x:c r="A968" t="str">
        <x:v>DV-2026-00967</x:v>
      </x:c>
      <x:c r="B968" s="16" t="n">
        <x:v>46164</x:v>
      </x:c>
      <x:c r="C968" t="str">
        <x:v>Client 46</x:v>
      </x:c>
      <x:c r="D968" t="str">
        <x:v>Fret maritime</x:v>
      </x:c>
      <x:c r="E968" t="str">
        <x:v>Pôle B</x:v>
      </x:c>
      <x:c r="F968" s="18" t="n">
        <x:v>18969.08</x:v>
      </x:c>
      <x:c r="G968" s="18" t="n">
        <x:v>10816.77</x:v>
      </x:c>
      <x:c r="H968" t="str">
        <x:v>Client 46</x:v>
      </x:c>
      <x:c r="I968" s="16" t="n">
        <x:v>46211</x:v>
      </x:c>
    </x:row>
    <x:row r="969">
      <x:c r="A969" t="str">
        <x:v>DV-2025-00968</x:v>
      </x:c>
      <x:c r="B969" s="16" t="n">
        <x:v>45981</x:v>
      </x:c>
      <x:c r="C969" t="str">
        <x:v>Client 14</x:v>
      </x:c>
      <x:c r="D969" t="str">
        <x:v>Fret maritime</x:v>
      </x:c>
      <x:c r="E969" t="str">
        <x:v>Pôle A</x:v>
      </x:c>
      <x:c r="F969" s="18" t="n">
        <x:v>16700.68</x:v>
      </x:c>
      <x:c r="G969" s="18" t="n">
        <x:v>16700.68</x:v>
      </x:c>
      <x:c r="H969" t="str">
        <x:v>Client 14</x:v>
      </x:c>
      <x:c r="I969" s="16" t="n">
        <x:v>46004</x:v>
      </x:c>
    </x:row>
    <x:row r="970">
      <x:c r="A970" t="str">
        <x:v>DV-2026-00969</x:v>
      </x:c>
      <x:c r="B970" s="16" t="n">
        <x:v>46227</x:v>
      </x:c>
      <x:c r="C970" t="str">
        <x:v>Client 26</x:v>
      </x:c>
      <x:c r="D970" t="str">
        <x:v>Logistique</x:v>
      </x:c>
      <x:c r="E970" t="str">
        <x:v>Pôle D</x:v>
      </x:c>
      <x:c r="F970" s="18" t="n">
        <x:v>6631.85</x:v>
      </x:c>
      <x:c r="G970" s="18" t="n">
        <x:v>6631.85</x:v>
      </x:c>
      <x:c r="H970" t="str">
        <x:v>Client 26</x:v>
      </x:c>
      <x:c r="I970" s="16" t="n">
        <x:v>46255</x:v>
      </x:c>
    </x:row>
    <x:row r="971">
      <x:c r="A971" t="str">
        <x:v>DV-2024-00970</x:v>
      </x:c>
      <x:c r="B971" s="16" t="n">
        <x:v>45357</x:v>
      </x:c>
      <x:c r="C971" t="str">
        <x:v>Client 36</x:v>
      </x:c>
      <x:c r="D971" t="str">
        <x:v>Fret aérien</x:v>
      </x:c>
      <x:c r="E971" t="str">
        <x:v>Pôle C</x:v>
      </x:c>
      <x:c r="F971" s="18" t="n">
        <x:v>20722.92</x:v>
      </x:c>
      <x:c r="G971" s="18" t="n">
        <x:v>15143.05</x:v>
      </x:c>
      <x:c r="H971" t="str">
        <x:v>Client 36</x:v>
      </x:c>
      <x:c r="I971" s="16" t="n">
        <x:v>45432</x:v>
      </x:c>
    </x:row>
    <x:row r="972">
      <x:c r="A972" t="str">
        <x:v>DV-2024-00971</x:v>
      </x:c>
      <x:c r="B972" s="16" t="n">
        <x:v>45309</x:v>
      </x:c>
      <x:c r="C972" t="str">
        <x:v>Client 39</x:v>
      </x:c>
      <x:c r="D972" t="str">
        <x:v>Fret maritime</x:v>
      </x:c>
      <x:c r="E972" t="str">
        <x:v>Pôle A</x:v>
      </x:c>
      <x:c r="F972" s="18" t="n">
        <x:v>16414.36</x:v>
      </x:c>
      <x:c r="G972" s="18" t="n">
        <x:v>16414.36</x:v>
      </x:c>
      <x:c r="H972" t="str">
        <x:v>Client 39</x:v>
      </x:c>
      <x:c r="I972" s="16" t="n">
        <x:v>45380</x:v>
      </x:c>
    </x:row>
    <x:row r="973">
      <x:c r="A973" t="str">
        <x:v>DV-2025-00972</x:v>
      </x:c>
      <x:c r="B973" s="16" t="n">
        <x:v>45826</x:v>
      </x:c>
      <x:c r="C973" t="str">
        <x:v>Client 12</x:v>
      </x:c>
      <x:c r="D973" t="str">
        <x:v>Fret aérien</x:v>
      </x:c>
      <x:c r="E973" t="str">
        <x:v>Pôle C</x:v>
      </x:c>
      <x:c r="F973" s="18" t="n">
        <x:v>21023.89</x:v>
      </x:c>
      <x:c r="G973" s="18" t="n">
        <x:v>21023.89</x:v>
      </x:c>
      <x:c r="H973" t="str">
        <x:v>Client 12</x:v>
      </x:c>
      <x:c r="I973" s="16" t="n">
        <x:v>45838</x:v>
      </x:c>
    </x:row>
    <x:row r="974">
      <x:c r="A974" t="str">
        <x:v>DV-2024-00973</x:v>
      </x:c>
      <x:c r="B974" s="16" t="n">
        <x:v>45312</x:v>
      </x:c>
      <x:c r="C974" t="str">
        <x:v>Client 11</x:v>
      </x:c>
      <x:c r="D974" t="str">
        <x:v>Fret maritime</x:v>
      </x:c>
      <x:c r="E974" t="str">
        <x:v>Pôle B</x:v>
      </x:c>
      <x:c r="F974" s="18" t="n">
        <x:v>16876.41</x:v>
      </x:c>
      <x:c r="G974" s="18" t="n">
        <x:v>16876.41</x:v>
      </x:c>
      <x:c r="H974" t="str">
        <x:v>Client 11</x:v>
      </x:c>
      <x:c r="I974" s="16" t="n">
        <x:v>45343</x:v>
      </x:c>
    </x:row>
    <x:row r="975">
      <x:c r="A975" t="str">
        <x:v>DV-2024-00974</x:v>
      </x:c>
      <x:c r="B975" s="16" t="n">
        <x:v>45362</x:v>
      </x:c>
      <x:c r="C975" t="str">
        <x:v>Client 37</x:v>
      </x:c>
      <x:c r="D975" t="str">
        <x:v>Fret maritime</x:v>
      </x:c>
      <x:c r="E975" t="str">
        <x:v>Pôle D</x:v>
      </x:c>
      <x:c r="F975" s="18" t="n">
        <x:v>21397.35</x:v>
      </x:c>
      <x:c r="G975" s="18" t="n">
        <x:v>21397.35</x:v>
      </x:c>
      <x:c r="H975" t="str">
        <x:v>Client 37</x:v>
      </x:c>
      <x:c r="I975" s="16" t="n">
        <x:v>45407</x:v>
      </x:c>
    </x:row>
    <x:row r="976">
      <x:c r="A976" t="str">
        <x:v>DV-2024-00975</x:v>
      </x:c>
      <x:c r="B976" s="16" t="n">
        <x:v>45415</x:v>
      </x:c>
      <x:c r="C976" t="str">
        <x:v>Client 04</x:v>
      </x:c>
      <x:c r="D976" t="str">
        <x:v>Douane</x:v>
      </x:c>
      <x:c r="E976" t="str">
        <x:v>Pôle E</x:v>
      </x:c>
      <x:c r="F976" s="18" t="n">
        <x:v>16085.29</x:v>
      </x:c>
      <x:c r="G976" s="18" t="n">
        <x:v>16085.29</x:v>
      </x:c>
      <x:c r="H976" t="str">
        <x:v>Client 04</x:v>
      </x:c>
      <x:c r="I976" s="16" t="n">
        <x:v>45441</x:v>
      </x:c>
    </x:row>
    <x:row r="977">
      <x:c r="A977" t="str">
        <x:v>DV-2026-00976</x:v>
      </x:c>
      <x:c r="B977" s="16" t="n">
        <x:v>46050</x:v>
      </x:c>
      <x:c r="C977" t="str">
        <x:v>Client 21</x:v>
      </x:c>
      <x:c r="D977" t="str">
        <x:v>Douane</x:v>
      </x:c>
      <x:c r="E977" t="str">
        <x:v>Pôle A</x:v>
      </x:c>
      <x:c r="F977" s="18" t="n">
        <x:v>14071.73</x:v>
      </x:c>
      <x:c r="G977" s="18" t="n">
        <x:v>14071.73</x:v>
      </x:c>
      <x:c r="H977" t="str">
        <x:v>Client 21</x:v>
      </x:c>
      <x:c r="I977" s="16" t="n">
        <x:v>46129</x:v>
      </x:c>
    </x:row>
    <x:row r="978">
      <x:c r="A978" t="str">
        <x:v>DV-2026-00977</x:v>
      </x:c>
      <x:c r="B978" s="16" t="n">
        <x:v>46241</x:v>
      </x:c>
      <x:c r="C978" t="str">
        <x:v>Client 07</x:v>
      </x:c>
      <x:c r="D978" t="str">
        <x:v>Express</x:v>
      </x:c>
      <x:c r="E978" t="str">
        <x:v>Pôle A</x:v>
      </x:c>
      <x:c r="F978" s="18" t="n">
        <x:v>2870.29</x:v>
      </x:c>
      <x:c r="G978" s="18" t="n">
        <x:v>2870.29</x:v>
      </x:c>
      <x:c r="H978" t="str">
        <x:v>Client 07</x:v>
      </x:c>
      <x:c r="I978" s="16" t="n">
        <x:v>46294</x:v>
      </x:c>
    </x:row>
    <x:row r="979">
      <x:c r="A979" t="str">
        <x:v>DV-2025-00978</x:v>
      </x:c>
      <x:c r="B979" s="16" t="n">
        <x:v>45735</x:v>
      </x:c>
      <x:c r="C979" t="str">
        <x:v>Client 12</x:v>
      </x:c>
      <x:c r="D979" t="str">
        <x:v>Express</x:v>
      </x:c>
      <x:c r="E979" t="str">
        <x:v>Pôle B</x:v>
      </x:c>
      <x:c r="F979" s="18" t="n">
        <x:v>1599.54</x:v>
      </x:c>
      <x:c r="G979" s="18" t="n">
        <x:v>1599.54</x:v>
      </x:c>
      <x:c r="H979" t="str">
        <x:v>Client 27</x:v>
      </x:c>
      <x:c r="I979" s="16" t="n">
        <x:v>45744</x:v>
      </x:c>
    </x:row>
    <x:row r="980">
      <x:c r="A980" t="str">
        <x:v>DV-2026-00979</x:v>
      </x:c>
      <x:c r="B980" s="16" t="n">
        <x:v>46232</x:v>
      </x:c>
      <x:c r="C980" t="str">
        <x:v>Client 03</x:v>
      </x:c>
      <x:c r="D980" t="str">
        <x:v>Douane</x:v>
      </x:c>
      <x:c r="E980" t="str">
        <x:v>Pôle E</x:v>
      </x:c>
      <x:c r="F980" s="18" t="n">
        <x:v>5651.48</x:v>
      </x:c>
      <x:c r="G980" s="18" t="n">
        <x:v>5651.48</x:v>
      </x:c>
      <x:c r="H980" t="str">
        <x:v>Client 03</x:v>
      </x:c>
      <x:c r="I980" s="16" t="n">
        <x:v>46297</x:v>
      </x:c>
    </x:row>
    <x:row r="981">
      <x:c r="A981" t="str">
        <x:v>DV-2024-00980</x:v>
      </x:c>
      <x:c r="B981" s="16" t="n">
        <x:v>45457</x:v>
      </x:c>
      <x:c r="C981" t="str">
        <x:v>Client 19</x:v>
      </x:c>
      <x:c r="D981" t="str">
        <x:v>Fret maritime</x:v>
      </x:c>
      <x:c r="E981" t="str">
        <x:v>Pôle C</x:v>
      </x:c>
      <x:c r="F981" s="18" t="n">
        <x:v>8245.1</x:v>
      </x:c>
      <x:c r="G981" s="18" t="n">
        <x:v>0</x:v>
      </x:c>
      <x:c r="H981" t="str">
        <x:v>Client 19</x:v>
      </x:c>
      <x:c r="I981" s="16"/>
    </x:row>
    <x:row r="982">
      <x:c r="A982" t="str">
        <x:v>DV-2025-00981</x:v>
      </x:c>
      <x:c r="B982" s="16" t="n">
        <x:v>45785</x:v>
      </x:c>
      <x:c r="C982" t="str">
        <x:v>Client 16</x:v>
      </x:c>
      <x:c r="D982" t="str">
        <x:v>Express</x:v>
      </x:c>
      <x:c r="E982" t="str">
        <x:v>Pôle A</x:v>
      </x:c>
      <x:c r="F982" s="18" t="n">
        <x:v>18106.43</x:v>
      </x:c>
      <x:c r="G982" s="18" t="n">
        <x:v>18106.43</x:v>
      </x:c>
      <x:c r="H982" t="str">
        <x:v>Client 16</x:v>
      </x:c>
      <x:c r="I982" s="16" t="n">
        <x:v>45807</x:v>
      </x:c>
    </x:row>
    <x:row r="983">
      <x:c r="A983" t="str">
        <x:v>DV-2024-00982</x:v>
      </x:c>
      <x:c r="B983" s="16" t="n">
        <x:v>45337</x:v>
      </x:c>
      <x:c r="C983" t="str">
        <x:v>Client 06</x:v>
      </x:c>
      <x:c r="D983" t="str">
        <x:v>Fret maritime</x:v>
      </x:c>
      <x:c r="E983" t="str">
        <x:v>Pôle D</x:v>
      </x:c>
      <x:c r="F983" s="18" t="n">
        <x:v>13322.07</x:v>
      </x:c>
      <x:c r="G983" s="18" t="n">
        <x:v>13322.07</x:v>
      </x:c>
      <x:c r="H983" t="str">
        <x:v>Client 06</x:v>
      </x:c>
      <x:c r="I983" s="16" t="n">
        <x:v>45390</x:v>
      </x:c>
    </x:row>
    <x:row r="984">
      <x:c r="A984" t="str">
        <x:v>DV-2024-00983</x:v>
      </x:c>
      <x:c r="B984" s="16" t="n">
        <x:v>45509</x:v>
      </x:c>
      <x:c r="C984" t="str">
        <x:v>Client 47</x:v>
      </x:c>
      <x:c r="D984" t="str">
        <x:v>Douane</x:v>
      </x:c>
      <x:c r="E984" t="str">
        <x:v>Pôle E</x:v>
      </x:c>
      <x:c r="F984" s="18" t="n">
        <x:v>20688.74</x:v>
      </x:c>
      <x:c r="G984" s="18" t="n">
        <x:v>20688.74</x:v>
      </x:c>
      <x:c r="H984" t="str">
        <x:v>Client 47</x:v>
      </x:c>
      <x:c r="I984" s="16" t="n">
        <x:v>45580</x:v>
      </x:c>
    </x:row>
    <x:row r="985">
      <x:c r="A985" t="str">
        <x:v>DV-2024-00984</x:v>
      </x:c>
      <x:c r="B985" s="16" t="n">
        <x:v>45589</x:v>
      </x:c>
      <x:c r="C985" t="str">
        <x:v>Client 49</x:v>
      </x:c>
      <x:c r="D985" t="str">
        <x:v>Fret aérien</x:v>
      </x:c>
      <x:c r="E985" t="str">
        <x:v>Pôle D</x:v>
      </x:c>
      <x:c r="F985" s="18" t="n">
        <x:v>7966.9</x:v>
      </x:c>
      <x:c r="G985" s="18" t="n">
        <x:v>7966.9</x:v>
      </x:c>
      <x:c r="H985" t="str">
        <x:v>Client 49</x:v>
      </x:c>
      <x:c r="I985" s="16" t="n">
        <x:v>45619</x:v>
      </x:c>
    </x:row>
    <x:row r="986">
      <x:c r="A986" t="str">
        <x:v>DV-2026-00985</x:v>
      </x:c>
      <x:c r="B986" s="16" t="n">
        <x:v>46280</x:v>
      </x:c>
      <x:c r="C986" t="str">
        <x:v>Client 45</x:v>
      </x:c>
      <x:c r="D986" t="str">
        <x:v>Douane</x:v>
      </x:c>
      <x:c r="E986" t="str">
        <x:v>Pôle C</x:v>
      </x:c>
      <x:c r="F986" s="18" t="n">
        <x:v>10732.78</x:v>
      </x:c>
      <x:c r="G986" s="18" t="n">
        <x:v>10732.78</x:v>
      </x:c>
      <x:c r="H986" t="str">
        <x:v>Client 45</x:v>
      </x:c>
      <x:c r="I986" s="16" t="n">
        <x:v>46370</x:v>
      </x:c>
    </x:row>
    <x:row r="987">
      <x:c r="A987" t="str">
        <x:v>DV-2025-00986</x:v>
      </x:c>
      <x:c r="B987" s="16" t="n">
        <x:v>45979</x:v>
      </x:c>
      <x:c r="C987" t="str">
        <x:v>Client 43</x:v>
      </x:c>
      <x:c r="D987" t="str">
        <x:v>Fret aérien</x:v>
      </x:c>
      <x:c r="E987" t="str">
        <x:v>Pôle C</x:v>
      </x:c>
      <x:c r="F987" s="18" t="n">
        <x:v>14496.15</x:v>
      </x:c>
      <x:c r="G987" s="18" t="n">
        <x:v>8002.24</x:v>
      </x:c>
      <x:c r="H987" t="str">
        <x:v>Client 43</x:v>
      </x:c>
      <x:c r="I987" s="16" t="n">
        <x:v>45980</x:v>
      </x:c>
    </x:row>
    <x:row r="988">
      <x:c r="A988" t="str">
        <x:v>DV-2025-00987</x:v>
      </x:c>
      <x:c r="B988" s="16" t="n">
        <x:v>45709</x:v>
      </x:c>
      <x:c r="C988" t="str">
        <x:v>Client 15</x:v>
      </x:c>
      <x:c r="D988" t="str">
        <x:v>Fret maritime</x:v>
      </x:c>
      <x:c r="E988" t="str">
        <x:v>Pôle D</x:v>
      </x:c>
      <x:c r="F988" s="18" t="n">
        <x:v>15330.95</x:v>
      </x:c>
      <x:c r="G988" s="18" t="n">
        <x:v>15330.95</x:v>
      </x:c>
      <x:c r="H988" t="str">
        <x:v>Client 15</x:v>
      </x:c>
      <x:c r="I988" s="16" t="n">
        <x:v>45779</x:v>
      </x:c>
    </x:row>
    <x:row r="989">
      <x:c r="A989" t="str">
        <x:v>DV-2024-00988</x:v>
      </x:c>
      <x:c r="B989" s="16" t="n">
        <x:v>45502</x:v>
      </x:c>
      <x:c r="C989" t="str">
        <x:v>Client 39</x:v>
      </x:c>
      <x:c r="D989" t="str">
        <x:v>Fret aérien</x:v>
      </x:c>
      <x:c r="E989" t="str">
        <x:v>Pôle E</x:v>
      </x:c>
      <x:c r="F989" s="18" t="n">
        <x:v>13679.51</x:v>
      </x:c>
      <x:c r="G989" s="18" t="n">
        <x:v>13679.51</x:v>
      </x:c>
      <x:c r="H989" t="str">
        <x:v>Client 39</x:v>
      </x:c>
      <x:c r="I989" s="16" t="n">
        <x:v>45535</x:v>
      </x:c>
    </x:row>
    <x:row r="990">
      <x:c r="A990" t="str">
        <x:v>DV-2025-00989</x:v>
      </x:c>
      <x:c r="B990" s="16" t="n">
        <x:v>45930</x:v>
      </x:c>
      <x:c r="C990" t="str">
        <x:v>Client 46</x:v>
      </x:c>
      <x:c r="D990" t="str">
        <x:v>Express</x:v>
      </x:c>
      <x:c r="E990" t="str">
        <x:v>Pôle A</x:v>
      </x:c>
      <x:c r="F990" s="18" t="n">
        <x:v>24448.31</x:v>
      </x:c>
      <x:c r="G990" s="18" t="n">
        <x:v>24448.31</x:v>
      </x:c>
      <x:c r="H990" t="str">
        <x:v>Client 46</x:v>
      </x:c>
      <x:c r="I990" s="16" t="n">
        <x:v>46002</x:v>
      </x:c>
    </x:row>
    <x:row r="991">
      <x:c r="A991" t="str">
        <x:v>DV-2024-00990</x:v>
      </x:c>
      <x:c r="B991" s="16" t="n">
        <x:v>45511</x:v>
      </x:c>
      <x:c r="C991" t="str">
        <x:v>Client 18</x:v>
      </x:c>
      <x:c r="D991" t="str">
        <x:v>Fret maritime</x:v>
      </x:c>
      <x:c r="E991" t="str">
        <x:v>Pôle D</x:v>
      </x:c>
      <x:c r="F991" s="18" t="n">
        <x:v>12573.8</x:v>
      </x:c>
      <x:c r="G991" s="18" t="n">
        <x:v>12573.8</x:v>
      </x:c>
      <x:c r="H991" t="str">
        <x:v>Client 18</x:v>
      </x:c>
      <x:c r="I991" s="16" t="n">
        <x:v>45586</x:v>
      </x:c>
    </x:row>
    <x:row r="992">
      <x:c r="A992" t="str">
        <x:v>DV-2025-00991</x:v>
      </x:c>
      <x:c r="B992" s="16" t="n">
        <x:v>45885</x:v>
      </x:c>
      <x:c r="C992" t="str">
        <x:v>Client 46</x:v>
      </x:c>
      <x:c r="D992" t="str">
        <x:v>Fret maritime</x:v>
      </x:c>
      <x:c r="E992" t="str">
        <x:v>Pôle D</x:v>
      </x:c>
      <x:c r="F992" s="18" t="n">
        <x:v>3386.63</x:v>
      </x:c>
      <x:c r="G992" s="18" t="n">
        <x:v>3386.63</x:v>
      </x:c>
      <x:c r="H992" t="str">
        <x:v>Client 46</x:v>
      </x:c>
      <x:c r="I992" s="16" t="n">
        <x:v>45903</x:v>
      </x:c>
    </x:row>
    <x:row r="993">
      <x:c r="A993" t="str">
        <x:v>DV-2024-00992</x:v>
      </x:c>
      <x:c r="B993" s="16" t="n">
        <x:v>45626</x:v>
      </x:c>
      <x:c r="C993" t="str">
        <x:v>Client 41</x:v>
      </x:c>
      <x:c r="D993" t="str">
        <x:v>Logistique</x:v>
      </x:c>
      <x:c r="E993" t="str">
        <x:v>Pôle B</x:v>
      </x:c>
      <x:c r="F993" s="18" t="n">
        <x:v>9381.86</x:v>
      </x:c>
      <x:c r="G993" s="18" t="n">
        <x:v>9381.86</x:v>
      </x:c>
      <x:c r="H993" t="str">
        <x:v>Client 41</x:v>
      </x:c>
      <x:c r="I993" s="16" t="n">
        <x:v>45687</x:v>
      </x:c>
    </x:row>
    <x:row r="994">
      <x:c r="A994" t="str">
        <x:v>DV-2025-00993</x:v>
      </x:c>
      <x:c r="B994" s="16" t="n">
        <x:v>45981</x:v>
      </x:c>
      <x:c r="C994" t="str">
        <x:v>Client 23</x:v>
      </x:c>
      <x:c r="D994" t="str">
        <x:v>Fret maritime</x:v>
      </x:c>
      <x:c r="E994" t="str">
        <x:v>Pôle D</x:v>
      </x:c>
      <x:c r="F994" s="18" t="n">
        <x:v>8287.97</x:v>
      </x:c>
      <x:c r="G994" s="18" t="n">
        <x:v>8287.97</x:v>
      </x:c>
      <x:c r="H994" t="str">
        <x:v>Client 23</x:v>
      </x:c>
      <x:c r="I994" s="16" t="n">
        <x:v>46038</x:v>
      </x:c>
    </x:row>
    <x:row r="995">
      <x:c r="A995" t="str">
        <x:v>DV-2024-00994</x:v>
      </x:c>
      <x:c r="B995" s="16" t="n">
        <x:v>45618</x:v>
      </x:c>
      <x:c r="C995" t="str">
        <x:v>Client 18</x:v>
      </x:c>
      <x:c r="D995" t="str">
        <x:v>Fret aérien</x:v>
      </x:c>
      <x:c r="E995" t="str">
        <x:v>Pôle A</x:v>
      </x:c>
      <x:c r="F995" s="18" t="n">
        <x:v>7640.48</x:v>
      </x:c>
      <x:c r="G995" s="18" t="n">
        <x:v>0</x:v>
      </x:c>
      <x:c r="H995" t="str">
        <x:v>Client 18</x:v>
      </x:c>
      <x:c r="I995" s="16"/>
    </x:row>
    <x:row r="996">
      <x:c r="A996" t="str">
        <x:v>DV-2024-00995</x:v>
      </x:c>
      <x:c r="B996" s="16" t="n">
        <x:v>45377</x:v>
      </x:c>
      <x:c r="C996" t="str">
        <x:v>Client 20</x:v>
      </x:c>
      <x:c r="D996" t="str">
        <x:v>Logistique</x:v>
      </x:c>
      <x:c r="E996" t="str">
        <x:v>Pôle E</x:v>
      </x:c>
      <x:c r="F996" s="18" t="n">
        <x:v>24759.2</x:v>
      </x:c>
      <x:c r="G996" s="18" t="n">
        <x:v>24759.2</x:v>
      </x:c>
      <x:c r="H996" t="str">
        <x:v>Client 20</x:v>
      </x:c>
      <x:c r="I996" s="16" t="n">
        <x:v>45434</x:v>
      </x:c>
    </x:row>
    <x:row r="997">
      <x:c r="A997" t="str">
        <x:v>DV-2025-00996</x:v>
      </x:c>
      <x:c r="B997" s="16" t="n">
        <x:v>45913</x:v>
      </x:c>
      <x:c r="C997" t="str">
        <x:v>Client 08</x:v>
      </x:c>
      <x:c r="D997" t="str">
        <x:v>Logistique</x:v>
      </x:c>
      <x:c r="E997" t="str">
        <x:v>Pôle C</x:v>
      </x:c>
      <x:c r="F997" s="18" t="n">
        <x:v>17918.85</x:v>
      </x:c>
      <x:c r="G997" s="18" t="n">
        <x:v>4295.26</x:v>
      </x:c>
      <x:c r="H997" t="str">
        <x:v>Client 08</x:v>
      </x:c>
      <x:c r="I997" s="16" t="n">
        <x:v>45929</x:v>
      </x:c>
    </x:row>
    <x:row r="998">
      <x:c r="A998" t="str">
        <x:v>DV-2026-00997</x:v>
      </x:c>
      <x:c r="B998" s="16" t="n">
        <x:v>46154</x:v>
      </x:c>
      <x:c r="C998" t="str">
        <x:v>Client 37</x:v>
      </x:c>
      <x:c r="D998" t="str">
        <x:v>Douane</x:v>
      </x:c>
      <x:c r="E998" t="str">
        <x:v>Pôle E</x:v>
      </x:c>
      <x:c r="F998" s="18" t="n">
        <x:v>12460.28</x:v>
      </x:c>
      <x:c r="G998" s="18" t="n">
        <x:v>12460.28</x:v>
      </x:c>
      <x:c r="H998" t="str">
        <x:v>Client 19</x:v>
      </x:c>
      <x:c r="I998" s="16" t="n">
        <x:v>46189</x:v>
      </x:c>
    </x:row>
    <x:row r="999">
      <x:c r="A999" t="str">
        <x:v>DV-2026-00998</x:v>
      </x:c>
      <x:c r="B999" s="16" t="n">
        <x:v>46217</x:v>
      </x:c>
      <x:c r="C999" t="str">
        <x:v>Client 18</x:v>
      </x:c>
      <x:c r="D999" t="str">
        <x:v>Logistique</x:v>
      </x:c>
      <x:c r="E999" t="str">
        <x:v>Pôle D</x:v>
      </x:c>
      <x:c r="F999" s="18" t="n">
        <x:v>11049.55</x:v>
      </x:c>
      <x:c r="G999" s="18" t="n">
        <x:v>11049.55</x:v>
      </x:c>
      <x:c r="H999" t="str">
        <x:v>Client 18</x:v>
      </x:c>
      <x:c r="I999" s="16" t="n">
        <x:v>46241</x:v>
      </x:c>
    </x:row>
    <x:row r="1000">
      <x:c r="A1000" t="str">
        <x:v>DV-2025-00999</x:v>
      </x:c>
      <x:c r="B1000" s="16" t="n">
        <x:v>45781</x:v>
      </x:c>
      <x:c r="C1000" t="str">
        <x:v>Client 19</x:v>
      </x:c>
      <x:c r="D1000" t="str">
        <x:v>Douane</x:v>
      </x:c>
      <x:c r="E1000" t="str">
        <x:v>Pôle C</x:v>
      </x:c>
      <x:c r="F1000" s="18" t="n">
        <x:v>19288.43</x:v>
      </x:c>
      <x:c r="G1000" s="18" t="n">
        <x:v>19288.43</x:v>
      </x:c>
      <x:c r="H1000" t="str">
        <x:v>Client 19</x:v>
      </x:c>
      <x:c r="I1000" s="16" t="n">
        <x:v>45876</x:v>
      </x:c>
    </x:row>
    <x:row r="1001">
      <x:c r="A1001" t="str">
        <x:v>DV-2025-01000</x:v>
      </x:c>
      <x:c r="B1001" s="16" t="n">
        <x:v>45760</x:v>
      </x:c>
      <x:c r="C1001" t="str">
        <x:v>Client 20</x:v>
      </x:c>
      <x:c r="D1001" t="str">
        <x:v>Logistique</x:v>
      </x:c>
      <x:c r="E1001" t="str">
        <x:v>Pôle C</x:v>
      </x:c>
      <x:c r="F1001" s="18" t="n">
        <x:v>13308.44</x:v>
      </x:c>
      <x:c r="G1001" s="18" t="n">
        <x:v>13308.44</x:v>
      </x:c>
      <x:c r="H1001" t="str">
        <x:v>Client 20</x:v>
      </x:c>
      <x:c r="I1001" s="16" t="n">
        <x:v>45849</x:v>
      </x:c>
    </x:row>
  </x:sheetData>
  <x:pageMargins left="0.7" right="0.7" top="0.75" bottom="0.75" header="0.3" footer="0.3"/>
  <x:tableParts count="1">
    <x:tablePart xmlns:r="http://schemas.openxmlformats.org/officeDocument/2006/relationships" r:id="R957632a933da4d63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7.5" hidden="0" customWidth="1"/>
    <x:col min="2" max="2" width="12.630000114440918" hidden="0" customWidth="1"/>
    <x:col min="3" max="3" width="10.130000114440918" hidden="0" customWidth="1"/>
    <x:col min="4" max="4" width="12.630000114440918" hidden="0" customWidth="1"/>
  </x:cols>
  <x:sheetData>
    <x:row r="1" ht="28" customHeight="1">
      <x:c r="A1" s="11" t="str">
        <x:v>Client</x:v>
      </x:c>
      <x:c r="B1" s="11" t="str">
        <x:v>Segment</x:v>
      </x:c>
      <x:c r="C1" s="11" t="str">
        <x:v>Zone</x:v>
      </x:c>
      <x:c r="D1" s="11" t="str">
        <x:v>Responsable</x:v>
      </x:c>
    </x:row>
    <x:row r="2">
      <x:c r="A2" t="str">
        <x:v>Client 01</x:v>
      </x:c>
      <x:c r="B2" t="str">
        <x:v>Grands comptes</x:v>
      </x:c>
      <x:c r="C2" t="str">
        <x:v>France</x:v>
      </x:c>
      <x:c r="D2" t="str">
        <x:v>Pôle A</x:v>
      </x:c>
    </x:row>
    <x:row r="3">
      <x:c r="A3" t="str">
        <x:v>Client 02</x:v>
      </x:c>
      <x:c r="B3" t="str">
        <x:v>PME</x:v>
      </x:c>
      <x:c r="C3" t="str">
        <x:v>Europe</x:v>
      </x:c>
      <x:c r="D3" t="str">
        <x:v>Pôle B</x:v>
      </x:c>
    </x:row>
    <x:row r="4">
      <x:c r="A4" t="str">
        <x:v>Client 03</x:v>
      </x:c>
      <x:c r="B4" t="str">
        <x:v>Particuliers</x:v>
      </x:c>
      <x:c r="C4" t="str">
        <x:v>International</x:v>
      </x:c>
      <x:c r="D4" t="str">
        <x:v>Pôle C</x:v>
      </x:c>
    </x:row>
    <x:row r="5">
      <x:c r="A5" t="str">
        <x:v>Client 04</x:v>
      </x:c>
      <x:c r="B5" t="str">
        <x:v>Grands comptes</x:v>
      </x:c>
      <x:c r="C5" t="str">
        <x:v>France</x:v>
      </x:c>
      <x:c r="D5" t="str">
        <x:v>Pôle D</x:v>
      </x:c>
    </x:row>
    <x:row r="6">
      <x:c r="A6" t="str">
        <x:v>Client 05</x:v>
      </x:c>
      <x:c r="B6" t="str">
        <x:v>PME</x:v>
      </x:c>
      <x:c r="C6" t="str">
        <x:v>Europe</x:v>
      </x:c>
      <x:c r="D6" t="str">
        <x:v>Pôle E</x:v>
      </x:c>
    </x:row>
    <x:row r="7">
      <x:c r="A7" t="str">
        <x:v>Client 06</x:v>
      </x:c>
      <x:c r="B7" t="str">
        <x:v>Particuliers</x:v>
      </x:c>
      <x:c r="C7" t="str">
        <x:v>International</x:v>
      </x:c>
      <x:c r="D7" t="str">
        <x:v>Pôle A</x:v>
      </x:c>
    </x:row>
    <x:row r="8">
      <x:c r="A8" t="str">
        <x:v>Client 07</x:v>
      </x:c>
      <x:c r="B8" t="str">
        <x:v>Grands comptes</x:v>
      </x:c>
      <x:c r="C8" t="str">
        <x:v>France</x:v>
      </x:c>
      <x:c r="D8" t="str">
        <x:v>Pôle B</x:v>
      </x:c>
    </x:row>
    <x:row r="9">
      <x:c r="A9" t="str">
        <x:v>Client 08</x:v>
      </x:c>
      <x:c r="B9" t="str">
        <x:v>PME</x:v>
      </x:c>
      <x:c r="C9" t="str">
        <x:v>Europe</x:v>
      </x:c>
      <x:c r="D9" t="str">
        <x:v>Pôle C</x:v>
      </x:c>
    </x:row>
    <x:row r="10">
      <x:c r="A10" t="str">
        <x:v>Client 09</x:v>
      </x:c>
      <x:c r="B10" t="str">
        <x:v>Particuliers</x:v>
      </x:c>
      <x:c r="C10" t="str">
        <x:v>International</x:v>
      </x:c>
      <x:c r="D10" t="str">
        <x:v>Pôle D</x:v>
      </x:c>
    </x:row>
    <x:row r="11">
      <x:c r="A11" t="str">
        <x:v>Client 10</x:v>
      </x:c>
      <x:c r="B11" t="str">
        <x:v>Grands comptes</x:v>
      </x:c>
      <x:c r="C11" t="str">
        <x:v>France</x:v>
      </x:c>
      <x:c r="D11" t="str">
        <x:v>Pôle E</x:v>
      </x:c>
    </x:row>
    <x:row r="12">
      <x:c r="A12" t="str">
        <x:v>Client 11</x:v>
      </x:c>
      <x:c r="B12" t="str">
        <x:v>PME</x:v>
      </x:c>
      <x:c r="C12" t="str">
        <x:v>Europe</x:v>
      </x:c>
      <x:c r="D12" t="str">
        <x:v>Pôle A</x:v>
      </x:c>
    </x:row>
    <x:row r="13">
      <x:c r="A13" t="str">
        <x:v>Client 12</x:v>
      </x:c>
      <x:c r="B13" t="str">
        <x:v>Particuliers</x:v>
      </x:c>
      <x:c r="C13" t="str">
        <x:v>International</x:v>
      </x:c>
      <x:c r="D13" t="str">
        <x:v>Pôle B</x:v>
      </x:c>
    </x:row>
    <x:row r="14">
      <x:c r="A14" t="str">
        <x:v>Client 13</x:v>
      </x:c>
      <x:c r="B14" t="str">
        <x:v>Grands comptes</x:v>
      </x:c>
      <x:c r="C14" t="str">
        <x:v>France</x:v>
      </x:c>
      <x:c r="D14" t="str">
        <x:v>Pôle C</x:v>
      </x:c>
    </x:row>
    <x:row r="15">
      <x:c r="A15" t="str">
        <x:v>Client 14</x:v>
      </x:c>
      <x:c r="B15" t="str">
        <x:v>PME</x:v>
      </x:c>
      <x:c r="C15" t="str">
        <x:v>Europe</x:v>
      </x:c>
      <x:c r="D15" t="str">
        <x:v>Pôle D</x:v>
      </x:c>
    </x:row>
    <x:row r="16">
      <x:c r="A16" t="str">
        <x:v>Client 15</x:v>
      </x:c>
      <x:c r="B16" t="str">
        <x:v>Particuliers</x:v>
      </x:c>
      <x:c r="C16" t="str">
        <x:v>International</x:v>
      </x:c>
      <x:c r="D16" t="str">
        <x:v>Pôle E</x:v>
      </x:c>
    </x:row>
    <x:row r="17">
      <x:c r="A17" t="str">
        <x:v>Client 16</x:v>
      </x:c>
      <x:c r="B17" t="str">
        <x:v>Grands comptes</x:v>
      </x:c>
      <x:c r="C17" t="str">
        <x:v>France</x:v>
      </x:c>
      <x:c r="D17" t="str">
        <x:v>Pôle A</x:v>
      </x:c>
    </x:row>
    <x:row r="18">
      <x:c r="A18" t="str">
        <x:v>Client 17</x:v>
      </x:c>
      <x:c r="B18" t="str">
        <x:v>PME</x:v>
      </x:c>
      <x:c r="C18" t="str">
        <x:v>Europe</x:v>
      </x:c>
      <x:c r="D18" t="str">
        <x:v>Pôle B</x:v>
      </x:c>
    </x:row>
    <x:row r="19">
      <x:c r="A19" t="str">
        <x:v>Client 18</x:v>
      </x:c>
      <x:c r="B19" t="str">
        <x:v>Particuliers</x:v>
      </x:c>
      <x:c r="C19" t="str">
        <x:v>International</x:v>
      </x:c>
      <x:c r="D19" t="str">
        <x:v>Pôle C</x:v>
      </x:c>
    </x:row>
    <x:row r="20">
      <x:c r="A20" t="str">
        <x:v>Client 19</x:v>
      </x:c>
      <x:c r="B20" t="str">
        <x:v>Grands comptes</x:v>
      </x:c>
      <x:c r="C20" t="str">
        <x:v>France</x:v>
      </x:c>
      <x:c r="D20" t="str">
        <x:v>Pôle D</x:v>
      </x:c>
    </x:row>
    <x:row r="21">
      <x:c r="A21" t="str">
        <x:v>Client 20</x:v>
      </x:c>
      <x:c r="B21" t="str">
        <x:v>PME</x:v>
      </x:c>
      <x:c r="C21" t="str">
        <x:v>Europe</x:v>
      </x:c>
      <x:c r="D21" t="str">
        <x:v>Pôle E</x:v>
      </x:c>
    </x:row>
    <x:row r="22">
      <x:c r="A22" t="str">
        <x:v>Client 21</x:v>
      </x:c>
      <x:c r="B22" t="str">
        <x:v>Particuliers</x:v>
      </x:c>
      <x:c r="C22" t="str">
        <x:v>International</x:v>
      </x:c>
      <x:c r="D22" t="str">
        <x:v>Pôle A</x:v>
      </x:c>
    </x:row>
    <x:row r="23">
      <x:c r="A23" t="str">
        <x:v>Client 22</x:v>
      </x:c>
      <x:c r="B23" t="str">
        <x:v>Grands comptes</x:v>
      </x:c>
      <x:c r="C23" t="str">
        <x:v>France</x:v>
      </x:c>
      <x:c r="D23" t="str">
        <x:v>Pôle B</x:v>
      </x:c>
    </x:row>
    <x:row r="24">
      <x:c r="A24" t="str">
        <x:v>Client 23</x:v>
      </x:c>
      <x:c r="B24" t="str">
        <x:v>PME</x:v>
      </x:c>
      <x:c r="C24" t="str">
        <x:v>Europe</x:v>
      </x:c>
      <x:c r="D24" t="str">
        <x:v>Pôle C</x:v>
      </x:c>
    </x:row>
    <x:row r="25">
      <x:c r="A25" t="str">
        <x:v>Client 24</x:v>
      </x:c>
      <x:c r="B25" t="str">
        <x:v>Particuliers</x:v>
      </x:c>
      <x:c r="C25" t="str">
        <x:v>International</x:v>
      </x:c>
      <x:c r="D25" t="str">
        <x:v>Pôle D</x:v>
      </x:c>
    </x:row>
    <x:row r="26">
      <x:c r="A26" t="str">
        <x:v>Client 25</x:v>
      </x:c>
      <x:c r="B26" t="str">
        <x:v>Grands comptes</x:v>
      </x:c>
      <x:c r="C26" t="str">
        <x:v>France</x:v>
      </x:c>
      <x:c r="D26" t="str">
        <x:v>Pôle E</x:v>
      </x:c>
    </x:row>
    <x:row r="27">
      <x:c r="A27" t="str">
        <x:v>Client 26</x:v>
      </x:c>
      <x:c r="B27" t="str">
        <x:v>PME</x:v>
      </x:c>
      <x:c r="C27" t="str">
        <x:v>Europe</x:v>
      </x:c>
      <x:c r="D27" t="str">
        <x:v>Pôle A</x:v>
      </x:c>
    </x:row>
    <x:row r="28">
      <x:c r="A28" t="str">
        <x:v>Client 27</x:v>
      </x:c>
      <x:c r="B28" t="str">
        <x:v>Particuliers</x:v>
      </x:c>
      <x:c r="C28" t="str">
        <x:v>International</x:v>
      </x:c>
      <x:c r="D28" t="str">
        <x:v>Pôle B</x:v>
      </x:c>
    </x:row>
    <x:row r="29">
      <x:c r="A29" t="str">
        <x:v>Client 28</x:v>
      </x:c>
      <x:c r="B29" t="str">
        <x:v>Grands comptes</x:v>
      </x:c>
      <x:c r="C29" t="str">
        <x:v>France</x:v>
      </x:c>
      <x:c r="D29" t="str">
        <x:v>Pôle C</x:v>
      </x:c>
    </x:row>
    <x:row r="30">
      <x:c r="A30" t="str">
        <x:v>Client 29</x:v>
      </x:c>
      <x:c r="B30" t="str">
        <x:v>PME</x:v>
      </x:c>
      <x:c r="C30" t="str">
        <x:v>Europe</x:v>
      </x:c>
      <x:c r="D30" t="str">
        <x:v>Pôle D</x:v>
      </x:c>
    </x:row>
    <x:row r="31">
      <x:c r="A31" t="str">
        <x:v>Client 30</x:v>
      </x:c>
      <x:c r="B31" t="str">
        <x:v>Particuliers</x:v>
      </x:c>
      <x:c r="C31" t="str">
        <x:v>International</x:v>
      </x:c>
      <x:c r="D31" t="str">
        <x:v>Pôle E</x:v>
      </x:c>
    </x:row>
    <x:row r="32">
      <x:c r="A32" t="str">
        <x:v>Client 31</x:v>
      </x:c>
      <x:c r="B32" t="str">
        <x:v>Grands comptes</x:v>
      </x:c>
      <x:c r="C32" t="str">
        <x:v>France</x:v>
      </x:c>
      <x:c r="D32" t="str">
        <x:v>Pôle A</x:v>
      </x:c>
    </x:row>
    <x:row r="33">
      <x:c r="A33" t="str">
        <x:v>Client 32</x:v>
      </x:c>
      <x:c r="B33" t="str">
        <x:v>PME</x:v>
      </x:c>
      <x:c r="C33" t="str">
        <x:v>Europe</x:v>
      </x:c>
      <x:c r="D33" t="str">
        <x:v>Pôle B</x:v>
      </x:c>
    </x:row>
    <x:row r="34">
      <x:c r="A34" t="str">
        <x:v>Client 33</x:v>
      </x:c>
      <x:c r="B34" t="str">
        <x:v>Particuliers</x:v>
      </x:c>
      <x:c r="C34" t="str">
        <x:v>International</x:v>
      </x:c>
      <x:c r="D34" t="str">
        <x:v>Pôle C</x:v>
      </x:c>
    </x:row>
    <x:row r="35">
      <x:c r="A35" t="str">
        <x:v>Client 34</x:v>
      </x:c>
      <x:c r="B35" t="str">
        <x:v>Grands comptes</x:v>
      </x:c>
      <x:c r="C35" t="str">
        <x:v>France</x:v>
      </x:c>
      <x:c r="D35" t="str">
        <x:v>Pôle D</x:v>
      </x:c>
    </x:row>
    <x:row r="36">
      <x:c r="A36" t="str">
        <x:v>Client 35</x:v>
      </x:c>
      <x:c r="B36" t="str">
        <x:v>PME</x:v>
      </x:c>
      <x:c r="C36" t="str">
        <x:v>Europe</x:v>
      </x:c>
      <x:c r="D36" t="str">
        <x:v>Pôle E</x:v>
      </x:c>
    </x:row>
    <x:row r="37">
      <x:c r="A37" t="str">
        <x:v>Client 36</x:v>
      </x:c>
      <x:c r="B37" t="str">
        <x:v>Particuliers</x:v>
      </x:c>
      <x:c r="C37" t="str">
        <x:v>International</x:v>
      </x:c>
      <x:c r="D37" t="str">
        <x:v>Pôle A</x:v>
      </x:c>
    </x:row>
    <x:row r="38">
      <x:c r="A38" t="str">
        <x:v>Client 37</x:v>
      </x:c>
      <x:c r="B38" t="str">
        <x:v>Grands comptes</x:v>
      </x:c>
      <x:c r="C38" t="str">
        <x:v>France</x:v>
      </x:c>
      <x:c r="D38" t="str">
        <x:v>Pôle B</x:v>
      </x:c>
    </x:row>
    <x:row r="39">
      <x:c r="A39" t="str">
        <x:v>Client 38</x:v>
      </x:c>
      <x:c r="B39" t="str">
        <x:v>PME</x:v>
      </x:c>
      <x:c r="C39" t="str">
        <x:v>Europe</x:v>
      </x:c>
      <x:c r="D39" t="str">
        <x:v>Pôle C</x:v>
      </x:c>
    </x:row>
    <x:row r="40">
      <x:c r="A40" t="str">
        <x:v>Client 39</x:v>
      </x:c>
      <x:c r="B40" t="str">
        <x:v>Particuliers</x:v>
      </x:c>
      <x:c r="C40" t="str">
        <x:v>International</x:v>
      </x:c>
      <x:c r="D40" t="str">
        <x:v>Pôle D</x:v>
      </x:c>
    </x:row>
    <x:row r="41">
      <x:c r="A41" t="str">
        <x:v>Client 40</x:v>
      </x:c>
      <x:c r="B41" t="str">
        <x:v>Grands comptes</x:v>
      </x:c>
      <x:c r="C41" t="str">
        <x:v>France</x:v>
      </x:c>
      <x:c r="D41" t="str">
        <x:v>Pôle E</x:v>
      </x:c>
    </x:row>
    <x:row r="42">
      <x:c r="A42" t="str">
        <x:v>Client 41</x:v>
      </x:c>
      <x:c r="B42" t="str">
        <x:v>PME</x:v>
      </x:c>
      <x:c r="C42" t="str">
        <x:v>Europe</x:v>
      </x:c>
      <x:c r="D42" t="str">
        <x:v>Pôle A</x:v>
      </x:c>
    </x:row>
    <x:row r="43">
      <x:c r="A43" t="str">
        <x:v>Client 42</x:v>
      </x:c>
      <x:c r="B43" t="str">
        <x:v>Particuliers</x:v>
      </x:c>
      <x:c r="C43" t="str">
        <x:v>International</x:v>
      </x:c>
      <x:c r="D43" t="str">
        <x:v>Pôle B</x:v>
      </x:c>
    </x:row>
    <x:row r="44">
      <x:c r="A44" t="str">
        <x:v>Client 43</x:v>
      </x:c>
      <x:c r="B44" t="str">
        <x:v>Grands comptes</x:v>
      </x:c>
      <x:c r="C44" t="str">
        <x:v>France</x:v>
      </x:c>
      <x:c r="D44" t="str">
        <x:v>Pôle C</x:v>
      </x:c>
    </x:row>
    <x:row r="45">
      <x:c r="A45" t="str">
        <x:v>Client 44</x:v>
      </x:c>
      <x:c r="B45" t="str">
        <x:v>PME</x:v>
      </x:c>
      <x:c r="C45" t="str">
        <x:v>Europe</x:v>
      </x:c>
      <x:c r="D45" t="str">
        <x:v>Pôle D</x:v>
      </x:c>
    </x:row>
    <x:row r="46">
      <x:c r="A46" t="str">
        <x:v>Client 45</x:v>
      </x:c>
      <x:c r="B46" t="str">
        <x:v>Particuliers</x:v>
      </x:c>
      <x:c r="C46" t="str">
        <x:v>International</x:v>
      </x:c>
      <x:c r="D46" t="str">
        <x:v>Pôle E</x:v>
      </x:c>
    </x:row>
    <x:row r="47">
      <x:c r="A47" t="str">
        <x:v>Client 46</x:v>
      </x:c>
      <x:c r="B47" t="str">
        <x:v>Grands comptes</x:v>
      </x:c>
      <x:c r="C47" t="str">
        <x:v>France</x:v>
      </x:c>
      <x:c r="D47" t="str">
        <x:v>Pôle A</x:v>
      </x:c>
    </x:row>
    <x:row r="48">
      <x:c r="A48" t="str">
        <x:v>Client 47</x:v>
      </x:c>
      <x:c r="B48" t="str">
        <x:v>PME</x:v>
      </x:c>
      <x:c r="C48" t="str">
        <x:v>Europe</x:v>
      </x:c>
      <x:c r="D48" t="str">
        <x:v>Pôle B</x:v>
      </x:c>
    </x:row>
    <x:row r="49">
      <x:c r="A49" t="str">
        <x:v>Client 48</x:v>
      </x:c>
      <x:c r="B49" t="str">
        <x:v>Particuliers</x:v>
      </x:c>
      <x:c r="C49" t="str">
        <x:v>International</x:v>
      </x:c>
      <x:c r="D49" t="str">
        <x:v>Pôle C</x:v>
      </x:c>
    </x:row>
    <x:row r="50">
      <x:c r="A50" t="str">
        <x:v>Client 49</x:v>
      </x:c>
      <x:c r="B50" t="str">
        <x:v>Grands comptes</x:v>
      </x:c>
      <x:c r="C50" t="str">
        <x:v>France</x:v>
      </x:c>
      <x:c r="D50" t="str">
        <x:v>Pôle D</x:v>
      </x:c>
    </x:row>
    <x:row r="51">
      <x:c r="A51" t="str">
        <x:v>Client 50</x:v>
      </x:c>
      <x:c r="B51" t="str">
        <x:v>PME</x:v>
      </x:c>
      <x:c r="C51" t="str">
        <x:v>Europe</x:v>
      </x:c>
      <x:c r="D51" t="str">
        <x:v>Pôle E</x:v>
      </x:c>
    </x:row>
  </x:sheetData>
  <x:pageMargins left="0.7" right="0.7" top="0.75" bottom="0.75" header="0.3" footer="0.3"/>
  <x:tableParts count="1">
    <x:tablePart xmlns:r="http://schemas.openxmlformats.org/officeDocument/2006/relationships" r:id="R01767d260bc9413d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2.5" hidden="0" customWidth="1"/>
    <x:col min="3" max="3" width="16" hidden="0" customWidth="1"/>
    <x:col min="4" max="4" width="16" hidden="0" customWidth="1"/>
    <x:col min="5" max="5" width="16" hidden="0" customWidth="1"/>
    <x:col min="6" max="6" width="15.5" hidden="0" customWidth="1"/>
    <x:col min="7" max="7" width="16.5" hidden="0" customWidth="1"/>
    <x:col min="8" max="8" width="17" hidden="0" customWidth="1"/>
    <x:col min="9" max="9" width="14.880000114440918" hidden="0" customWidth="1"/>
    <x:col min="10" max="10" width="8" hidden="0" customWidth="1"/>
    <x:col min="11" max="11" width="6.880000114440918" hidden="0" customWidth="1"/>
    <x:col min="12" max="12" width="7.5" hidden="0" customWidth="1"/>
    <x:col min="13" max="13" width="7.630000114440918" hidden="0" customWidth="1"/>
    <x:col min="14" max="14" width="9" hidden="0" customWidth="1"/>
    <x:col min="15" max="15" width="16.5" hidden="0" customWidth="1"/>
    <x:col min="16" max="16" width="16" hidden="0" customWidth="1"/>
    <x:col min="17" max="17" width="16" hidden="0" customWidth="1"/>
    <x:col min="18" max="18" width="16" hidden="0" customWidth="1"/>
  </x:cols>
  <x:sheetData>
    <x:row r="1" ht="28" customHeight="1">
      <x:c r="A1" s="11" t="str">
        <x:v>Réf. facture</x:v>
      </x:c>
      <x:c r="B1" s="11" t="str">
        <x:v>Date facture</x:v>
      </x:c>
      <x:c r="C1" s="11" t="str">
        <x:v>Client</x:v>
      </x:c>
      <x:c r="D1" s="11" t="str">
        <x:v>Activité</x:v>
      </x:c>
      <x:c r="E1" s="11" t="str">
        <x:v>Pôle</x:v>
      </x:c>
      <x:c r="F1" s="11" t="str">
        <x:v>Montant facturé</x:v>
      </x:c>
      <x:c r="G1" s="11" t="str">
        <x:v>Montant encaissé</x:v>
      </x:c>
      <x:c r="H1" s="11" t="str">
        <x:v>Payeur réel</x:v>
      </x:c>
      <x:c r="I1" s="11" t="str">
        <x:v>Date règlement</x:v>
      </x:c>
      <x:c r="J1" s="11" t="str">
        <x:v>Année</x:v>
      </x:c>
      <x:c r="K1" s="11" t="str">
        <x:v>Mois</x:v>
      </x:c>
      <x:c r="L1" s="11" t="str">
        <x:v>Solde</x:v>
      </x:c>
      <x:c r="M1" s="11" t="str">
        <x:v>Statut</x:v>
      </x:c>
      <x:c r="N1" s="11" t="str">
        <x:v>Délai (j)</x:v>
      </x:c>
      <x:c r="O1" s="11" t="str">
        <x:v>Payeur différent ?</x:v>
      </x:c>
      <x:c r="P1" s="11" t="str">
        <x:v>Segment</x:v>
      </x:c>
      <x:c r="Q1" s="11" t="str">
        <x:v>Zone</x:v>
      </x:c>
      <x:c r="R1" s="11" t="str">
        <x:v>Contrôle</x:v>
      </x:c>
    </x:row>
    <x:row r="2">
      <x:c r="A2" t="str">
        <x:v>DV-2025-00001</x:v>
      </x:c>
      <x:c r="B2" s="16" t="n">
        <x:v>45985</x:v>
      </x:c>
      <x:c r="C2" t="str">
        <x:v>Client 05 </x:v>
      </x:c>
      <x:c r="D2" t="str">
        <x:v>Fret aérien</x:v>
      </x:c>
      <x:c r="E2" t="str">
        <x:v>Pôle D</x:v>
      </x:c>
      <x:c r="F2" s="18" t="n">
        <x:v>12479.03</x:v>
      </x:c>
      <x:c r="G2" s="18" t="n">
        <x:v>12479.03</x:v>
      </x:c>
      <x:c r="H2" t="str">
        <x:v>Client 35</x:v>
      </x:c>
      <x:c r="I2" s="16" t="n">
        <x:v>46065</x:v>
      </x:c>
      <x:c r="J2" t="n">
        <x:f>YEAR(B2)</x:f>
        <x:v>2025</x:v>
      </x:c>
      <x:c r="K2" s="20" t="n">
        <x:f>DATE(YEAR(B2),MONTH(B2),1)</x:f>
        <x:v>45962</x:v>
      </x:c>
      <x:c r="L2" s="18" t="n">
        <x:f>F2-G2</x:f>
        <x:v>0</x:v>
      </x:c>
      <x:c r="M2" t="str">
        <x:f>IF(L2&lt;=0,"Payée",IF(G2=0,"Impayée","Partielle"))</x:f>
        <x:v>Payée</x:v>
      </x:c>
      <x:c r="N2" t="n">
        <x:f>IF(I2="","",I2-B2)</x:f>
        <x:v>80</x:v>
      </x:c>
      <x:c r="O2" t="str">
        <x:f>IF(TRIM(C2)&lt;&gt;TRIM(H2),"Oui","Non")</x:f>
        <x:v>Oui</x:v>
      </x:c>
      <x:c r="P2" t="str">
        <x:f>IFERROR(INDEX('02_REFERENTIEL_CLIENTS'!$B$2:$B$51,MATCH(TRIM(C2),'02_REFERENTIEL_CLIENTS'!$A$2:$A$51,0)),"Non trouvé")</x:f>
        <x:v>PME</x:v>
      </x:c>
      <x:c r="Q2" t="str">
        <x:f>IFERROR(INDEX('02_REFERENTIEL_CLIENTS'!$C$2:$C$51,MATCH(TRIM(C2),'02_REFERENTIEL_CLIENTS'!$A$2:$A$51,0)),"Non trouvé")</x:f>
        <x:v>Europe</x:v>
      </x:c>
      <x:c r="R2" t="str">
        <x:f>IF(OR(F2&lt;=0,G2&lt;0,G2&gt;F2,N2&lt;0,P2="Non trouvé"),"À vérifier","OK")</x:f>
        <x:v>OK</x:v>
      </x:c>
    </x:row>
    <x:row r="3">
      <x:c r="A3" t="str">
        <x:v>DV-2025-00002</x:v>
      </x:c>
      <x:c r="B3" s="16" t="n">
        <x:v>45919</x:v>
      </x:c>
      <x:c r="C3" t="str">
        <x:v>Client 17</x:v>
      </x:c>
      <x:c r="D3" t="str">
        <x:v>Fret maritime</x:v>
      </x:c>
      <x:c r="E3" t="str">
        <x:v>Pôle C</x:v>
      </x:c>
      <x:c r="F3" s="18" t="n">
        <x:v>965.24</x:v>
      </x:c>
      <x:c r="G3" s="18" t="n">
        <x:v>965.24</x:v>
      </x:c>
      <x:c r="H3" t="str">
        <x:v>Client 17</x:v>
      </x:c>
      <x:c r="I3" s="16" t="n">
        <x:v>45925</x:v>
      </x:c>
      <x:c r="J3" t="n">
        <x:f>YEAR(B3)</x:f>
        <x:v>2025</x:v>
      </x:c>
      <x:c r="K3" s="20" t="n">
        <x:f>DATE(YEAR(B3),MONTH(B3),1)</x:f>
        <x:v>45901</x:v>
      </x:c>
      <x:c r="L3" s="18" t="n">
        <x:f>F3-G3</x:f>
        <x:v>0</x:v>
      </x:c>
      <x:c r="M3" t="str">
        <x:f>IF(L3&lt;=0,"Payée",IF(G3=0,"Impayée","Partielle"))</x:f>
        <x:v>Payée</x:v>
      </x:c>
      <x:c r="N3" t="n">
        <x:f>IF(I3="","",I3-B3)</x:f>
        <x:v>6</x:v>
      </x:c>
      <x:c r="O3" t="str">
        <x:f>IF(TRIM(C3)&lt;&gt;TRIM(H3),"Oui","Non")</x:f>
        <x:v>Non</x:v>
      </x:c>
      <x:c r="P3" t="str">
        <x:f>IFERROR(INDEX('02_REFERENTIEL_CLIENTS'!$B$2:$B$51,MATCH(TRIM(C3),'02_REFERENTIEL_CLIENTS'!$A$2:$A$51,0)),"Non trouvé")</x:f>
        <x:v>PME</x:v>
      </x:c>
      <x:c r="Q3" t="str">
        <x:f>IFERROR(INDEX('02_REFERENTIEL_CLIENTS'!$C$2:$C$51,MATCH(TRIM(C3),'02_REFERENTIEL_CLIENTS'!$A$2:$A$51,0)),"Non trouvé")</x:f>
        <x:v>Europe</x:v>
      </x:c>
      <x:c r="R3" t="str">
        <x:f>IF(OR(F3&lt;=0,G3&lt;0,G3&gt;F3,N3&lt;0,P3="Non trouvé"),"À vérifier","OK")</x:f>
        <x:v>OK</x:v>
      </x:c>
    </x:row>
    <x:row r="4">
      <x:c r="A4" t="str">
        <x:v>DV-2026-00003</x:v>
      </x:c>
      <x:c r="B4" s="16" t="n">
        <x:v>46127</x:v>
      </x:c>
      <x:c r="C4" t="str">
        <x:v>Client 48</x:v>
      </x:c>
      <x:c r="D4" t="str">
        <x:v>Fret maritime</x:v>
      </x:c>
      <x:c r="E4" t="str">
        <x:v>Pôle C</x:v>
      </x:c>
      <x:c r="F4" s="18" t="n">
        <x:v>18347.42</x:v>
      </x:c>
      <x:c r="G4" s="18" t="n">
        <x:v>0</x:v>
      </x:c>
      <x:c r="H4" t="str">
        <x:v>Client 48</x:v>
      </x:c>
      <x:c r="I4" s="16"/>
      <x:c r="J4" t="n">
        <x:f>YEAR(B4)</x:f>
        <x:v>2026</x:v>
      </x:c>
      <x:c r="K4" s="20" t="n">
        <x:f>DATE(YEAR(B4),MONTH(B4),1)</x:f>
        <x:v>46113</x:v>
      </x:c>
      <x:c r="L4" s="18" t="n">
        <x:f>F4-G4</x:f>
        <x:v>18347.42</x:v>
      </x:c>
      <x:c r="M4" t="str">
        <x:f>IF(L4&lt;=0,"Payée",IF(G4=0,"Impayée","Partielle"))</x:f>
        <x:v>Impayée</x:v>
      </x:c>
      <x:c r="N4" t="str">
        <x:f>IF(I4="","",I4-B4)</x:f>
      </x:c>
      <x:c r="O4" t="str">
        <x:f>IF(TRIM(C4)&lt;&gt;TRIM(H4),"Oui","Non")</x:f>
        <x:v>Non</x:v>
      </x:c>
      <x:c r="P4" t="str">
        <x:f>IFERROR(INDEX('02_REFERENTIEL_CLIENTS'!$B$2:$B$51,MATCH(TRIM(C4),'02_REFERENTIEL_CLIENTS'!$A$2:$A$51,0)),"Non trouvé")</x:f>
        <x:v>Particuliers</x:v>
      </x:c>
      <x:c r="Q4" t="str">
        <x:f>IFERROR(INDEX('02_REFERENTIEL_CLIENTS'!$C$2:$C$51,MATCH(TRIM(C4),'02_REFERENTIEL_CLIENTS'!$A$2:$A$51,0)),"Non trouvé")</x:f>
        <x:v>International</x:v>
      </x:c>
      <x:c r="R4" t="str">
        <x:f>IF(OR(F4&lt;=0,G4&lt;0,G4&gt;F4,N4&lt;0,P4="Non trouvé"),"À vérifier","OK")</x:f>
        <x:v>OK</x:v>
      </x:c>
    </x:row>
    <x:row r="5">
      <x:c r="A5" t="str">
        <x:v>DV-2024-00004</x:v>
      </x:c>
      <x:c r="B5" s="16" t="n">
        <x:v>45596</x:v>
      </x:c>
      <x:c r="C5" t="str">
        <x:v>Client 10</x:v>
      </x:c>
      <x:c r="D5" t="str">
        <x:v>Fret aérien</x:v>
      </x:c>
      <x:c r="E5" t="str">
        <x:v>Pôle A</x:v>
      </x:c>
      <x:c r="F5" s="18" t="n">
        <x:v>16713.94</x:v>
      </x:c>
      <x:c r="G5" s="18" t="n">
        <x:v>11802.96</x:v>
      </x:c>
      <x:c r="H5" t="str">
        <x:v>Client 08</x:v>
      </x:c>
      <x:c r="I5" s="16" t="n">
        <x:v>45625</x:v>
      </x:c>
      <x:c r="J5" t="n">
        <x:f>YEAR(B5)</x:f>
        <x:v>2024</x:v>
      </x:c>
      <x:c r="K5" s="20" t="n">
        <x:f>DATE(YEAR(B5),MONTH(B5),1)</x:f>
        <x:v>45566</x:v>
      </x:c>
      <x:c r="L5" s="18" t="n">
        <x:f>F5-G5</x:f>
        <x:v>4910.98</x:v>
      </x:c>
      <x:c r="M5" t="str">
        <x:f>IF(L5&lt;=0,"Payée",IF(G5=0,"Impayée","Partielle"))</x:f>
        <x:v>Partielle</x:v>
      </x:c>
      <x:c r="N5" t="n">
        <x:f>IF(I5="","",I5-B5)</x:f>
        <x:v>29</x:v>
      </x:c>
      <x:c r="O5" t="str">
        <x:f>IF(TRIM(C5)&lt;&gt;TRIM(H5),"Oui","Non")</x:f>
        <x:v>Oui</x:v>
      </x:c>
      <x:c r="P5" t="str">
        <x:f>IFERROR(INDEX('02_REFERENTIEL_CLIENTS'!$B$2:$B$51,MATCH(TRIM(C5),'02_REFERENTIEL_CLIENTS'!$A$2:$A$51,0)),"Non trouvé")</x:f>
        <x:v>Grands comptes</x:v>
      </x:c>
      <x:c r="Q5" t="str">
        <x:f>IFERROR(INDEX('02_REFERENTIEL_CLIENTS'!$C$2:$C$51,MATCH(TRIM(C5),'02_REFERENTIEL_CLIENTS'!$A$2:$A$51,0)),"Non trouvé")</x:f>
        <x:v>France</x:v>
      </x:c>
      <x:c r="R5" t="str">
        <x:f>IF(OR(F5&lt;=0,G5&lt;0,G5&gt;F5,N5&lt;0,P5="Non trouvé"),"À vérifier","OK")</x:f>
        <x:v>OK</x:v>
      </x:c>
    </x:row>
    <x:row r="6">
      <x:c r="A6" t="str">
        <x:v>DV-2024-00005</x:v>
      </x:c>
      <x:c r="B6" s="16" t="n">
        <x:v>45353</x:v>
      </x:c>
      <x:c r="C6" t="str">
        <x:v>Client 09</x:v>
      </x:c>
      <x:c r="D6" t="str">
        <x:v>Douane</x:v>
      </x:c>
      <x:c r="E6" t="str">
        <x:v>Pôle C</x:v>
      </x:c>
      <x:c r="F6" s="18" t="n">
        <x:v>4767.71</x:v>
      </x:c>
      <x:c r="G6" s="18" t="n">
        <x:v>2939.82</x:v>
      </x:c>
      <x:c r="H6" t="str">
        <x:v>Client 09</x:v>
      </x:c>
      <x:c r="I6" s="16" t="n">
        <x:v>45440</x:v>
      </x:c>
      <x:c r="J6" t="n">
        <x:f>YEAR(B6)</x:f>
        <x:v>2024</x:v>
      </x:c>
      <x:c r="K6" s="20" t="n">
        <x:f>DATE(YEAR(B6),MONTH(B6),1)</x:f>
        <x:v>45352</x:v>
      </x:c>
      <x:c r="L6" s="18" t="n">
        <x:f>F6-G6</x:f>
        <x:v>1827.8899999999999</x:v>
      </x:c>
      <x:c r="M6" t="str">
        <x:f>IF(L6&lt;=0,"Payée",IF(G6=0,"Impayée","Partielle"))</x:f>
        <x:v>Partielle</x:v>
      </x:c>
      <x:c r="N6" t="n">
        <x:f>IF(I6="","",I6-B6)</x:f>
        <x:v>87</x:v>
      </x:c>
      <x:c r="O6" t="str">
        <x:f>IF(TRIM(C6)&lt;&gt;TRIM(H6),"Oui","Non")</x:f>
        <x:v>Non</x:v>
      </x:c>
      <x:c r="P6" t="str">
        <x:f>IFERROR(INDEX('02_REFERENTIEL_CLIENTS'!$B$2:$B$51,MATCH(TRIM(C6),'02_REFERENTIEL_CLIENTS'!$A$2:$A$51,0)),"Non trouvé")</x:f>
        <x:v>Particuliers</x:v>
      </x:c>
      <x:c r="Q6" t="str">
        <x:f>IFERROR(INDEX('02_REFERENTIEL_CLIENTS'!$C$2:$C$51,MATCH(TRIM(C6),'02_REFERENTIEL_CLIENTS'!$A$2:$A$51,0)),"Non trouvé")</x:f>
        <x:v>International</x:v>
      </x:c>
      <x:c r="R6" t="str">
        <x:f>IF(OR(F6&lt;=0,G6&lt;0,G6&gt;F6,N6&lt;0,P6="Non trouvé"),"À vérifier","OK")</x:f>
        <x:v>OK</x:v>
      </x:c>
    </x:row>
    <x:row r="7">
      <x:c r="A7" t="str">
        <x:v>DV-2026-00006</x:v>
      </x:c>
      <x:c r="B7" s="16" t="n">
        <x:v>46227</x:v>
      </x:c>
      <x:c r="C7" t="str">
        <x:v>Client 42</x:v>
      </x:c>
      <x:c r="D7" t="str">
        <x:v>Express</x:v>
      </x:c>
      <x:c r="E7" t="str">
        <x:v>Pôle A</x:v>
      </x:c>
      <x:c r="F7" s="18" t="n">
        <x:v>20238.66</x:v>
      </x:c>
      <x:c r="G7" s="18" t="n">
        <x:v>20238.66</x:v>
      </x:c>
      <x:c r="H7" t="str">
        <x:v>Client 42</x:v>
      </x:c>
      <x:c r="I7" s="16" t="n">
        <x:v>46275</x:v>
      </x:c>
      <x:c r="J7" t="n">
        <x:f>YEAR(B7)</x:f>
        <x:v>2026</x:v>
      </x:c>
      <x:c r="K7" s="20" t="n">
        <x:f>DATE(YEAR(B7),MONTH(B7),1)</x:f>
        <x:v>46204</x:v>
      </x:c>
      <x:c r="L7" s="18" t="n">
        <x:f>F7-G7</x:f>
        <x:v>0</x:v>
      </x:c>
      <x:c r="M7" t="str">
        <x:f>IF(L7&lt;=0,"Payée",IF(G7=0,"Impayée","Partielle"))</x:f>
        <x:v>Payée</x:v>
      </x:c>
      <x:c r="N7" t="n">
        <x:f>IF(I7="","",I7-B7)</x:f>
        <x:v>48</x:v>
      </x:c>
      <x:c r="O7" t="str">
        <x:f>IF(TRIM(C7)&lt;&gt;TRIM(H7),"Oui","Non")</x:f>
        <x:v>Non</x:v>
      </x:c>
      <x:c r="P7" t="str">
        <x:f>IFERROR(INDEX('02_REFERENTIEL_CLIENTS'!$B$2:$B$51,MATCH(TRIM(C7),'02_REFERENTIEL_CLIENTS'!$A$2:$A$51,0)),"Non trouvé")</x:f>
        <x:v>Particuliers</x:v>
      </x:c>
      <x:c r="Q7" t="str">
        <x:f>IFERROR(INDEX('02_REFERENTIEL_CLIENTS'!$C$2:$C$51,MATCH(TRIM(C7),'02_REFERENTIEL_CLIENTS'!$A$2:$A$51,0)),"Non trouvé")</x:f>
        <x:v>International</x:v>
      </x:c>
      <x:c r="R7" t="str">
        <x:f>IF(OR(F7&lt;=0,G7&lt;0,G7&gt;F7,N7&lt;0,P7="Non trouvé"),"À vérifier","OK")</x:f>
        <x:v>OK</x:v>
      </x:c>
    </x:row>
    <x:row r="8">
      <x:c r="A8" t="str">
        <x:v>DV-2026-00007</x:v>
      </x:c>
      <x:c r="B8" s="16" t="n">
        <x:v>46213</x:v>
      </x:c>
      <x:c r="C8" t="str">
        <x:v>Client 26</x:v>
      </x:c>
      <x:c r="D8" t="str">
        <x:v>Express</x:v>
      </x:c>
      <x:c r="E8" t="str">
        <x:v>Pôle C</x:v>
      </x:c>
      <x:c r="F8" s="18" t="n">
        <x:v>5505.47</x:v>
      </x:c>
      <x:c r="G8" s="18" t="n">
        <x:v>5505.47</x:v>
      </x:c>
      <x:c r="H8" t="str">
        <x:v>Client 26</x:v>
      </x:c>
      <x:c r="I8" s="16" t="n">
        <x:v>46219</x:v>
      </x:c>
      <x:c r="J8" t="n">
        <x:f>YEAR(B8)</x:f>
        <x:v>2026</x:v>
      </x:c>
      <x:c r="K8" s="20" t="n">
        <x:f>DATE(YEAR(B8),MONTH(B8),1)</x:f>
        <x:v>46204</x:v>
      </x:c>
      <x:c r="L8" s="18" t="n">
        <x:f>F8-G8</x:f>
        <x:v>0</x:v>
      </x:c>
      <x:c r="M8" t="str">
        <x:f>IF(L8&lt;=0,"Payée",IF(G8=0,"Impayée","Partielle"))</x:f>
        <x:v>Payée</x:v>
      </x:c>
      <x:c r="N8" t="n">
        <x:f>IF(I8="","",I8-B8)</x:f>
        <x:v>6</x:v>
      </x:c>
      <x:c r="O8" t="str">
        <x:f>IF(TRIM(C8)&lt;&gt;TRIM(H8),"Oui","Non")</x:f>
        <x:v>Non</x:v>
      </x:c>
      <x:c r="P8" t="str">
        <x:f>IFERROR(INDEX('02_REFERENTIEL_CLIENTS'!$B$2:$B$51,MATCH(TRIM(C8),'02_REFERENTIEL_CLIENTS'!$A$2:$A$51,0)),"Non trouvé")</x:f>
        <x:v>PME</x:v>
      </x:c>
      <x:c r="Q8" t="str">
        <x:f>IFERROR(INDEX('02_REFERENTIEL_CLIENTS'!$C$2:$C$51,MATCH(TRIM(C8),'02_REFERENTIEL_CLIENTS'!$A$2:$A$51,0)),"Non trouvé")</x:f>
        <x:v>Europe</x:v>
      </x:c>
      <x:c r="R8" t="str">
        <x:f>IF(OR(F8&lt;=0,G8&lt;0,G8&gt;F8,N8&lt;0,P8="Non trouvé"),"À vérifier","OK")</x:f>
        <x:v>OK</x:v>
      </x:c>
    </x:row>
    <x:row r="9">
      <x:c r="A9" t="str">
        <x:v>DV-2024-00008</x:v>
      </x:c>
      <x:c r="B9" s="16" t="n">
        <x:v>45550</x:v>
      </x:c>
      <x:c r="C9" t="str">
        <x:v>Client 23</x:v>
      </x:c>
      <x:c r="D9" t="str">
        <x:v>Fret maritime</x:v>
      </x:c>
      <x:c r="E9" t="str">
        <x:v>Pôle D</x:v>
      </x:c>
      <x:c r="F9" s="18" t="n">
        <x:v>23613.11</x:v>
      </x:c>
      <x:c r="G9" s="18" t="n">
        <x:v>23613.11</x:v>
      </x:c>
      <x:c r="H9" t="str">
        <x:v>Client 23</x:v>
      </x:c>
      <x:c r="I9" s="16" t="n">
        <x:v>45575</x:v>
      </x:c>
      <x:c r="J9" t="n">
        <x:f>YEAR(B9)</x:f>
        <x:v>2024</x:v>
      </x:c>
      <x:c r="K9" s="20" t="n">
        <x:f>DATE(YEAR(B9),MONTH(B9),1)</x:f>
        <x:v>45536</x:v>
      </x:c>
      <x:c r="L9" s="18" t="n">
        <x:f>F9-G9</x:f>
        <x:v>0</x:v>
      </x:c>
      <x:c r="M9" t="str">
        <x:f>IF(L9&lt;=0,"Payée",IF(G9=0,"Impayée","Partielle"))</x:f>
        <x:v>Payée</x:v>
      </x:c>
      <x:c r="N9" t="n">
        <x:f>IF(I9="","",I9-B9)</x:f>
        <x:v>25</x:v>
      </x:c>
      <x:c r="O9" t="str">
        <x:f>IF(TRIM(C9)&lt;&gt;TRIM(H9),"Oui","Non")</x:f>
        <x:v>Non</x:v>
      </x:c>
      <x:c r="P9" t="str">
        <x:f>IFERROR(INDEX('02_REFERENTIEL_CLIENTS'!$B$2:$B$51,MATCH(TRIM(C9),'02_REFERENTIEL_CLIENTS'!$A$2:$A$51,0)),"Non trouvé")</x:f>
        <x:v>PME</x:v>
      </x:c>
      <x:c r="Q9" t="str">
        <x:f>IFERROR(INDEX('02_REFERENTIEL_CLIENTS'!$C$2:$C$51,MATCH(TRIM(C9),'02_REFERENTIEL_CLIENTS'!$A$2:$A$51,0)),"Non trouvé")</x:f>
        <x:v>Europe</x:v>
      </x:c>
      <x:c r="R9" t="str">
        <x:f>IF(OR(F9&lt;=0,G9&lt;0,G9&gt;F9,N9&lt;0,P9="Non trouvé"),"À vérifier","OK")</x:f>
        <x:v>OK</x:v>
      </x:c>
    </x:row>
    <x:row r="10">
      <x:c r="A10" t="str">
        <x:v>DV-2024-00009</x:v>
      </x:c>
      <x:c r="B10" s="16" t="n">
        <x:v>45633</x:v>
      </x:c>
      <x:c r="C10" t="str">
        <x:v>Client 27</x:v>
      </x:c>
      <x:c r="D10" t="str">
        <x:v>Fret maritime</x:v>
      </x:c>
      <x:c r="E10" t="str">
        <x:v>Pôle A</x:v>
      </x:c>
      <x:c r="F10" s="18" t="n">
        <x:v>4626.32</x:v>
      </x:c>
      <x:c r="G10" s="18" t="n">
        <x:v>4626.32</x:v>
      </x:c>
      <x:c r="H10" t="str">
        <x:v>Client 27</x:v>
      </x:c>
      <x:c r="I10" s="16" t="n">
        <x:v>45703</x:v>
      </x:c>
      <x:c r="J10" t="n">
        <x:f>YEAR(B10)</x:f>
        <x:v>2024</x:v>
      </x:c>
      <x:c r="K10" s="20" t="n">
        <x:f>DATE(YEAR(B10),MONTH(B10),1)</x:f>
        <x:v>45627</x:v>
      </x:c>
      <x:c r="L10" s="18" t="n">
        <x:f>F10-G10</x:f>
        <x:v>0</x:v>
      </x:c>
      <x:c r="M10" t="str">
        <x:f>IF(L10&lt;=0,"Payée",IF(G10=0,"Impayée","Partielle"))</x:f>
        <x:v>Payée</x:v>
      </x:c>
      <x:c r="N10" t="n">
        <x:f>IF(I10="","",I10-B10)</x:f>
        <x:v>70</x:v>
      </x:c>
      <x:c r="O10" t="str">
        <x:f>IF(TRIM(C10)&lt;&gt;TRIM(H10),"Oui","Non")</x:f>
        <x:v>Non</x:v>
      </x:c>
      <x:c r="P10" t="str">
        <x:f>IFERROR(INDEX('02_REFERENTIEL_CLIENTS'!$B$2:$B$51,MATCH(TRIM(C10),'02_REFERENTIEL_CLIENTS'!$A$2:$A$51,0)),"Non trouvé")</x:f>
        <x:v>Particuliers</x:v>
      </x:c>
      <x:c r="Q10" t="str">
        <x:f>IFERROR(INDEX('02_REFERENTIEL_CLIENTS'!$C$2:$C$51,MATCH(TRIM(C10),'02_REFERENTIEL_CLIENTS'!$A$2:$A$51,0)),"Non trouvé")</x:f>
        <x:v>International</x:v>
      </x:c>
      <x:c r="R10" t="str">
        <x:f>IF(OR(F10&lt;=0,G10&lt;0,G10&gt;F10,N10&lt;0,P10="Non trouvé"),"À vérifier","OK")</x:f>
        <x:v>OK</x:v>
      </x:c>
    </x:row>
    <x:row r="11">
      <x:c r="A11" t="str">
        <x:v>DV-2025-00010</x:v>
      </x:c>
      <x:c r="B11" s="16" t="n">
        <x:v>45852</x:v>
      </x:c>
      <x:c r="C11" t="str">
        <x:v>Client 06</x:v>
      </x:c>
      <x:c r="D11" t="str">
        <x:v>Douane</x:v>
      </x:c>
      <x:c r="E11" t="str">
        <x:v>Pôle A</x:v>
      </x:c>
      <x:c r="F11" s="18" t="n">
        <x:v>24202.55</x:v>
      </x:c>
      <x:c r="G11" s="18" t="n">
        <x:v>24202.55</x:v>
      </x:c>
      <x:c r="H11" t="str">
        <x:v>Client 22</x:v>
      </x:c>
      <x:c r="I11" s="16" t="n">
        <x:v>45869</x:v>
      </x:c>
      <x:c r="J11" t="n">
        <x:f>YEAR(B11)</x:f>
        <x:v>2025</x:v>
      </x:c>
      <x:c r="K11" s="20" t="n">
        <x:f>DATE(YEAR(B11),MONTH(B11),1)</x:f>
        <x:v>45839</x:v>
      </x:c>
      <x:c r="L11" s="18" t="n">
        <x:f>F11-G11</x:f>
        <x:v>0</x:v>
      </x:c>
      <x:c r="M11" t="str">
        <x:f>IF(L11&lt;=0,"Payée",IF(G11=0,"Impayée","Partielle"))</x:f>
        <x:v>Payée</x:v>
      </x:c>
      <x:c r="N11" t="n">
        <x:f>IF(I11="","",I11-B11)</x:f>
        <x:v>17</x:v>
      </x:c>
      <x:c r="O11" t="str">
        <x:f>IF(TRIM(C11)&lt;&gt;TRIM(H11),"Oui","Non")</x:f>
        <x:v>Oui</x:v>
      </x:c>
      <x:c r="P11" t="str">
        <x:f>IFERROR(INDEX('02_REFERENTIEL_CLIENTS'!$B$2:$B$51,MATCH(TRIM(C11),'02_REFERENTIEL_CLIENTS'!$A$2:$A$51,0)),"Non trouvé")</x:f>
        <x:v>Particuliers</x:v>
      </x:c>
      <x:c r="Q11" t="str">
        <x:f>IFERROR(INDEX('02_REFERENTIEL_CLIENTS'!$C$2:$C$51,MATCH(TRIM(C11),'02_REFERENTIEL_CLIENTS'!$A$2:$A$51,0)),"Non trouvé")</x:f>
        <x:v>International</x:v>
      </x:c>
      <x:c r="R11" t="str">
        <x:f>IF(OR(F11&lt;=0,G11&lt;0,G11&gt;F11,N11&lt;0,P11="Non trouvé"),"À vérifier","OK")</x:f>
        <x:v>OK</x:v>
      </x:c>
    </x:row>
    <x:row r="12">
      <x:c r="A12" t="str">
        <x:v>DV-2026-00011</x:v>
      </x:c>
      <x:c r="B12" s="16" t="n">
        <x:v>46060</x:v>
      </x:c>
      <x:c r="C12" t="str">
        <x:v>Client 48</x:v>
      </x:c>
      <x:c r="D12" t="str">
        <x:v>Douane</x:v>
      </x:c>
      <x:c r="E12" t="str">
        <x:v>Pôle D</x:v>
      </x:c>
      <x:c r="F12" s="18" t="n">
        <x:v>9077.07</x:v>
      </x:c>
      <x:c r="G12" s="18" t="n">
        <x:v>9077.07</x:v>
      </x:c>
      <x:c r="H12" t="str">
        <x:v>Client 48</x:v>
      </x:c>
      <x:c r="I12" s="16" t="n">
        <x:v>46090</x:v>
      </x:c>
      <x:c r="J12" t="n">
        <x:f>YEAR(B12)</x:f>
        <x:v>2026</x:v>
      </x:c>
      <x:c r="K12" s="20" t="n">
        <x:f>DATE(YEAR(B12),MONTH(B12),1)</x:f>
        <x:v>46054</x:v>
      </x:c>
      <x:c r="L12" s="18" t="n">
        <x:f>F12-G12</x:f>
        <x:v>0</x:v>
      </x:c>
      <x:c r="M12" t="str">
        <x:f>IF(L12&lt;=0,"Payée",IF(G12=0,"Impayée","Partielle"))</x:f>
        <x:v>Payée</x:v>
      </x:c>
      <x:c r="N12" t="n">
        <x:f>IF(I12="","",I12-B12)</x:f>
        <x:v>30</x:v>
      </x:c>
      <x:c r="O12" t="str">
        <x:f>IF(TRIM(C12)&lt;&gt;TRIM(H12),"Oui","Non")</x:f>
        <x:v>Non</x:v>
      </x:c>
      <x:c r="P12" t="str">
        <x:f>IFERROR(INDEX('02_REFERENTIEL_CLIENTS'!$B$2:$B$51,MATCH(TRIM(C12),'02_REFERENTIEL_CLIENTS'!$A$2:$A$51,0)),"Non trouvé")</x:f>
        <x:v>Particuliers</x:v>
      </x:c>
      <x:c r="Q12" t="str">
        <x:f>IFERROR(INDEX('02_REFERENTIEL_CLIENTS'!$C$2:$C$51,MATCH(TRIM(C12),'02_REFERENTIEL_CLIENTS'!$A$2:$A$51,0)),"Non trouvé")</x:f>
        <x:v>International</x:v>
      </x:c>
      <x:c r="R12" t="str">
        <x:f>IF(OR(F12&lt;=0,G12&lt;0,G12&gt;F12,N12&lt;0,P12="Non trouvé"),"À vérifier","OK")</x:f>
        <x:v>OK</x:v>
      </x:c>
    </x:row>
    <x:row r="13">
      <x:c r="A13" t="str">
        <x:v>DV-2026-00012</x:v>
      </x:c>
      <x:c r="B13" s="16" t="n">
        <x:v>46062</x:v>
      </x:c>
      <x:c r="C13" t="str">
        <x:v>Client 27</x:v>
      </x:c>
      <x:c r="D13" t="str">
        <x:v>Fret aérien</x:v>
      </x:c>
      <x:c r="E13" t="str">
        <x:v>Pôle D</x:v>
      </x:c>
      <x:c r="F13" s="18" t="n">
        <x:v>16291.01</x:v>
      </x:c>
      <x:c r="G13" s="18" t="n">
        <x:v>16291.01</x:v>
      </x:c>
      <x:c r="H13" t="str">
        <x:v>Client 27</x:v>
      </x:c>
      <x:c r="I13" s="16" t="n">
        <x:v>46148</x:v>
      </x:c>
      <x:c r="J13" t="n">
        <x:f>YEAR(B13)</x:f>
        <x:v>2026</x:v>
      </x:c>
      <x:c r="K13" s="20" t="n">
        <x:f>DATE(YEAR(B13),MONTH(B13),1)</x:f>
        <x:v>46054</x:v>
      </x:c>
      <x:c r="L13" s="18" t="n">
        <x:f>F13-G13</x:f>
        <x:v>0</x:v>
      </x:c>
      <x:c r="M13" t="str">
        <x:f>IF(L13&lt;=0,"Payée",IF(G13=0,"Impayée","Partielle"))</x:f>
        <x:v>Payée</x:v>
      </x:c>
      <x:c r="N13" t="n">
        <x:f>IF(I13="","",I13-B13)</x:f>
        <x:v>86</x:v>
      </x:c>
      <x:c r="O13" t="str">
        <x:f>IF(TRIM(C13)&lt;&gt;TRIM(H13),"Oui","Non")</x:f>
        <x:v>Non</x:v>
      </x:c>
      <x:c r="P13" t="str">
        <x:f>IFERROR(INDEX('02_REFERENTIEL_CLIENTS'!$B$2:$B$51,MATCH(TRIM(C13),'02_REFERENTIEL_CLIENTS'!$A$2:$A$51,0)),"Non trouvé")</x:f>
        <x:v>Particuliers</x:v>
      </x:c>
      <x:c r="Q13" t="str">
        <x:f>IFERROR(INDEX('02_REFERENTIEL_CLIENTS'!$C$2:$C$51,MATCH(TRIM(C13),'02_REFERENTIEL_CLIENTS'!$A$2:$A$51,0)),"Non trouvé")</x:f>
        <x:v>International</x:v>
      </x:c>
      <x:c r="R13" t="str">
        <x:f>IF(OR(F13&lt;=0,G13&lt;0,G13&gt;F13,N13&lt;0,P13="Non trouvé"),"À vérifier","OK")</x:f>
        <x:v>OK</x:v>
      </x:c>
    </x:row>
    <x:row r="14">
      <x:c r="A14" t="str">
        <x:v>DV-2024-00013</x:v>
      </x:c>
      <x:c r="B14" s="16" t="n">
        <x:v>45441</x:v>
      </x:c>
      <x:c r="C14" t="str">
        <x:v>Client 05</x:v>
      </x:c>
      <x:c r="D14" t="str">
        <x:v>Fret maritime</x:v>
      </x:c>
      <x:c r="E14" t="str">
        <x:v>Pôle D</x:v>
      </x:c>
      <x:c r="F14" s="18" t="n">
        <x:v>4446.34</x:v>
      </x:c>
      <x:c r="G14" s="18" t="n">
        <x:v>2088.9</x:v>
      </x:c>
      <x:c r="H14" t="str">
        <x:v>Client 35</x:v>
      </x:c>
      <x:c r="I14" s="16" t="n">
        <x:v>45518</x:v>
      </x:c>
      <x:c r="J14" t="n">
        <x:f>YEAR(B14)</x:f>
        <x:v>2024</x:v>
      </x:c>
      <x:c r="K14" s="20" t="n">
        <x:f>DATE(YEAR(B14),MONTH(B14),1)</x:f>
        <x:v>45413</x:v>
      </x:c>
      <x:c r="L14" s="18" t="n">
        <x:f>F14-G14</x:f>
        <x:v>2357.44</x:v>
      </x:c>
      <x:c r="M14" t="str">
        <x:f>IF(L14&lt;=0,"Payée",IF(G14=0,"Impayée","Partielle"))</x:f>
        <x:v>Partielle</x:v>
      </x:c>
      <x:c r="N14" t="n">
        <x:f>IF(I14="","",I14-B14)</x:f>
        <x:v>77</x:v>
      </x:c>
      <x:c r="O14" t="str">
        <x:f>IF(TRIM(C14)&lt;&gt;TRIM(H14),"Oui","Non")</x:f>
        <x:v>Oui</x:v>
      </x:c>
      <x:c r="P14" t="str">
        <x:f>IFERROR(INDEX('02_REFERENTIEL_CLIENTS'!$B$2:$B$51,MATCH(TRIM(C14),'02_REFERENTIEL_CLIENTS'!$A$2:$A$51,0)),"Non trouvé")</x:f>
        <x:v>PME</x:v>
      </x:c>
      <x:c r="Q14" t="str">
        <x:f>IFERROR(INDEX('02_REFERENTIEL_CLIENTS'!$C$2:$C$51,MATCH(TRIM(C14),'02_REFERENTIEL_CLIENTS'!$A$2:$A$51,0)),"Non trouvé")</x:f>
        <x:v>Europe</x:v>
      </x:c>
      <x:c r="R14" t="str">
        <x:f>IF(OR(F14&lt;=0,G14&lt;0,G14&gt;F14,N14&lt;0,P14="Non trouvé"),"À vérifier","OK")</x:f>
        <x:v>OK</x:v>
      </x:c>
    </x:row>
    <x:row r="15">
      <x:c r="A15" t="str">
        <x:v>DV-2024-00014</x:v>
      </x:c>
      <x:c r="B15" s="16" t="n">
        <x:v>45636</x:v>
      </x:c>
      <x:c r="C15" t="str">
        <x:v>Client 19</x:v>
      </x:c>
      <x:c r="D15" t="str">
        <x:v>Fret maritime</x:v>
      </x:c>
      <x:c r="E15" t="str">
        <x:v>Pôle D</x:v>
      </x:c>
      <x:c r="F15" s="18" t="n">
        <x:v>21002.67</x:v>
      </x:c>
      <x:c r="G15" s="18" t="n">
        <x:v>21002.67</x:v>
      </x:c>
      <x:c r="H15" t="str">
        <x:v>Client 19</x:v>
      </x:c>
      <x:c r="I15" s="16" t="n">
        <x:v>45647</x:v>
      </x:c>
      <x:c r="J15" t="n">
        <x:f>YEAR(B15)</x:f>
        <x:v>2024</x:v>
      </x:c>
      <x:c r="K15" s="20" t="n">
        <x:f>DATE(YEAR(B15),MONTH(B15),1)</x:f>
        <x:v>45627</x:v>
      </x:c>
      <x:c r="L15" s="18" t="n">
        <x:f>F15-G15</x:f>
        <x:v>0</x:v>
      </x:c>
      <x:c r="M15" t="str">
        <x:f>IF(L15&lt;=0,"Payée",IF(G15=0,"Impayée","Partielle"))</x:f>
        <x:v>Payée</x:v>
      </x:c>
      <x:c r="N15" t="n">
        <x:f>IF(I15="","",I15-B15)</x:f>
        <x:v>11</x:v>
      </x:c>
      <x:c r="O15" t="str">
        <x:f>IF(TRIM(C15)&lt;&gt;TRIM(H15),"Oui","Non")</x:f>
        <x:v>Non</x:v>
      </x:c>
      <x:c r="P15" t="str">
        <x:f>IFERROR(INDEX('02_REFERENTIEL_CLIENTS'!$B$2:$B$51,MATCH(TRIM(C15),'02_REFERENTIEL_CLIENTS'!$A$2:$A$51,0)),"Non trouvé")</x:f>
        <x:v>Grands comptes</x:v>
      </x:c>
      <x:c r="Q15" t="str">
        <x:f>IFERROR(INDEX('02_REFERENTIEL_CLIENTS'!$C$2:$C$51,MATCH(TRIM(C15),'02_REFERENTIEL_CLIENTS'!$A$2:$A$51,0)),"Non trouvé")</x:f>
        <x:v>France</x:v>
      </x:c>
      <x:c r="R15" t="str">
        <x:f>IF(OR(F15&lt;=0,G15&lt;0,G15&gt;F15,N15&lt;0,P15="Non trouvé"),"À vérifier","OK")</x:f>
        <x:v>OK</x:v>
      </x:c>
    </x:row>
    <x:row r="16">
      <x:c r="A16" t="str">
        <x:v>DV-2024-00015</x:v>
      </x:c>
      <x:c r="B16" s="16" t="n">
        <x:v>45404</x:v>
      </x:c>
      <x:c r="C16" t="str">
        <x:v>Client 45</x:v>
      </x:c>
      <x:c r="D16" t="str">
        <x:v>Fret aérien</x:v>
      </x:c>
      <x:c r="E16" t="str">
        <x:v>Pôle A</x:v>
      </x:c>
      <x:c r="F16" s="18" t="n">
        <x:v>13029.84</x:v>
      </x:c>
      <x:c r="G16" s="18" t="n">
        <x:v>13029.84</x:v>
      </x:c>
      <x:c r="H16" t="str">
        <x:v>Client 45</x:v>
      </x:c>
      <x:c r="I16" s="16" t="n">
        <x:v>45413</x:v>
      </x:c>
      <x:c r="J16" t="n">
        <x:f>YEAR(B16)</x:f>
        <x:v>2024</x:v>
      </x:c>
      <x:c r="K16" s="20" t="n">
        <x:f>DATE(YEAR(B16),MONTH(B16),1)</x:f>
        <x:v>45383</x:v>
      </x:c>
      <x:c r="L16" s="18" t="n">
        <x:f>F16-G16</x:f>
        <x:v>0</x:v>
      </x:c>
      <x:c r="M16" t="str">
        <x:f>IF(L16&lt;=0,"Payée",IF(G16=0,"Impayée","Partielle"))</x:f>
        <x:v>Payée</x:v>
      </x:c>
      <x:c r="N16" t="n">
        <x:f>IF(I16="","",I16-B16)</x:f>
        <x:v>9</x:v>
      </x:c>
      <x:c r="O16" t="str">
        <x:f>IF(TRIM(C16)&lt;&gt;TRIM(H16),"Oui","Non")</x:f>
        <x:v>Non</x:v>
      </x:c>
      <x:c r="P16" t="str">
        <x:f>IFERROR(INDEX('02_REFERENTIEL_CLIENTS'!$B$2:$B$51,MATCH(TRIM(C16),'02_REFERENTIEL_CLIENTS'!$A$2:$A$51,0)),"Non trouvé")</x:f>
        <x:v>Particuliers</x:v>
      </x:c>
      <x:c r="Q16" t="str">
        <x:f>IFERROR(INDEX('02_REFERENTIEL_CLIENTS'!$C$2:$C$51,MATCH(TRIM(C16),'02_REFERENTIEL_CLIENTS'!$A$2:$A$51,0)),"Non trouvé")</x:f>
        <x:v>International</x:v>
      </x:c>
      <x:c r="R16" t="str">
        <x:f>IF(OR(F16&lt;=0,G16&lt;0,G16&gt;F16,N16&lt;0,P16="Non trouvé"),"À vérifier","OK")</x:f>
        <x:v>OK</x:v>
      </x:c>
    </x:row>
    <x:row r="17">
      <x:c r="A17" t="str">
        <x:v>DV-2025-00016</x:v>
      </x:c>
      <x:c r="B17" s="16" t="n">
        <x:v>45848</x:v>
      </x:c>
      <x:c r="C17" t="str">
        <x:v>Client 42</x:v>
      </x:c>
      <x:c r="D17" t="str">
        <x:v>Express</x:v>
      </x:c>
      <x:c r="E17" t="str">
        <x:v>Pôle B</x:v>
      </x:c>
      <x:c r="F17" s="18" t="n">
        <x:v>10427.09</x:v>
      </x:c>
      <x:c r="G17" s="18" t="n">
        <x:v>10427.09</x:v>
      </x:c>
      <x:c r="H17" t="str">
        <x:v>Client 42</x:v>
      </x:c>
      <x:c r="I17" s="16" t="n">
        <x:v>45858</x:v>
      </x:c>
      <x:c r="J17" t="n">
        <x:f>YEAR(B17)</x:f>
        <x:v>2025</x:v>
      </x:c>
      <x:c r="K17" s="20" t="n">
        <x:f>DATE(YEAR(B17),MONTH(B17),1)</x:f>
        <x:v>45839</x:v>
      </x:c>
      <x:c r="L17" s="18" t="n">
        <x:f>F17-G17</x:f>
        <x:v>0</x:v>
      </x:c>
      <x:c r="M17" t="str">
        <x:f>IF(L17&lt;=0,"Payée",IF(G17=0,"Impayée","Partielle"))</x:f>
        <x:v>Payée</x:v>
      </x:c>
      <x:c r="N17" t="n">
        <x:f>IF(I17="","",I17-B17)</x:f>
        <x:v>10</x:v>
      </x:c>
      <x:c r="O17" t="str">
        <x:f>IF(TRIM(C17)&lt;&gt;TRIM(H17),"Oui","Non")</x:f>
        <x:v>Non</x:v>
      </x:c>
      <x:c r="P17" t="str">
        <x:f>IFERROR(INDEX('02_REFERENTIEL_CLIENTS'!$B$2:$B$51,MATCH(TRIM(C17),'02_REFERENTIEL_CLIENTS'!$A$2:$A$51,0)),"Non trouvé")</x:f>
        <x:v>Particuliers</x:v>
      </x:c>
      <x:c r="Q17" t="str">
        <x:f>IFERROR(INDEX('02_REFERENTIEL_CLIENTS'!$C$2:$C$51,MATCH(TRIM(C17),'02_REFERENTIEL_CLIENTS'!$A$2:$A$51,0)),"Non trouvé")</x:f>
        <x:v>International</x:v>
      </x:c>
      <x:c r="R17" t="str">
        <x:f>IF(OR(F17&lt;=0,G17&lt;0,G17&gt;F17,N17&lt;0,P17="Non trouvé"),"À vérifier","OK")</x:f>
        <x:v>OK</x:v>
      </x:c>
    </x:row>
    <x:row r="18">
      <x:c r="A18" t="str">
        <x:v>DV-2025-00017</x:v>
      </x:c>
      <x:c r="B18" s="16" t="n">
        <x:v>45830</x:v>
      </x:c>
      <x:c r="C18" t="str">
        <x:v>Client 44</x:v>
      </x:c>
      <x:c r="D18" t="str">
        <x:v>Logistique</x:v>
      </x:c>
      <x:c r="E18" t="str">
        <x:v>Pôle E</x:v>
      </x:c>
      <x:c r="F18" s="18" t="n">
        <x:v>19921.53</x:v>
      </x:c>
      <x:c r="G18" s="18" t="n">
        <x:v>19921.53</x:v>
      </x:c>
      <x:c r="H18" t="str">
        <x:v>Client 44</x:v>
      </x:c>
      <x:c r="I18" s="16" t="n">
        <x:v>45902</x:v>
      </x:c>
      <x:c r="J18" t="n">
        <x:f>YEAR(B18)</x:f>
        <x:v>2025</x:v>
      </x:c>
      <x:c r="K18" s="20" t="n">
        <x:f>DATE(YEAR(B18),MONTH(B18),1)</x:f>
        <x:v>45809</x:v>
      </x:c>
      <x:c r="L18" s="18" t="n">
        <x:f>F18-G18</x:f>
        <x:v>0</x:v>
      </x:c>
      <x:c r="M18" t="str">
        <x:f>IF(L18&lt;=0,"Payée",IF(G18=0,"Impayée","Partielle"))</x:f>
        <x:v>Payée</x:v>
      </x:c>
      <x:c r="N18" t="n">
        <x:f>IF(I18="","",I18-B18)</x:f>
        <x:v>72</x:v>
      </x:c>
      <x:c r="O18" t="str">
        <x:f>IF(TRIM(C18)&lt;&gt;TRIM(H18),"Oui","Non")</x:f>
        <x:v>Non</x:v>
      </x:c>
      <x:c r="P18" t="str">
        <x:f>IFERROR(INDEX('02_REFERENTIEL_CLIENTS'!$B$2:$B$51,MATCH(TRIM(C18),'02_REFERENTIEL_CLIENTS'!$A$2:$A$51,0)),"Non trouvé")</x:f>
        <x:v>PME</x:v>
      </x:c>
      <x:c r="Q18" t="str">
        <x:f>IFERROR(INDEX('02_REFERENTIEL_CLIENTS'!$C$2:$C$51,MATCH(TRIM(C18),'02_REFERENTIEL_CLIENTS'!$A$2:$A$51,0)),"Non trouvé")</x:f>
        <x:v>Europe</x:v>
      </x:c>
      <x:c r="R18" t="str">
        <x:f>IF(OR(F18&lt;=0,G18&lt;0,G18&gt;F18,N18&lt;0,P18="Non trouvé"),"À vérifier","OK")</x:f>
        <x:v>OK</x:v>
      </x:c>
    </x:row>
    <x:row r="19">
      <x:c r="A19" t="str">
        <x:v>DV-2025-00018</x:v>
      </x:c>
      <x:c r="B19" s="16" t="n">
        <x:v>45870</x:v>
      </x:c>
      <x:c r="C19" t="str">
        <x:v>Client 41</x:v>
      </x:c>
      <x:c r="D19" t="str">
        <x:v>Logistique</x:v>
      </x:c>
      <x:c r="E19" t="str">
        <x:v>Pôle C</x:v>
      </x:c>
      <x:c r="F19" s="18" t="n">
        <x:v>21439.35</x:v>
      </x:c>
      <x:c r="G19" s="18" t="n">
        <x:v>8682.83</x:v>
      </x:c>
      <x:c r="H19" t="str">
        <x:v>Client 41</x:v>
      </x:c>
      <x:c r="I19" s="16" t="n">
        <x:v>45876</x:v>
      </x:c>
      <x:c r="J19" t="n">
        <x:f>YEAR(B19)</x:f>
        <x:v>2025</x:v>
      </x:c>
      <x:c r="K19" s="20" t="n">
        <x:f>DATE(YEAR(B19),MONTH(B19),1)</x:f>
        <x:v>45870</x:v>
      </x:c>
      <x:c r="L19" s="18" t="n">
        <x:f>F19-G19</x:f>
        <x:v>12756.519999999999</x:v>
      </x:c>
      <x:c r="M19" t="str">
        <x:f>IF(L19&lt;=0,"Payée",IF(G19=0,"Impayée","Partielle"))</x:f>
        <x:v>Partielle</x:v>
      </x:c>
      <x:c r="N19" t="n">
        <x:f>IF(I19="","",I19-B19)</x:f>
        <x:v>6</x:v>
      </x:c>
      <x:c r="O19" t="str">
        <x:f>IF(TRIM(C19)&lt;&gt;TRIM(H19),"Oui","Non")</x:f>
        <x:v>Non</x:v>
      </x:c>
      <x:c r="P19" t="str">
        <x:f>IFERROR(INDEX('02_REFERENTIEL_CLIENTS'!$B$2:$B$51,MATCH(TRIM(C19),'02_REFERENTIEL_CLIENTS'!$A$2:$A$51,0)),"Non trouvé")</x:f>
        <x:v>PME</x:v>
      </x:c>
      <x:c r="Q19" t="str">
        <x:f>IFERROR(INDEX('02_REFERENTIEL_CLIENTS'!$C$2:$C$51,MATCH(TRIM(C19),'02_REFERENTIEL_CLIENTS'!$A$2:$A$51,0)),"Non trouvé")</x:f>
        <x:v>Europe</x:v>
      </x:c>
      <x:c r="R19" t="str">
        <x:f>IF(OR(F19&lt;=0,G19&lt;0,G19&gt;F19,N19&lt;0,P19="Non trouvé"),"À vérifier","OK")</x:f>
        <x:v>OK</x:v>
      </x:c>
    </x:row>
    <x:row r="20">
      <x:c r="A20" t="str">
        <x:v>DV-2026-00019</x:v>
      </x:c>
      <x:c r="B20" s="16" t="n">
        <x:v>46067</x:v>
      </x:c>
      <x:c r="C20" t="str">
        <x:v>Client 31</x:v>
      </x:c>
      <x:c r="D20" t="str">
        <x:v>Fret maritime</x:v>
      </x:c>
      <x:c r="E20" t="str">
        <x:v>Pôle A</x:v>
      </x:c>
      <x:c r="F20" s="18" t="n">
        <x:v>12310.98</x:v>
      </x:c>
      <x:c r="G20" s="18" t="n">
        <x:v>0</x:v>
      </x:c>
      <x:c r="H20" t="str">
        <x:v>Client 31</x:v>
      </x:c>
      <x:c r="I20" s="16"/>
      <x:c r="J20" t="n">
        <x:f>YEAR(B20)</x:f>
        <x:v>2026</x:v>
      </x:c>
      <x:c r="K20" s="20" t="n">
        <x:f>DATE(YEAR(B20),MONTH(B20),1)</x:f>
        <x:v>46054</x:v>
      </x:c>
      <x:c r="L20" s="18" t="n">
        <x:f>F20-G20</x:f>
        <x:v>12310.98</x:v>
      </x:c>
      <x:c r="M20" t="str">
        <x:f>IF(L20&lt;=0,"Payée",IF(G20=0,"Impayée","Partielle"))</x:f>
        <x:v>Impayée</x:v>
      </x:c>
      <x:c r="N20" t="str">
        <x:f>IF(I20="","",I20-B20)</x:f>
      </x:c>
      <x:c r="O20" t="str">
        <x:f>IF(TRIM(C20)&lt;&gt;TRIM(H20),"Oui","Non")</x:f>
        <x:v>Non</x:v>
      </x:c>
      <x:c r="P20" t="str">
        <x:f>IFERROR(INDEX('02_REFERENTIEL_CLIENTS'!$B$2:$B$51,MATCH(TRIM(C20),'02_REFERENTIEL_CLIENTS'!$A$2:$A$51,0)),"Non trouvé")</x:f>
        <x:v>Grands comptes</x:v>
      </x:c>
      <x:c r="Q20" t="str">
        <x:f>IFERROR(INDEX('02_REFERENTIEL_CLIENTS'!$C$2:$C$51,MATCH(TRIM(C20),'02_REFERENTIEL_CLIENTS'!$A$2:$A$51,0)),"Non trouvé")</x:f>
        <x:v>France</x:v>
      </x:c>
      <x:c r="R20" t="str">
        <x:f>IF(OR(F20&lt;=0,G20&lt;0,G20&gt;F20,N20&lt;0,P20="Non trouvé"),"À vérifier","OK")</x:f>
        <x:v>OK</x:v>
      </x:c>
    </x:row>
    <x:row r="21">
      <x:c r="A21" t="str">
        <x:v>DV-2025-00020</x:v>
      </x:c>
      <x:c r="B21" s="16" t="n">
        <x:v>45785</x:v>
      </x:c>
      <x:c r="C21" t="str">
        <x:v>Client 29</x:v>
      </x:c>
      <x:c r="D21" t="str">
        <x:v>Douane</x:v>
      </x:c>
      <x:c r="E21" t="str">
        <x:v>Pôle A</x:v>
      </x:c>
      <x:c r="F21" s="18" t="n">
        <x:v>21559.2</x:v>
      </x:c>
      <x:c r="G21" s="18" t="n">
        <x:v>21559.2</x:v>
      </x:c>
      <x:c r="H21" t="str">
        <x:v>Client 29</x:v>
      </x:c>
      <x:c r="I21" s="16" t="n">
        <x:v>45808</x:v>
      </x:c>
      <x:c r="J21" t="n">
        <x:f>YEAR(B21)</x:f>
        <x:v>2025</x:v>
      </x:c>
      <x:c r="K21" s="20" t="n">
        <x:f>DATE(YEAR(B21),MONTH(B21),1)</x:f>
        <x:v>45778</x:v>
      </x:c>
      <x:c r="L21" s="18" t="n">
        <x:f>F21-G21</x:f>
        <x:v>0</x:v>
      </x:c>
      <x:c r="M21" t="str">
        <x:f>IF(L21&lt;=0,"Payée",IF(G21=0,"Impayée","Partielle"))</x:f>
        <x:v>Payée</x:v>
      </x:c>
      <x:c r="N21" t="n">
        <x:f>IF(I21="","",I21-B21)</x:f>
        <x:v>23</x:v>
      </x:c>
      <x:c r="O21" t="str">
        <x:f>IF(TRIM(C21)&lt;&gt;TRIM(H21),"Oui","Non")</x:f>
        <x:v>Non</x:v>
      </x:c>
      <x:c r="P21" t="str">
        <x:f>IFERROR(INDEX('02_REFERENTIEL_CLIENTS'!$B$2:$B$51,MATCH(TRIM(C21),'02_REFERENTIEL_CLIENTS'!$A$2:$A$51,0)),"Non trouvé")</x:f>
        <x:v>PME</x:v>
      </x:c>
      <x:c r="Q21" t="str">
        <x:f>IFERROR(INDEX('02_REFERENTIEL_CLIENTS'!$C$2:$C$51,MATCH(TRIM(C21),'02_REFERENTIEL_CLIENTS'!$A$2:$A$51,0)),"Non trouvé")</x:f>
        <x:v>Europe</x:v>
      </x:c>
      <x:c r="R21" t="str">
        <x:f>IF(OR(F21&lt;=0,G21&lt;0,G21&gt;F21,N21&lt;0,P21="Non trouvé"),"À vérifier","OK")</x:f>
        <x:v>OK</x:v>
      </x:c>
    </x:row>
    <x:row r="22">
      <x:c r="A22" t="str">
        <x:v>DV-2026-00021</x:v>
      </x:c>
      <x:c r="B22" s="16" t="n">
        <x:v>46254</x:v>
      </x:c>
      <x:c r="C22" t="str">
        <x:v>Client 37</x:v>
      </x:c>
      <x:c r="D22" t="str">
        <x:v>Logistique</x:v>
      </x:c>
      <x:c r="E22" t="str">
        <x:v>Pôle D</x:v>
      </x:c>
      <x:c r="F22" s="18" t="n">
        <x:v>22106.53</x:v>
      </x:c>
      <x:c r="G22" s="18" t="n">
        <x:v>22106.53</x:v>
      </x:c>
      <x:c r="H22" t="str">
        <x:v>Client 37</x:v>
      </x:c>
      <x:c r="I22" s="16" t="n">
        <x:v>46339</x:v>
      </x:c>
      <x:c r="J22" t="n">
        <x:f>YEAR(B22)</x:f>
        <x:v>2026</x:v>
      </x:c>
      <x:c r="K22" s="20" t="n">
        <x:f>DATE(YEAR(B22),MONTH(B22),1)</x:f>
        <x:v>46235</x:v>
      </x:c>
      <x:c r="L22" s="18" t="n">
        <x:f>F22-G22</x:f>
        <x:v>0</x:v>
      </x:c>
      <x:c r="M22" t="str">
        <x:f>IF(L22&lt;=0,"Payée",IF(G22=0,"Impayée","Partielle"))</x:f>
        <x:v>Payée</x:v>
      </x:c>
      <x:c r="N22" t="n">
        <x:f>IF(I22="","",I22-B22)</x:f>
        <x:v>85</x:v>
      </x:c>
      <x:c r="O22" t="str">
        <x:f>IF(TRIM(C22)&lt;&gt;TRIM(H22),"Oui","Non")</x:f>
        <x:v>Non</x:v>
      </x:c>
      <x:c r="P22" t="str">
        <x:f>IFERROR(INDEX('02_REFERENTIEL_CLIENTS'!$B$2:$B$51,MATCH(TRIM(C22),'02_REFERENTIEL_CLIENTS'!$A$2:$A$51,0)),"Non trouvé")</x:f>
        <x:v>Grands comptes</x:v>
      </x:c>
      <x:c r="Q22" t="str">
        <x:f>IFERROR(INDEX('02_REFERENTIEL_CLIENTS'!$C$2:$C$51,MATCH(TRIM(C22),'02_REFERENTIEL_CLIENTS'!$A$2:$A$51,0)),"Non trouvé")</x:f>
        <x:v>France</x:v>
      </x:c>
      <x:c r="R22" t="str">
        <x:f>IF(OR(F22&lt;=0,G22&lt;0,G22&gt;F22,N22&lt;0,P22="Non trouvé"),"À vérifier","OK")</x:f>
        <x:v>OK</x:v>
      </x:c>
    </x:row>
    <x:row r="23">
      <x:c r="A23" t="str">
        <x:v>DV-2024-00022</x:v>
      </x:c>
      <x:c r="B23" s="16" t="n">
        <x:v>45643</x:v>
      </x:c>
      <x:c r="C23" t="str">
        <x:v>Client 22</x:v>
      </x:c>
      <x:c r="D23" t="str">
        <x:v>Logistique</x:v>
      </x:c>
      <x:c r="E23" t="str">
        <x:v>Pôle A</x:v>
      </x:c>
      <x:c r="F23" s="18" t="n">
        <x:v>11942.89</x:v>
      </x:c>
      <x:c r="G23" s="18" t="n">
        <x:v>6935.14</x:v>
      </x:c>
      <x:c r="H23" t="str">
        <x:v>Client 22</x:v>
      </x:c>
      <x:c r="I23" s="16" t="n">
        <x:v>45685</x:v>
      </x:c>
      <x:c r="J23" t="n">
        <x:f>YEAR(B23)</x:f>
        <x:v>2024</x:v>
      </x:c>
      <x:c r="K23" s="20" t="n">
        <x:f>DATE(YEAR(B23),MONTH(B23),1)</x:f>
        <x:v>45627</x:v>
      </x:c>
      <x:c r="L23" s="18" t="n">
        <x:f>F23-G23</x:f>
        <x:v>5007.749999999999</x:v>
      </x:c>
      <x:c r="M23" t="str">
        <x:f>IF(L23&lt;=0,"Payée",IF(G23=0,"Impayée","Partielle"))</x:f>
        <x:v>Partielle</x:v>
      </x:c>
      <x:c r="N23" t="n">
        <x:f>IF(I23="","",I23-B23)</x:f>
        <x:v>42</x:v>
      </x:c>
      <x:c r="O23" t="str">
        <x:f>IF(TRIM(C23)&lt;&gt;TRIM(H23),"Oui","Non")</x:f>
        <x:v>Non</x:v>
      </x:c>
      <x:c r="P23" t="str">
        <x:f>IFERROR(INDEX('02_REFERENTIEL_CLIENTS'!$B$2:$B$51,MATCH(TRIM(C23),'02_REFERENTIEL_CLIENTS'!$A$2:$A$51,0)),"Non trouvé")</x:f>
        <x:v>Grands comptes</x:v>
      </x:c>
      <x:c r="Q23" t="str">
        <x:f>IFERROR(INDEX('02_REFERENTIEL_CLIENTS'!$C$2:$C$51,MATCH(TRIM(C23),'02_REFERENTIEL_CLIENTS'!$A$2:$A$51,0)),"Non trouvé")</x:f>
        <x:v>France</x:v>
      </x:c>
      <x:c r="R23" t="str">
        <x:f>IF(OR(F23&lt;=0,G23&lt;0,G23&gt;F23,N23&lt;0,P23="Non trouvé"),"À vérifier","OK")</x:f>
        <x:v>OK</x:v>
      </x:c>
    </x:row>
    <x:row r="24">
      <x:c r="A24" t="str">
        <x:v>DV-2025-00023</x:v>
      </x:c>
      <x:c r="B24" s="16" t="n">
        <x:v>45658</x:v>
      </x:c>
      <x:c r="C24" t="str">
        <x:v>Client 17</x:v>
      </x:c>
      <x:c r="D24" t="str">
        <x:v>Express</x:v>
      </x:c>
      <x:c r="E24" t="str">
        <x:v>Pôle D</x:v>
      </x:c>
      <x:c r="F24" s="18" t="n">
        <x:v>20084.74</x:v>
      </x:c>
      <x:c r="G24" s="18" t="n">
        <x:v>20084.74</x:v>
      </x:c>
      <x:c r="H24" t="str">
        <x:v>Client 17</x:v>
      </x:c>
      <x:c r="I24" s="16" t="n">
        <x:v>45697</x:v>
      </x:c>
      <x:c r="J24" t="n">
        <x:f>YEAR(B24)</x:f>
        <x:v>2025</x:v>
      </x:c>
      <x:c r="K24" s="20" t="n">
        <x:f>DATE(YEAR(B24),MONTH(B24),1)</x:f>
        <x:v>45658</x:v>
      </x:c>
      <x:c r="L24" s="18" t="n">
        <x:f>F24-G24</x:f>
        <x:v>0</x:v>
      </x:c>
      <x:c r="M24" t="str">
        <x:f>IF(L24&lt;=0,"Payée",IF(G24=0,"Impayée","Partielle"))</x:f>
        <x:v>Payée</x:v>
      </x:c>
      <x:c r="N24" t="n">
        <x:f>IF(I24="","",I24-B24)</x:f>
        <x:v>39</x:v>
      </x:c>
      <x:c r="O24" t="str">
        <x:f>IF(TRIM(C24)&lt;&gt;TRIM(H24),"Oui","Non")</x:f>
        <x:v>Non</x:v>
      </x:c>
      <x:c r="P24" t="str">
        <x:f>IFERROR(INDEX('02_REFERENTIEL_CLIENTS'!$B$2:$B$51,MATCH(TRIM(C24),'02_REFERENTIEL_CLIENTS'!$A$2:$A$51,0)),"Non trouvé")</x:f>
        <x:v>PME</x:v>
      </x:c>
      <x:c r="Q24" t="str">
        <x:f>IFERROR(INDEX('02_REFERENTIEL_CLIENTS'!$C$2:$C$51,MATCH(TRIM(C24),'02_REFERENTIEL_CLIENTS'!$A$2:$A$51,0)),"Non trouvé")</x:f>
        <x:v>Europe</x:v>
      </x:c>
      <x:c r="R24" t="str">
        <x:f>IF(OR(F24&lt;=0,G24&lt;0,G24&gt;F24,N24&lt;0,P24="Non trouvé"),"À vérifier","OK")</x:f>
        <x:v>OK</x:v>
      </x:c>
    </x:row>
    <x:row r="25">
      <x:c r="A25" t="str">
        <x:v>DV-2025-00024</x:v>
      </x:c>
      <x:c r="B25" s="16" t="n">
        <x:v>45862</x:v>
      </x:c>
      <x:c r="C25" t="str">
        <x:v>Client 03</x:v>
      </x:c>
      <x:c r="D25" t="str">
        <x:v>Fret maritime</x:v>
      </x:c>
      <x:c r="E25" t="str">
        <x:v>Pôle A</x:v>
      </x:c>
      <x:c r="F25" s="18" t="n">
        <x:v>7234.26</x:v>
      </x:c>
      <x:c r="G25" s="18" t="n">
        <x:v>1491.66</x:v>
      </x:c>
      <x:c r="H25" t="str">
        <x:v>Client 49</x:v>
      </x:c>
      <x:c r="I25" s="16" t="n">
        <x:v>45946</x:v>
      </x:c>
      <x:c r="J25" t="n">
        <x:f>YEAR(B25)</x:f>
        <x:v>2025</x:v>
      </x:c>
      <x:c r="K25" s="20" t="n">
        <x:f>DATE(YEAR(B25),MONTH(B25),1)</x:f>
        <x:v>45839</x:v>
      </x:c>
      <x:c r="L25" s="18" t="n">
        <x:f>F25-G25</x:f>
        <x:v>5742.6</x:v>
      </x:c>
      <x:c r="M25" t="str">
        <x:f>IF(L25&lt;=0,"Payée",IF(G25=0,"Impayée","Partielle"))</x:f>
        <x:v>Partielle</x:v>
      </x:c>
      <x:c r="N25" t="n">
        <x:f>IF(I25="","",I25-B25)</x:f>
        <x:v>84</x:v>
      </x:c>
      <x:c r="O25" t="str">
        <x:f>IF(TRIM(C25)&lt;&gt;TRIM(H25),"Oui","Non")</x:f>
        <x:v>Oui</x:v>
      </x:c>
      <x:c r="P25" t="str">
        <x:f>IFERROR(INDEX('02_REFERENTIEL_CLIENTS'!$B$2:$B$51,MATCH(TRIM(C25),'02_REFERENTIEL_CLIENTS'!$A$2:$A$51,0)),"Non trouvé")</x:f>
        <x:v>Particuliers</x:v>
      </x:c>
      <x:c r="Q25" t="str">
        <x:f>IFERROR(INDEX('02_REFERENTIEL_CLIENTS'!$C$2:$C$51,MATCH(TRIM(C25),'02_REFERENTIEL_CLIENTS'!$A$2:$A$51,0)),"Non trouvé")</x:f>
        <x:v>International</x:v>
      </x:c>
      <x:c r="R25" t="str">
        <x:f>IF(OR(F25&lt;=0,G25&lt;0,G25&gt;F25,N25&lt;0,P25="Non trouvé"),"À vérifier","OK")</x:f>
        <x:v>OK</x:v>
      </x:c>
    </x:row>
    <x:row r="26">
      <x:c r="A26" t="str">
        <x:v>DV-2024-00025</x:v>
      </x:c>
      <x:c r="B26" s="16" t="n">
        <x:v>45631</x:v>
      </x:c>
      <x:c r="C26" t="str">
        <x:v>Client 49</x:v>
      </x:c>
      <x:c r="D26" t="str">
        <x:v>Express</x:v>
      </x:c>
      <x:c r="E26" t="str">
        <x:v>Pôle B</x:v>
      </x:c>
      <x:c r="F26" s="18" t="n">
        <x:v>21594.06</x:v>
      </x:c>
      <x:c r="G26" s="18" t="n">
        <x:v>21594.06</x:v>
      </x:c>
      <x:c r="H26" t="str">
        <x:v>Client 49</x:v>
      </x:c>
      <x:c r="I26" s="16" t="n">
        <x:v>45719</x:v>
      </x:c>
      <x:c r="J26" t="n">
        <x:f>YEAR(B26)</x:f>
        <x:v>2024</x:v>
      </x:c>
      <x:c r="K26" s="20" t="n">
        <x:f>DATE(YEAR(B26),MONTH(B26),1)</x:f>
        <x:v>45627</x:v>
      </x:c>
      <x:c r="L26" s="18" t="n">
        <x:f>F26-G26</x:f>
        <x:v>0</x:v>
      </x:c>
      <x:c r="M26" t="str">
        <x:f>IF(L26&lt;=0,"Payée",IF(G26=0,"Impayée","Partielle"))</x:f>
        <x:v>Payée</x:v>
      </x:c>
      <x:c r="N26" t="n">
        <x:f>IF(I26="","",I26-B26)</x:f>
        <x:v>88</x:v>
      </x:c>
      <x:c r="O26" t="str">
        <x:f>IF(TRIM(C26)&lt;&gt;TRIM(H26),"Oui","Non")</x:f>
        <x:v>Non</x:v>
      </x:c>
      <x:c r="P26" t="str">
        <x:f>IFERROR(INDEX('02_REFERENTIEL_CLIENTS'!$B$2:$B$51,MATCH(TRIM(C26),'02_REFERENTIEL_CLIENTS'!$A$2:$A$51,0)),"Non trouvé")</x:f>
        <x:v>Grands comptes</x:v>
      </x:c>
      <x:c r="Q26" t="str">
        <x:f>IFERROR(INDEX('02_REFERENTIEL_CLIENTS'!$C$2:$C$51,MATCH(TRIM(C26),'02_REFERENTIEL_CLIENTS'!$A$2:$A$51,0)),"Non trouvé")</x:f>
        <x:v>France</x:v>
      </x:c>
      <x:c r="R26" t="str">
        <x:f>IF(OR(F26&lt;=0,G26&lt;0,G26&gt;F26,N26&lt;0,P26="Non trouvé"),"À vérifier","OK")</x:f>
        <x:v>OK</x:v>
      </x:c>
    </x:row>
    <x:row r="27">
      <x:c r="A27" t="str">
        <x:v>DV-2025-00026</x:v>
      </x:c>
      <x:c r="B27" s="16" t="n">
        <x:v>45954</x:v>
      </x:c>
      <x:c r="C27" t="str">
        <x:v>Client 50</x:v>
      </x:c>
      <x:c r="D27" t="str">
        <x:v>Douane</x:v>
      </x:c>
      <x:c r="E27" t="str">
        <x:v>Pôle B</x:v>
      </x:c>
      <x:c r="F27" s="18" t="n">
        <x:v>24784.35</x:v>
      </x:c>
      <x:c r="G27" s="18" t="n">
        <x:v>24784.35</x:v>
      </x:c>
      <x:c r="H27" t="str">
        <x:v>Client 50</x:v>
      </x:c>
      <x:c r="I27" s="16" t="n">
        <x:v>46028</x:v>
      </x:c>
      <x:c r="J27" t="n">
        <x:f>YEAR(B27)</x:f>
        <x:v>2025</x:v>
      </x:c>
      <x:c r="K27" s="20" t="n">
        <x:f>DATE(YEAR(B27),MONTH(B27),1)</x:f>
        <x:v>45931</x:v>
      </x:c>
      <x:c r="L27" s="18" t="n">
        <x:f>F27-G27</x:f>
        <x:v>0</x:v>
      </x:c>
      <x:c r="M27" t="str">
        <x:f>IF(L27&lt;=0,"Payée",IF(G27=0,"Impayée","Partielle"))</x:f>
        <x:v>Payée</x:v>
      </x:c>
      <x:c r="N27" t="n">
        <x:f>IF(I27="","",I27-B27)</x:f>
        <x:v>74</x:v>
      </x:c>
      <x:c r="O27" t="str">
        <x:f>IF(TRIM(C27)&lt;&gt;TRIM(H27),"Oui","Non")</x:f>
        <x:v>Non</x:v>
      </x:c>
      <x:c r="P27" t="str">
        <x:f>IFERROR(INDEX('02_REFERENTIEL_CLIENTS'!$B$2:$B$51,MATCH(TRIM(C27),'02_REFERENTIEL_CLIENTS'!$A$2:$A$51,0)),"Non trouvé")</x:f>
        <x:v>PME</x:v>
      </x:c>
      <x:c r="Q27" t="str">
        <x:f>IFERROR(INDEX('02_REFERENTIEL_CLIENTS'!$C$2:$C$51,MATCH(TRIM(C27),'02_REFERENTIEL_CLIENTS'!$A$2:$A$51,0)),"Non trouvé")</x:f>
        <x:v>Europe</x:v>
      </x:c>
      <x:c r="R27" t="str">
        <x:f>IF(OR(F27&lt;=0,G27&lt;0,G27&gt;F27,N27&lt;0,P27="Non trouvé"),"À vérifier","OK")</x:f>
        <x:v>OK</x:v>
      </x:c>
    </x:row>
    <x:row r="28">
      <x:c r="A28" t="str">
        <x:v>DV-2025-00027</x:v>
      </x:c>
      <x:c r="B28" s="16" t="n">
        <x:v>45929</x:v>
      </x:c>
      <x:c r="C28" t="str">
        <x:v>Client 06</x:v>
      </x:c>
      <x:c r="D28" t="str">
        <x:v>Logistique</x:v>
      </x:c>
      <x:c r="E28" t="str">
        <x:v>Pôle B</x:v>
      </x:c>
      <x:c r="F28" s="18" t="n">
        <x:v>22173.64</x:v>
      </x:c>
      <x:c r="G28" s="18" t="n">
        <x:v>8593.05</x:v>
      </x:c>
      <x:c r="H28" t="str">
        <x:v>Client 10</x:v>
      </x:c>
      <x:c r="I28" s="16" t="n">
        <x:v>45982</x:v>
      </x:c>
      <x:c r="J28" t="n">
        <x:f>YEAR(B28)</x:f>
        <x:v>2025</x:v>
      </x:c>
      <x:c r="K28" s="20" t="n">
        <x:f>DATE(YEAR(B28),MONTH(B28),1)</x:f>
        <x:v>45901</x:v>
      </x:c>
      <x:c r="L28" s="18" t="n">
        <x:f>F28-G28</x:f>
        <x:v>13580.59</x:v>
      </x:c>
      <x:c r="M28" t="str">
        <x:f>IF(L28&lt;=0,"Payée",IF(G28=0,"Impayée","Partielle"))</x:f>
        <x:v>Partielle</x:v>
      </x:c>
      <x:c r="N28" t="n">
        <x:f>IF(I28="","",I28-B28)</x:f>
        <x:v>53</x:v>
      </x:c>
      <x:c r="O28" t="str">
        <x:f>IF(TRIM(C28)&lt;&gt;TRIM(H28),"Oui","Non")</x:f>
        <x:v>Oui</x:v>
      </x:c>
      <x:c r="P28" t="str">
        <x:f>IFERROR(INDEX('02_REFERENTIEL_CLIENTS'!$B$2:$B$51,MATCH(TRIM(C28),'02_REFERENTIEL_CLIENTS'!$A$2:$A$51,0)),"Non trouvé")</x:f>
        <x:v>Particuliers</x:v>
      </x:c>
      <x:c r="Q28" t="str">
        <x:f>IFERROR(INDEX('02_REFERENTIEL_CLIENTS'!$C$2:$C$51,MATCH(TRIM(C28),'02_REFERENTIEL_CLIENTS'!$A$2:$A$51,0)),"Non trouvé")</x:f>
        <x:v>International</x:v>
      </x:c>
      <x:c r="R28" t="str">
        <x:f>IF(OR(F28&lt;=0,G28&lt;0,G28&gt;F28,N28&lt;0,P28="Non trouvé"),"À vérifier","OK")</x:f>
        <x:v>OK</x:v>
      </x:c>
    </x:row>
    <x:row r="29">
      <x:c r="A29" t="str">
        <x:v>DV-2024-00028</x:v>
      </x:c>
      <x:c r="B29" s="16" t="n">
        <x:v>45519</x:v>
      </x:c>
      <x:c r="C29" t="str">
        <x:v>Client 33</x:v>
      </x:c>
      <x:c r="D29" t="str">
        <x:v>Fret maritime</x:v>
      </x:c>
      <x:c r="E29" t="str">
        <x:v>Pôle A</x:v>
      </x:c>
      <x:c r="F29" s="18" t="n">
        <x:v>20528.03</x:v>
      </x:c>
      <x:c r="G29" s="18" t="n">
        <x:v>20528.03</x:v>
      </x:c>
      <x:c r="H29" t="str">
        <x:v>Client 05</x:v>
      </x:c>
      <x:c r="I29" s="16" t="n">
        <x:v>45530</x:v>
      </x:c>
      <x:c r="J29" t="n">
        <x:f>YEAR(B29)</x:f>
        <x:v>2024</x:v>
      </x:c>
      <x:c r="K29" s="20" t="n">
        <x:f>DATE(YEAR(B29),MONTH(B29),1)</x:f>
        <x:v>45505</x:v>
      </x:c>
      <x:c r="L29" s="18" t="n">
        <x:f>F29-G29</x:f>
        <x:v>0</x:v>
      </x:c>
      <x:c r="M29" t="str">
        <x:f>IF(L29&lt;=0,"Payée",IF(G29=0,"Impayée","Partielle"))</x:f>
        <x:v>Payée</x:v>
      </x:c>
      <x:c r="N29" t="n">
        <x:f>IF(I29="","",I29-B29)</x:f>
        <x:v>11</x:v>
      </x:c>
      <x:c r="O29" t="str">
        <x:f>IF(TRIM(C29)&lt;&gt;TRIM(H29),"Oui","Non")</x:f>
        <x:v>Oui</x:v>
      </x:c>
      <x:c r="P29" t="str">
        <x:f>IFERROR(INDEX('02_REFERENTIEL_CLIENTS'!$B$2:$B$51,MATCH(TRIM(C29),'02_REFERENTIEL_CLIENTS'!$A$2:$A$51,0)),"Non trouvé")</x:f>
        <x:v>Particuliers</x:v>
      </x:c>
      <x:c r="Q29" t="str">
        <x:f>IFERROR(INDEX('02_REFERENTIEL_CLIENTS'!$C$2:$C$51,MATCH(TRIM(C29),'02_REFERENTIEL_CLIENTS'!$A$2:$A$51,0)),"Non trouvé")</x:f>
        <x:v>International</x:v>
      </x:c>
      <x:c r="R29" t="str">
        <x:f>IF(OR(F29&lt;=0,G29&lt;0,G29&gt;F29,N29&lt;0,P29="Non trouvé"),"À vérifier","OK")</x:f>
        <x:v>OK</x:v>
      </x:c>
    </x:row>
    <x:row r="30">
      <x:c r="A30" t="str">
        <x:v>DV-2026-00029</x:v>
      </x:c>
      <x:c r="B30" s="16" t="n">
        <x:v>46051</x:v>
      </x:c>
      <x:c r="C30" t="str">
        <x:v>Client 47</x:v>
      </x:c>
      <x:c r="D30" t="str">
        <x:v>Fret aérien</x:v>
      </x:c>
      <x:c r="E30" t="str">
        <x:v>Pôle D</x:v>
      </x:c>
      <x:c r="F30" s="18" t="n">
        <x:v>17654.25</x:v>
      </x:c>
      <x:c r="G30" s="18" t="n">
        <x:v>0</x:v>
      </x:c>
      <x:c r="H30" t="str">
        <x:v>Client 31</x:v>
      </x:c>
      <x:c r="I30" s="16"/>
      <x:c r="J30" t="n">
        <x:f>YEAR(B30)</x:f>
        <x:v>2026</x:v>
      </x:c>
      <x:c r="K30" s="20" t="n">
        <x:f>DATE(YEAR(B30),MONTH(B30),1)</x:f>
        <x:v>46023</x:v>
      </x:c>
      <x:c r="L30" s="18" t="n">
        <x:f>F30-G30</x:f>
        <x:v>17654.25</x:v>
      </x:c>
      <x:c r="M30" t="str">
        <x:f>IF(L30&lt;=0,"Payée",IF(G30=0,"Impayée","Partielle"))</x:f>
        <x:v>Impayée</x:v>
      </x:c>
      <x:c r="N30" t="str">
        <x:f>IF(I30="","",I30-B30)</x:f>
      </x:c>
      <x:c r="O30" t="str">
        <x:f>IF(TRIM(C30)&lt;&gt;TRIM(H30),"Oui","Non")</x:f>
        <x:v>Oui</x:v>
      </x:c>
      <x:c r="P30" t="str">
        <x:f>IFERROR(INDEX('02_REFERENTIEL_CLIENTS'!$B$2:$B$51,MATCH(TRIM(C30),'02_REFERENTIEL_CLIENTS'!$A$2:$A$51,0)),"Non trouvé")</x:f>
        <x:v>PME</x:v>
      </x:c>
      <x:c r="Q30" t="str">
        <x:f>IFERROR(INDEX('02_REFERENTIEL_CLIENTS'!$C$2:$C$51,MATCH(TRIM(C30),'02_REFERENTIEL_CLIENTS'!$A$2:$A$51,0)),"Non trouvé")</x:f>
        <x:v>Europe</x:v>
      </x:c>
      <x:c r="R30" t="str">
        <x:f>IF(OR(F30&lt;=0,G30&lt;0,G30&gt;F30,N30&lt;0,P30="Non trouvé"),"À vérifier","OK")</x:f>
        <x:v>OK</x:v>
      </x:c>
    </x:row>
    <x:row r="31">
      <x:c r="A31" t="str">
        <x:v>DV-2025-00030</x:v>
      </x:c>
      <x:c r="B31" s="16" t="n">
        <x:v>45943</x:v>
      </x:c>
      <x:c r="C31" t="str">
        <x:v>Client 49</x:v>
      </x:c>
      <x:c r="D31" t="str">
        <x:v>Fret maritime</x:v>
      </x:c>
      <x:c r="E31" t="str">
        <x:v>Pôle B</x:v>
      </x:c>
      <x:c r="F31" s="18" t="n">
        <x:v>4234.74</x:v>
      </x:c>
      <x:c r="G31" s="18" t="n">
        <x:v>2614.87</x:v>
      </x:c>
      <x:c r="H31" t="str">
        <x:v>Client 49</x:v>
      </x:c>
      <x:c r="I31" s="16" t="n">
        <x:v>45986</x:v>
      </x:c>
      <x:c r="J31" t="n">
        <x:f>YEAR(B31)</x:f>
        <x:v>2025</x:v>
      </x:c>
      <x:c r="K31" s="20" t="n">
        <x:f>DATE(YEAR(B31),MONTH(B31),1)</x:f>
        <x:v>45931</x:v>
      </x:c>
      <x:c r="L31" s="18" t="n">
        <x:f>F31-G31</x:f>
        <x:v>1619.87</x:v>
      </x:c>
      <x:c r="M31" t="str">
        <x:f>IF(L31&lt;=0,"Payée",IF(G31=0,"Impayée","Partielle"))</x:f>
        <x:v>Partielle</x:v>
      </x:c>
      <x:c r="N31" t="n">
        <x:f>IF(I31="","",I31-B31)</x:f>
        <x:v>43</x:v>
      </x:c>
      <x:c r="O31" t="str">
        <x:f>IF(TRIM(C31)&lt;&gt;TRIM(H31),"Oui","Non")</x:f>
        <x:v>Non</x:v>
      </x:c>
      <x:c r="P31" t="str">
        <x:f>IFERROR(INDEX('02_REFERENTIEL_CLIENTS'!$B$2:$B$51,MATCH(TRIM(C31),'02_REFERENTIEL_CLIENTS'!$A$2:$A$51,0)),"Non trouvé")</x:f>
        <x:v>Grands comptes</x:v>
      </x:c>
      <x:c r="Q31" t="str">
        <x:f>IFERROR(INDEX('02_REFERENTIEL_CLIENTS'!$C$2:$C$51,MATCH(TRIM(C31),'02_REFERENTIEL_CLIENTS'!$A$2:$A$51,0)),"Non trouvé")</x:f>
        <x:v>France</x:v>
      </x:c>
      <x:c r="R31" t="str">
        <x:f>IF(OR(F31&lt;=0,G31&lt;0,G31&gt;F31,N31&lt;0,P31="Non trouvé"),"À vérifier","OK")</x:f>
        <x:v>OK</x:v>
      </x:c>
    </x:row>
    <x:row r="32">
      <x:c r="A32" t="str">
        <x:v>DV-2026-00031</x:v>
      </x:c>
      <x:c r="B32" s="16" t="n">
        <x:v>46125</x:v>
      </x:c>
      <x:c r="C32" t="str">
        <x:v>Client 07</x:v>
      </x:c>
      <x:c r="D32" t="str">
        <x:v>Fret aérien</x:v>
      </x:c>
      <x:c r="E32" t="str">
        <x:v>Pôle C</x:v>
      </x:c>
      <x:c r="F32" s="18" t="n">
        <x:v>12468.96</x:v>
      </x:c>
      <x:c r="G32" s="18" t="n">
        <x:v>12468.96</x:v>
      </x:c>
      <x:c r="H32" t="str">
        <x:v>Client 07</x:v>
      </x:c>
      <x:c r="I32" s="16" t="n">
        <x:v>46149</x:v>
      </x:c>
      <x:c r="J32" t="n">
        <x:f>YEAR(B32)</x:f>
        <x:v>2026</x:v>
      </x:c>
      <x:c r="K32" s="20" t="n">
        <x:f>DATE(YEAR(B32),MONTH(B32),1)</x:f>
        <x:v>46113</x:v>
      </x:c>
      <x:c r="L32" s="18" t="n">
        <x:f>F32-G32</x:f>
        <x:v>0</x:v>
      </x:c>
      <x:c r="M32" t="str">
        <x:f>IF(L32&lt;=0,"Payée",IF(G32=0,"Impayée","Partielle"))</x:f>
        <x:v>Payée</x:v>
      </x:c>
      <x:c r="N32" t="n">
        <x:f>IF(I32="","",I32-B32)</x:f>
        <x:v>24</x:v>
      </x:c>
      <x:c r="O32" t="str">
        <x:f>IF(TRIM(C32)&lt;&gt;TRIM(H32),"Oui","Non")</x:f>
        <x:v>Non</x:v>
      </x:c>
      <x:c r="P32" t="str">
        <x:f>IFERROR(INDEX('02_REFERENTIEL_CLIENTS'!$B$2:$B$51,MATCH(TRIM(C32),'02_REFERENTIEL_CLIENTS'!$A$2:$A$51,0)),"Non trouvé")</x:f>
        <x:v>Grands comptes</x:v>
      </x:c>
      <x:c r="Q32" t="str">
        <x:f>IFERROR(INDEX('02_REFERENTIEL_CLIENTS'!$C$2:$C$51,MATCH(TRIM(C32),'02_REFERENTIEL_CLIENTS'!$A$2:$A$51,0)),"Non trouvé")</x:f>
        <x:v>France</x:v>
      </x:c>
      <x:c r="R32" t="str">
        <x:f>IF(OR(F32&lt;=0,G32&lt;0,G32&gt;F32,N32&lt;0,P32="Non trouvé"),"À vérifier","OK")</x:f>
        <x:v>OK</x:v>
      </x:c>
    </x:row>
    <x:row r="33">
      <x:c r="A33" t="str">
        <x:v>DV-2025-00032</x:v>
      </x:c>
      <x:c r="B33" s="16" t="n">
        <x:v>45861</x:v>
      </x:c>
      <x:c r="C33" t="str">
        <x:v>Client 20</x:v>
      </x:c>
      <x:c r="D33" t="str">
        <x:v>Express</x:v>
      </x:c>
      <x:c r="E33" t="str">
        <x:v>Pôle E</x:v>
      </x:c>
      <x:c r="F33" s="18" t="n">
        <x:v>18738.75</x:v>
      </x:c>
      <x:c r="G33" s="18" t="n">
        <x:v>18738.75</x:v>
      </x:c>
      <x:c r="H33" t="str">
        <x:v>Client 50</x:v>
      </x:c>
      <x:c r="I33" s="16" t="n">
        <x:v>45904</x:v>
      </x:c>
      <x:c r="J33" t="n">
        <x:f>YEAR(B33)</x:f>
        <x:v>2025</x:v>
      </x:c>
      <x:c r="K33" s="20" t="n">
        <x:f>DATE(YEAR(B33),MONTH(B33),1)</x:f>
        <x:v>45839</x:v>
      </x:c>
      <x:c r="L33" s="18" t="n">
        <x:f>F33-G33</x:f>
        <x:v>0</x:v>
      </x:c>
      <x:c r="M33" t="str">
        <x:f>IF(L33&lt;=0,"Payée",IF(G33=0,"Impayée","Partielle"))</x:f>
        <x:v>Payée</x:v>
      </x:c>
      <x:c r="N33" t="n">
        <x:f>IF(I33="","",I33-B33)</x:f>
        <x:v>43</x:v>
      </x:c>
      <x:c r="O33" t="str">
        <x:f>IF(TRIM(C33)&lt;&gt;TRIM(H33),"Oui","Non")</x:f>
        <x:v>Oui</x:v>
      </x:c>
      <x:c r="P33" t="str">
        <x:f>IFERROR(INDEX('02_REFERENTIEL_CLIENTS'!$B$2:$B$51,MATCH(TRIM(C33),'02_REFERENTIEL_CLIENTS'!$A$2:$A$51,0)),"Non trouvé")</x:f>
        <x:v>PME</x:v>
      </x:c>
      <x:c r="Q33" t="str">
        <x:f>IFERROR(INDEX('02_REFERENTIEL_CLIENTS'!$C$2:$C$51,MATCH(TRIM(C33),'02_REFERENTIEL_CLIENTS'!$A$2:$A$51,0)),"Non trouvé")</x:f>
        <x:v>Europe</x:v>
      </x:c>
      <x:c r="R33" t="str">
        <x:f>IF(OR(F33&lt;=0,G33&lt;0,G33&gt;F33,N33&lt;0,P33="Non trouvé"),"À vérifier","OK")</x:f>
        <x:v>OK</x:v>
      </x:c>
    </x:row>
    <x:row r="34">
      <x:c r="A34" t="str">
        <x:v>DV-2024-00033</x:v>
      </x:c>
      <x:c r="B34" s="16" t="n">
        <x:v>45512</x:v>
      </x:c>
      <x:c r="C34" t="str">
        <x:v>Client 10</x:v>
      </x:c>
      <x:c r="D34" t="str">
        <x:v>Express</x:v>
      </x:c>
      <x:c r="E34" t="str">
        <x:v>Pôle A</x:v>
      </x:c>
      <x:c r="F34" s="18" t="n">
        <x:v>23201.36</x:v>
      </x:c>
      <x:c r="G34" s="18" t="n">
        <x:v>23201.36</x:v>
      </x:c>
      <x:c r="H34" t="str">
        <x:v>Client 10</x:v>
      </x:c>
      <x:c r="I34" s="16" t="n">
        <x:v>45514</x:v>
      </x:c>
      <x:c r="J34" t="n">
        <x:f>YEAR(B34)</x:f>
        <x:v>2024</x:v>
      </x:c>
      <x:c r="K34" s="20" t="n">
        <x:f>DATE(YEAR(B34),MONTH(B34),1)</x:f>
        <x:v>45505</x:v>
      </x:c>
      <x:c r="L34" s="18" t="n">
        <x:f>F34-G34</x:f>
        <x:v>0</x:v>
      </x:c>
      <x:c r="M34" t="str">
        <x:f>IF(L34&lt;=0,"Payée",IF(G34=0,"Impayée","Partielle"))</x:f>
        <x:v>Payée</x:v>
      </x:c>
      <x:c r="N34" t="n">
        <x:f>IF(I34="","",I34-B34)</x:f>
        <x:v>2</x:v>
      </x:c>
      <x:c r="O34" t="str">
        <x:f>IF(TRIM(C34)&lt;&gt;TRIM(H34),"Oui","Non")</x:f>
        <x:v>Non</x:v>
      </x:c>
      <x:c r="P34" t="str">
        <x:f>IFERROR(INDEX('02_REFERENTIEL_CLIENTS'!$B$2:$B$51,MATCH(TRIM(C34),'02_REFERENTIEL_CLIENTS'!$A$2:$A$51,0)),"Non trouvé")</x:f>
        <x:v>Grands comptes</x:v>
      </x:c>
      <x:c r="Q34" t="str">
        <x:f>IFERROR(INDEX('02_REFERENTIEL_CLIENTS'!$C$2:$C$51,MATCH(TRIM(C34),'02_REFERENTIEL_CLIENTS'!$A$2:$A$51,0)),"Non trouvé")</x:f>
        <x:v>France</x:v>
      </x:c>
      <x:c r="R34" t="str">
        <x:f>IF(OR(F34&lt;=0,G34&lt;0,G34&gt;F34,N34&lt;0,P34="Non trouvé"),"À vérifier","OK")</x:f>
        <x:v>OK</x:v>
      </x:c>
    </x:row>
    <x:row r="35">
      <x:c r="A35" t="str">
        <x:v>DV-2025-00034</x:v>
      </x:c>
      <x:c r="B35" s="16" t="n">
        <x:v>45711</x:v>
      </x:c>
      <x:c r="C35" t="str">
        <x:v>Client 30</x:v>
      </x:c>
      <x:c r="D35" t="str">
        <x:v>Douane</x:v>
      </x:c>
      <x:c r="E35" t="str">
        <x:v>Pôle C</x:v>
      </x:c>
      <x:c r="F35" s="18" t="n">
        <x:v>23085.04</x:v>
      </x:c>
      <x:c r="G35" s="18" t="n">
        <x:v>0</x:v>
      </x:c>
      <x:c r="H35" t="str">
        <x:v>Client 30</x:v>
      </x:c>
      <x:c r="I35" s="16"/>
      <x:c r="J35" t="n">
        <x:f>YEAR(B35)</x:f>
        <x:v>2025</x:v>
      </x:c>
      <x:c r="K35" s="20" t="n">
        <x:f>DATE(YEAR(B35),MONTH(B35),1)</x:f>
        <x:v>45689</x:v>
      </x:c>
      <x:c r="L35" s="18" t="n">
        <x:f>F35-G35</x:f>
        <x:v>23085.04</x:v>
      </x:c>
      <x:c r="M35" t="str">
        <x:f>IF(L35&lt;=0,"Payée",IF(G35=0,"Impayée","Partielle"))</x:f>
        <x:v>Impayée</x:v>
      </x:c>
      <x:c r="N35" t="str">
        <x:f>IF(I35="","",I35-B35)</x:f>
      </x:c>
      <x:c r="O35" t="str">
        <x:f>IF(TRIM(C35)&lt;&gt;TRIM(H35),"Oui","Non")</x:f>
        <x:v>Non</x:v>
      </x:c>
      <x:c r="P35" t="str">
        <x:f>IFERROR(INDEX('02_REFERENTIEL_CLIENTS'!$B$2:$B$51,MATCH(TRIM(C35),'02_REFERENTIEL_CLIENTS'!$A$2:$A$51,0)),"Non trouvé")</x:f>
        <x:v>Particuliers</x:v>
      </x:c>
      <x:c r="Q35" t="str">
        <x:f>IFERROR(INDEX('02_REFERENTIEL_CLIENTS'!$C$2:$C$51,MATCH(TRIM(C35),'02_REFERENTIEL_CLIENTS'!$A$2:$A$51,0)),"Non trouvé")</x:f>
        <x:v>International</x:v>
      </x:c>
      <x:c r="R35" t="str">
        <x:f>IF(OR(F35&lt;=0,G35&lt;0,G35&gt;F35,N35&lt;0,P35="Non trouvé"),"À vérifier","OK")</x:f>
        <x:v>OK</x:v>
      </x:c>
    </x:row>
    <x:row r="36">
      <x:c r="A36" t="str">
        <x:v>DV-2026-00035</x:v>
      </x:c>
      <x:c r="B36" s="16" t="n">
        <x:v>46186</x:v>
      </x:c>
      <x:c r="C36" t="str">
        <x:v>Client 32</x:v>
      </x:c>
      <x:c r="D36" t="str">
        <x:v>Fret aérien</x:v>
      </x:c>
      <x:c r="E36" t="str">
        <x:v>Pôle E</x:v>
      </x:c>
      <x:c r="F36" s="18" t="n">
        <x:v>15911.53</x:v>
      </x:c>
      <x:c r="G36" s="18" t="n">
        <x:v>15911.53</x:v>
      </x:c>
      <x:c r="H36" t="str">
        <x:v>Client 32</x:v>
      </x:c>
      <x:c r="I36" s="16" t="n">
        <x:v>46220</x:v>
      </x:c>
      <x:c r="J36" t="n">
        <x:f>YEAR(B36)</x:f>
        <x:v>2026</x:v>
      </x:c>
      <x:c r="K36" s="20" t="n">
        <x:f>DATE(YEAR(B36),MONTH(B36),1)</x:f>
        <x:v>46174</x:v>
      </x:c>
      <x:c r="L36" s="18" t="n">
        <x:f>F36-G36</x:f>
        <x:v>0</x:v>
      </x:c>
      <x:c r="M36" t="str">
        <x:f>IF(L36&lt;=0,"Payée",IF(G36=0,"Impayée","Partielle"))</x:f>
        <x:v>Payée</x:v>
      </x:c>
      <x:c r="N36" t="n">
        <x:f>IF(I36="","",I36-B36)</x:f>
        <x:v>34</x:v>
      </x:c>
      <x:c r="O36" t="str">
        <x:f>IF(TRIM(C36)&lt;&gt;TRIM(H36),"Oui","Non")</x:f>
        <x:v>Non</x:v>
      </x:c>
      <x:c r="P36" t="str">
        <x:f>IFERROR(INDEX('02_REFERENTIEL_CLIENTS'!$B$2:$B$51,MATCH(TRIM(C36),'02_REFERENTIEL_CLIENTS'!$A$2:$A$51,0)),"Non trouvé")</x:f>
        <x:v>PME</x:v>
      </x:c>
      <x:c r="Q36" t="str">
        <x:f>IFERROR(INDEX('02_REFERENTIEL_CLIENTS'!$C$2:$C$51,MATCH(TRIM(C36),'02_REFERENTIEL_CLIENTS'!$A$2:$A$51,0)),"Non trouvé")</x:f>
        <x:v>Europe</x:v>
      </x:c>
      <x:c r="R36" t="str">
        <x:f>IF(OR(F36&lt;=0,G36&lt;0,G36&gt;F36,N36&lt;0,P36="Non trouvé"),"À vérifier","OK")</x:f>
        <x:v>OK</x:v>
      </x:c>
    </x:row>
    <x:row r="37">
      <x:c r="A37" t="str">
        <x:v>DV-2024-00036</x:v>
      </x:c>
      <x:c r="B37" s="16" t="n">
        <x:v>45438</x:v>
      </x:c>
      <x:c r="C37" t="str">
        <x:v>Client 15</x:v>
      </x:c>
      <x:c r="D37" t="str">
        <x:v>Logistique</x:v>
      </x:c>
      <x:c r="E37" t="str">
        <x:v>Pôle C</x:v>
      </x:c>
      <x:c r="F37" s="18" t="n">
        <x:v>5039.97</x:v>
      </x:c>
      <x:c r="G37" s="18" t="n">
        <x:v>5039.97</x:v>
      </x:c>
      <x:c r="H37" t="str">
        <x:v>Client 15</x:v>
      </x:c>
      <x:c r="I37" s="16" t="n">
        <x:v>45468</x:v>
      </x:c>
      <x:c r="J37" t="n">
        <x:f>YEAR(B37)</x:f>
        <x:v>2024</x:v>
      </x:c>
      <x:c r="K37" s="20" t="n">
        <x:f>DATE(YEAR(B37),MONTH(B37),1)</x:f>
        <x:v>45413</x:v>
      </x:c>
      <x:c r="L37" s="18" t="n">
        <x:f>F37-G37</x:f>
        <x:v>0</x:v>
      </x:c>
      <x:c r="M37" t="str">
        <x:f>IF(L37&lt;=0,"Payée",IF(G37=0,"Impayée","Partielle"))</x:f>
        <x:v>Payée</x:v>
      </x:c>
      <x:c r="N37" t="n">
        <x:f>IF(I37="","",I37-B37)</x:f>
        <x:v>30</x:v>
      </x:c>
      <x:c r="O37" t="str">
        <x:f>IF(TRIM(C37)&lt;&gt;TRIM(H37),"Oui","Non")</x:f>
        <x:v>Non</x:v>
      </x:c>
      <x:c r="P37" t="str">
        <x:f>IFERROR(INDEX('02_REFERENTIEL_CLIENTS'!$B$2:$B$51,MATCH(TRIM(C37),'02_REFERENTIEL_CLIENTS'!$A$2:$A$51,0)),"Non trouvé")</x:f>
        <x:v>Particuliers</x:v>
      </x:c>
      <x:c r="Q37" t="str">
        <x:f>IFERROR(INDEX('02_REFERENTIEL_CLIENTS'!$C$2:$C$51,MATCH(TRIM(C37),'02_REFERENTIEL_CLIENTS'!$A$2:$A$51,0)),"Non trouvé")</x:f>
        <x:v>International</x:v>
      </x:c>
      <x:c r="R37" t="str">
        <x:f>IF(OR(F37&lt;=0,G37&lt;0,G37&gt;F37,N37&lt;0,P37="Non trouvé"),"À vérifier","OK")</x:f>
        <x:v>OK</x:v>
      </x:c>
    </x:row>
    <x:row r="38">
      <x:c r="A38" t="str">
        <x:v>DV-2025-00037</x:v>
      </x:c>
      <x:c r="B38" s="16" t="n">
        <x:v>45729</x:v>
      </x:c>
      <x:c r="C38" t="str">
        <x:v>Client 39</x:v>
      </x:c>
      <x:c r="D38" t="str">
        <x:v>Logistique</x:v>
      </x:c>
      <x:c r="E38" t="str">
        <x:v>Pôle B</x:v>
      </x:c>
      <x:c r="F38" s="18" t="n">
        <x:v>6568.45</x:v>
      </x:c>
      <x:c r="G38" s="18" t="n">
        <x:v>1582.35</x:v>
      </x:c>
      <x:c r="H38" t="str">
        <x:v>Client 39</x:v>
      </x:c>
      <x:c r="I38" s="16" t="n">
        <x:v>45756</x:v>
      </x:c>
      <x:c r="J38" t="n">
        <x:f>YEAR(B38)</x:f>
        <x:v>2025</x:v>
      </x:c>
      <x:c r="K38" s="20" t="n">
        <x:f>DATE(YEAR(B38),MONTH(B38),1)</x:f>
        <x:v>45717</x:v>
      </x:c>
      <x:c r="L38" s="18" t="n">
        <x:f>F38-G38</x:f>
        <x:v>4986.1</x:v>
      </x:c>
      <x:c r="M38" t="str">
        <x:f>IF(L38&lt;=0,"Payée",IF(G38=0,"Impayée","Partielle"))</x:f>
        <x:v>Partielle</x:v>
      </x:c>
      <x:c r="N38" t="n">
        <x:f>IF(I38="","",I38-B38)</x:f>
        <x:v>27</x:v>
      </x:c>
      <x:c r="O38" t="str">
        <x:f>IF(TRIM(C38)&lt;&gt;TRIM(H38),"Oui","Non")</x:f>
        <x:v>Non</x:v>
      </x:c>
      <x:c r="P38" t="str">
        <x:f>IFERROR(INDEX('02_REFERENTIEL_CLIENTS'!$B$2:$B$51,MATCH(TRIM(C38),'02_REFERENTIEL_CLIENTS'!$A$2:$A$51,0)),"Non trouvé")</x:f>
        <x:v>Particuliers</x:v>
      </x:c>
      <x:c r="Q38" t="str">
        <x:f>IFERROR(INDEX('02_REFERENTIEL_CLIENTS'!$C$2:$C$51,MATCH(TRIM(C38),'02_REFERENTIEL_CLIENTS'!$A$2:$A$51,0)),"Non trouvé")</x:f>
        <x:v>International</x:v>
      </x:c>
      <x:c r="R38" t="str">
        <x:f>IF(OR(F38&lt;=0,G38&lt;0,G38&gt;F38,N38&lt;0,P38="Non trouvé"),"À vérifier","OK")</x:f>
        <x:v>OK</x:v>
      </x:c>
    </x:row>
    <x:row r="39">
      <x:c r="A39" t="str">
        <x:v>DV-2024-00038</x:v>
      </x:c>
      <x:c r="B39" s="16" t="n">
        <x:v>45354</x:v>
      </x:c>
      <x:c r="C39" t="str">
        <x:v>Client 36</x:v>
      </x:c>
      <x:c r="D39" t="str">
        <x:v>Douane</x:v>
      </x:c>
      <x:c r="E39" t="str">
        <x:v>Pôle C</x:v>
      </x:c>
      <x:c r="F39" s="18" t="n">
        <x:v>18443.97</x:v>
      </x:c>
      <x:c r="G39" s="18" t="n">
        <x:v>15270.76</x:v>
      </x:c>
      <x:c r="H39" t="str">
        <x:v>Client 36</x:v>
      </x:c>
      <x:c r="I39" s="16" t="n">
        <x:v>45365</x:v>
      </x:c>
      <x:c r="J39" t="n">
        <x:f>YEAR(B39)</x:f>
        <x:v>2024</x:v>
      </x:c>
      <x:c r="K39" s="20" t="n">
        <x:f>DATE(YEAR(B39),MONTH(B39),1)</x:f>
        <x:v>45352</x:v>
      </x:c>
      <x:c r="L39" s="18" t="n">
        <x:f>F39-G39</x:f>
        <x:v>3173.210000000001</x:v>
      </x:c>
      <x:c r="M39" t="str">
        <x:f>IF(L39&lt;=0,"Payée",IF(G39=0,"Impayée","Partielle"))</x:f>
        <x:v>Partielle</x:v>
      </x:c>
      <x:c r="N39" t="n">
        <x:f>IF(I39="","",I39-B39)</x:f>
        <x:v>11</x:v>
      </x:c>
      <x:c r="O39" t="str">
        <x:f>IF(TRIM(C39)&lt;&gt;TRIM(H39),"Oui","Non")</x:f>
        <x:v>Non</x:v>
      </x:c>
      <x:c r="P39" t="str">
        <x:f>IFERROR(INDEX('02_REFERENTIEL_CLIENTS'!$B$2:$B$51,MATCH(TRIM(C39),'02_REFERENTIEL_CLIENTS'!$A$2:$A$51,0)),"Non trouvé")</x:f>
        <x:v>Particuliers</x:v>
      </x:c>
      <x:c r="Q39" t="str">
        <x:f>IFERROR(INDEX('02_REFERENTIEL_CLIENTS'!$C$2:$C$51,MATCH(TRIM(C39),'02_REFERENTIEL_CLIENTS'!$A$2:$A$51,0)),"Non trouvé")</x:f>
        <x:v>International</x:v>
      </x:c>
      <x:c r="R39" t="str">
        <x:f>IF(OR(F39&lt;=0,G39&lt;0,G39&gt;F39,N39&lt;0,P39="Non trouvé"),"À vérifier","OK")</x:f>
        <x:v>OK</x:v>
      </x:c>
    </x:row>
    <x:row r="40">
      <x:c r="A40" t="str">
        <x:v>DV-2024-00039</x:v>
      </x:c>
      <x:c r="B40" s="16" t="n">
        <x:v>45475</x:v>
      </x:c>
      <x:c r="C40" t="str">
        <x:v>Client 42</x:v>
      </x:c>
      <x:c r="D40" t="str">
        <x:v>Fret aérien</x:v>
      </x:c>
      <x:c r="E40" t="str">
        <x:v>Pôle D</x:v>
      </x:c>
      <x:c r="F40" s="18" t="n">
        <x:v>17228.84</x:v>
      </x:c>
      <x:c r="G40" s="18" t="n">
        <x:v>12230.77</x:v>
      </x:c>
      <x:c r="H40" t="str">
        <x:v>Client 38</x:v>
      </x:c>
      <x:c r="I40" s="16" t="n">
        <x:v>45477</x:v>
      </x:c>
      <x:c r="J40" t="n">
        <x:f>YEAR(B40)</x:f>
        <x:v>2024</x:v>
      </x:c>
      <x:c r="K40" s="20" t="n">
        <x:f>DATE(YEAR(B40),MONTH(B40),1)</x:f>
        <x:v>45474</x:v>
      </x:c>
      <x:c r="L40" s="18" t="n">
        <x:f>F40-G40</x:f>
        <x:v>4998.07</x:v>
      </x:c>
      <x:c r="M40" t="str">
        <x:f>IF(L40&lt;=0,"Payée",IF(G40=0,"Impayée","Partielle"))</x:f>
        <x:v>Partielle</x:v>
      </x:c>
      <x:c r="N40" t="n">
        <x:f>IF(I40="","",I40-B40)</x:f>
        <x:v>2</x:v>
      </x:c>
      <x:c r="O40" t="str">
        <x:f>IF(TRIM(C40)&lt;&gt;TRIM(H40),"Oui","Non")</x:f>
        <x:v>Oui</x:v>
      </x:c>
      <x:c r="P40" t="str">
        <x:f>IFERROR(INDEX('02_REFERENTIEL_CLIENTS'!$B$2:$B$51,MATCH(TRIM(C40),'02_REFERENTIEL_CLIENTS'!$A$2:$A$51,0)),"Non trouvé")</x:f>
        <x:v>Particuliers</x:v>
      </x:c>
      <x:c r="Q40" t="str">
        <x:f>IFERROR(INDEX('02_REFERENTIEL_CLIENTS'!$C$2:$C$51,MATCH(TRIM(C40),'02_REFERENTIEL_CLIENTS'!$A$2:$A$51,0)),"Non trouvé")</x:f>
        <x:v>International</x:v>
      </x:c>
      <x:c r="R40" t="str">
        <x:f>IF(OR(F40&lt;=0,G40&lt;0,G40&gt;F40,N40&lt;0,P40="Non trouvé"),"À vérifier","OK")</x:f>
        <x:v>OK</x:v>
      </x:c>
    </x:row>
    <x:row r="41">
      <x:c r="A41" t="str">
        <x:v>DV-2024-00040</x:v>
      </x:c>
      <x:c r="B41" s="16" t="n">
        <x:v>45568</x:v>
      </x:c>
      <x:c r="C41" t="str">
        <x:v>Client 35</x:v>
      </x:c>
      <x:c r="D41" t="str">
        <x:v>Fret maritime</x:v>
      </x:c>
      <x:c r="E41" t="str">
        <x:v>Pôle A</x:v>
      </x:c>
      <x:c r="F41" s="18" t="n">
        <x:v>14290.96</x:v>
      </x:c>
      <x:c r="G41" s="18" t="n">
        <x:v>8456.82</x:v>
      </x:c>
      <x:c r="H41" t="str">
        <x:v>Client 35</x:v>
      </x:c>
      <x:c r="I41" s="16" t="n">
        <x:v>45578</x:v>
      </x:c>
      <x:c r="J41" t="n">
        <x:f>YEAR(B41)</x:f>
        <x:v>2024</x:v>
      </x:c>
      <x:c r="K41" s="20" t="n">
        <x:f>DATE(YEAR(B41),MONTH(B41),1)</x:f>
        <x:v>45566</x:v>
      </x:c>
      <x:c r="L41" s="18" t="n">
        <x:f>F41-G41</x:f>
        <x:v>5834.139999999999</x:v>
      </x:c>
      <x:c r="M41" t="str">
        <x:f>IF(L41&lt;=0,"Payée",IF(G41=0,"Impayée","Partielle"))</x:f>
        <x:v>Partielle</x:v>
      </x:c>
      <x:c r="N41" t="n">
        <x:f>IF(I41="","",I41-B41)</x:f>
        <x:v>10</x:v>
      </x:c>
      <x:c r="O41" t="str">
        <x:f>IF(TRIM(C41)&lt;&gt;TRIM(H41),"Oui","Non")</x:f>
        <x:v>Non</x:v>
      </x:c>
      <x:c r="P41" t="str">
        <x:f>IFERROR(INDEX('02_REFERENTIEL_CLIENTS'!$B$2:$B$51,MATCH(TRIM(C41),'02_REFERENTIEL_CLIENTS'!$A$2:$A$51,0)),"Non trouvé")</x:f>
        <x:v>PME</x:v>
      </x:c>
      <x:c r="Q41" t="str">
        <x:f>IFERROR(INDEX('02_REFERENTIEL_CLIENTS'!$C$2:$C$51,MATCH(TRIM(C41),'02_REFERENTIEL_CLIENTS'!$A$2:$A$51,0)),"Non trouvé")</x:f>
        <x:v>Europe</x:v>
      </x:c>
      <x:c r="R41" t="str">
        <x:f>IF(OR(F41&lt;=0,G41&lt;0,G41&gt;F41,N41&lt;0,P41="Non trouvé"),"À vérifier","OK")</x:f>
        <x:v>OK</x:v>
      </x:c>
    </x:row>
    <x:row r="42">
      <x:c r="A42" t="str">
        <x:v>DV-2024-00041</x:v>
      </x:c>
      <x:c r="B42" s="16" t="n">
        <x:v>45308</x:v>
      </x:c>
      <x:c r="C42" t="str">
        <x:v>Client 44</x:v>
      </x:c>
      <x:c r="D42" t="str">
        <x:v>Express</x:v>
      </x:c>
      <x:c r="E42" t="str">
        <x:v>Pôle B</x:v>
      </x:c>
      <x:c r="F42" s="18" t="n">
        <x:v>9384.66</x:v>
      </x:c>
      <x:c r="G42" s="18" t="n">
        <x:v>9384.66</x:v>
      </x:c>
      <x:c r="H42" t="str">
        <x:v>Client 44</x:v>
      </x:c>
      <x:c r="I42" s="16" t="n">
        <x:v>45327</x:v>
      </x:c>
      <x:c r="J42" t="n">
        <x:f>YEAR(B42)</x:f>
        <x:v>2024</x:v>
      </x:c>
      <x:c r="K42" s="20" t="n">
        <x:f>DATE(YEAR(B42),MONTH(B42),1)</x:f>
        <x:v>45292</x:v>
      </x:c>
      <x:c r="L42" s="18" t="n">
        <x:f>F42-G42</x:f>
        <x:v>0</x:v>
      </x:c>
      <x:c r="M42" t="str">
        <x:f>IF(L42&lt;=0,"Payée",IF(G42=0,"Impayée","Partielle"))</x:f>
        <x:v>Payée</x:v>
      </x:c>
      <x:c r="N42" t="n">
        <x:f>IF(I42="","",I42-B42)</x:f>
        <x:v>19</x:v>
      </x:c>
      <x:c r="O42" t="str">
        <x:f>IF(TRIM(C42)&lt;&gt;TRIM(H42),"Oui","Non")</x:f>
        <x:v>Non</x:v>
      </x:c>
      <x:c r="P42" t="str">
        <x:f>IFERROR(INDEX('02_REFERENTIEL_CLIENTS'!$B$2:$B$51,MATCH(TRIM(C42),'02_REFERENTIEL_CLIENTS'!$A$2:$A$51,0)),"Non trouvé")</x:f>
        <x:v>PME</x:v>
      </x:c>
      <x:c r="Q42" t="str">
        <x:f>IFERROR(INDEX('02_REFERENTIEL_CLIENTS'!$C$2:$C$51,MATCH(TRIM(C42),'02_REFERENTIEL_CLIENTS'!$A$2:$A$51,0)),"Non trouvé")</x:f>
        <x:v>Europe</x:v>
      </x:c>
      <x:c r="R42" t="str">
        <x:f>IF(OR(F42&lt;=0,G42&lt;0,G42&gt;F42,N42&lt;0,P42="Non trouvé"),"À vérifier","OK")</x:f>
        <x:v>OK</x:v>
      </x:c>
    </x:row>
    <x:row r="43">
      <x:c r="A43" t="str">
        <x:v>DV-2025-00042</x:v>
      </x:c>
      <x:c r="B43" s="16" t="n">
        <x:v>45964</x:v>
      </x:c>
      <x:c r="C43" t="str">
        <x:v>Client 41</x:v>
      </x:c>
      <x:c r="D43" t="str">
        <x:v>Express</x:v>
      </x:c>
      <x:c r="E43" t="str">
        <x:v>Pôle C</x:v>
      </x:c>
      <x:c r="F43" s="18" t="n">
        <x:v>17099.82</x:v>
      </x:c>
      <x:c r="G43" s="18" t="n">
        <x:v>17099.82</x:v>
      </x:c>
      <x:c r="H43" t="str">
        <x:v>Client 41</x:v>
      </x:c>
      <x:c r="I43" s="16" t="n">
        <x:v>46025</x:v>
      </x:c>
      <x:c r="J43" t="n">
        <x:f>YEAR(B43)</x:f>
        <x:v>2025</x:v>
      </x:c>
      <x:c r="K43" s="20" t="n">
        <x:f>DATE(YEAR(B43),MONTH(B43),1)</x:f>
        <x:v>45962</x:v>
      </x:c>
      <x:c r="L43" s="18" t="n">
        <x:f>F43-G43</x:f>
        <x:v>0</x:v>
      </x:c>
      <x:c r="M43" t="str">
        <x:f>IF(L43&lt;=0,"Payée",IF(G43=0,"Impayée","Partielle"))</x:f>
        <x:v>Payée</x:v>
      </x:c>
      <x:c r="N43" t="n">
        <x:f>IF(I43="","",I43-B43)</x:f>
        <x:v>61</x:v>
      </x:c>
      <x:c r="O43" t="str">
        <x:f>IF(TRIM(C43)&lt;&gt;TRIM(H43),"Oui","Non")</x:f>
        <x:v>Non</x:v>
      </x:c>
      <x:c r="P43" t="str">
        <x:f>IFERROR(INDEX('02_REFERENTIEL_CLIENTS'!$B$2:$B$51,MATCH(TRIM(C43),'02_REFERENTIEL_CLIENTS'!$A$2:$A$51,0)),"Non trouvé")</x:f>
        <x:v>PME</x:v>
      </x:c>
      <x:c r="Q43" t="str">
        <x:f>IFERROR(INDEX('02_REFERENTIEL_CLIENTS'!$C$2:$C$51,MATCH(TRIM(C43),'02_REFERENTIEL_CLIENTS'!$A$2:$A$51,0)),"Non trouvé")</x:f>
        <x:v>Europe</x:v>
      </x:c>
      <x:c r="R43" t="str">
        <x:f>IF(OR(F43&lt;=0,G43&lt;0,G43&gt;F43,N43&lt;0,P43="Non trouvé"),"À vérifier","OK")</x:f>
        <x:v>OK</x:v>
      </x:c>
    </x:row>
    <x:row r="44">
      <x:c r="A44" t="str">
        <x:v>DV-2025-00043</x:v>
      </x:c>
      <x:c r="B44" s="16" t="n">
        <x:v>45945</x:v>
      </x:c>
      <x:c r="C44" t="str">
        <x:v>Client 46</x:v>
      </x:c>
      <x:c r="D44" t="str">
        <x:v>Fret aérien</x:v>
      </x:c>
      <x:c r="E44" t="str">
        <x:v>Pôle A</x:v>
      </x:c>
      <x:c r="F44" s="18" t="n">
        <x:v>8376.31</x:v>
      </x:c>
      <x:c r="G44" s="18" t="n">
        <x:v>0</x:v>
      </x:c>
      <x:c r="H44" t="str">
        <x:v>Client 46</x:v>
      </x:c>
      <x:c r="I44" s="16"/>
      <x:c r="J44" t="n">
        <x:f>YEAR(B44)</x:f>
        <x:v>2025</x:v>
      </x:c>
      <x:c r="K44" s="20" t="n">
        <x:f>DATE(YEAR(B44),MONTH(B44),1)</x:f>
        <x:v>45931</x:v>
      </x:c>
      <x:c r="L44" s="18" t="n">
        <x:f>F44-G44</x:f>
        <x:v>8376.31</x:v>
      </x:c>
      <x:c r="M44" t="str">
        <x:f>IF(L44&lt;=0,"Payée",IF(G44=0,"Impayée","Partielle"))</x:f>
        <x:v>Impayée</x:v>
      </x:c>
      <x:c r="N44" t="str">
        <x:f>IF(I44="","",I44-B44)</x:f>
      </x:c>
      <x:c r="O44" t="str">
        <x:f>IF(TRIM(C44)&lt;&gt;TRIM(H44),"Oui","Non")</x:f>
        <x:v>Non</x:v>
      </x:c>
      <x:c r="P44" t="str">
        <x:f>IFERROR(INDEX('02_REFERENTIEL_CLIENTS'!$B$2:$B$51,MATCH(TRIM(C44),'02_REFERENTIEL_CLIENTS'!$A$2:$A$51,0)),"Non trouvé")</x:f>
        <x:v>Grands comptes</x:v>
      </x:c>
      <x:c r="Q44" t="str">
        <x:f>IFERROR(INDEX('02_REFERENTIEL_CLIENTS'!$C$2:$C$51,MATCH(TRIM(C44),'02_REFERENTIEL_CLIENTS'!$A$2:$A$51,0)),"Non trouvé")</x:f>
        <x:v>France</x:v>
      </x:c>
      <x:c r="R44" t="str">
        <x:f>IF(OR(F44&lt;=0,G44&lt;0,G44&gt;F44,N44&lt;0,P44="Non trouvé"),"À vérifier","OK")</x:f>
        <x:v>OK</x:v>
      </x:c>
    </x:row>
    <x:row r="45">
      <x:c r="A45" t="str">
        <x:v>DV-2024-00044</x:v>
      </x:c>
      <x:c r="B45" s="16" t="n">
        <x:v>45439</x:v>
      </x:c>
      <x:c r="C45" t="str">
        <x:v>Client 07</x:v>
      </x:c>
      <x:c r="D45" t="str">
        <x:v>Logistique</x:v>
      </x:c>
      <x:c r="E45" t="str">
        <x:v>Pôle C</x:v>
      </x:c>
      <x:c r="F45" s="18" t="n">
        <x:v>24199.68</x:v>
      </x:c>
      <x:c r="G45" s="18" t="n">
        <x:v>24199.68</x:v>
      </x:c>
      <x:c r="H45" t="str">
        <x:v>Client 07</x:v>
      </x:c>
      <x:c r="I45" s="16" t="n">
        <x:v>45506</x:v>
      </x:c>
      <x:c r="J45" t="n">
        <x:f>YEAR(B45)</x:f>
        <x:v>2024</x:v>
      </x:c>
      <x:c r="K45" s="20" t="n">
        <x:f>DATE(YEAR(B45),MONTH(B45),1)</x:f>
        <x:v>45413</x:v>
      </x:c>
      <x:c r="L45" s="18" t="n">
        <x:f>F45-G45</x:f>
        <x:v>0</x:v>
      </x:c>
      <x:c r="M45" t="str">
        <x:f>IF(L45&lt;=0,"Payée",IF(G45=0,"Impayée","Partielle"))</x:f>
        <x:v>Payée</x:v>
      </x:c>
      <x:c r="N45" t="n">
        <x:f>IF(I45="","",I45-B45)</x:f>
        <x:v>67</x:v>
      </x:c>
      <x:c r="O45" t="str">
        <x:f>IF(TRIM(C45)&lt;&gt;TRIM(H45),"Oui","Non")</x:f>
        <x:v>Non</x:v>
      </x:c>
      <x:c r="P45" t="str">
        <x:f>IFERROR(INDEX('02_REFERENTIEL_CLIENTS'!$B$2:$B$51,MATCH(TRIM(C45),'02_REFERENTIEL_CLIENTS'!$A$2:$A$51,0)),"Non trouvé")</x:f>
        <x:v>Grands comptes</x:v>
      </x:c>
      <x:c r="Q45" t="str">
        <x:f>IFERROR(INDEX('02_REFERENTIEL_CLIENTS'!$C$2:$C$51,MATCH(TRIM(C45),'02_REFERENTIEL_CLIENTS'!$A$2:$A$51,0)),"Non trouvé")</x:f>
        <x:v>France</x:v>
      </x:c>
      <x:c r="R45" t="str">
        <x:f>IF(OR(F45&lt;=0,G45&lt;0,G45&gt;F45,N45&lt;0,P45="Non trouvé"),"À vérifier","OK")</x:f>
        <x:v>OK</x:v>
      </x:c>
    </x:row>
    <x:row r="46">
      <x:c r="A46" t="str">
        <x:v>DV-2024-00045</x:v>
      </x:c>
      <x:c r="B46" s="16" t="n">
        <x:v>45320</x:v>
      </x:c>
      <x:c r="C46" t="str">
        <x:v>Client 47</x:v>
      </x:c>
      <x:c r="D46" t="str">
        <x:v>Logistique</x:v>
      </x:c>
      <x:c r="E46" t="str">
        <x:v>Pôle E</x:v>
      </x:c>
      <x:c r="F46" s="18" t="n">
        <x:v>16927.47</x:v>
      </x:c>
      <x:c r="G46" s="18" t="n">
        <x:v>16927.47</x:v>
      </x:c>
      <x:c r="H46" t="str">
        <x:v>Client 47</x:v>
      </x:c>
      <x:c r="I46" s="16" t="n">
        <x:v>45381</x:v>
      </x:c>
      <x:c r="J46" t="n">
        <x:f>YEAR(B46)</x:f>
        <x:v>2024</x:v>
      </x:c>
      <x:c r="K46" s="20" t="n">
        <x:f>DATE(YEAR(B46),MONTH(B46),1)</x:f>
        <x:v>45292</x:v>
      </x:c>
      <x:c r="L46" s="18" t="n">
        <x:f>F46-G46</x:f>
        <x:v>0</x:v>
      </x:c>
      <x:c r="M46" t="str">
        <x:f>IF(L46&lt;=0,"Payée",IF(G46=0,"Impayée","Partielle"))</x:f>
        <x:v>Payée</x:v>
      </x:c>
      <x:c r="N46" t="n">
        <x:f>IF(I46="","",I46-B46)</x:f>
        <x:v>61</x:v>
      </x:c>
      <x:c r="O46" t="str">
        <x:f>IF(TRIM(C46)&lt;&gt;TRIM(H46),"Oui","Non")</x:f>
        <x:v>Non</x:v>
      </x:c>
      <x:c r="P46" t="str">
        <x:f>IFERROR(INDEX('02_REFERENTIEL_CLIENTS'!$B$2:$B$51,MATCH(TRIM(C46),'02_REFERENTIEL_CLIENTS'!$A$2:$A$51,0)),"Non trouvé")</x:f>
        <x:v>PME</x:v>
      </x:c>
      <x:c r="Q46" t="str">
        <x:f>IFERROR(INDEX('02_REFERENTIEL_CLIENTS'!$C$2:$C$51,MATCH(TRIM(C46),'02_REFERENTIEL_CLIENTS'!$A$2:$A$51,0)),"Non trouvé")</x:f>
        <x:v>Europe</x:v>
      </x:c>
      <x:c r="R46" t="str">
        <x:f>IF(OR(F46&lt;=0,G46&lt;0,G46&gt;F46,N46&lt;0,P46="Non trouvé"),"À vérifier","OK")</x:f>
        <x:v>OK</x:v>
      </x:c>
    </x:row>
    <x:row r="47">
      <x:c r="A47" t="str">
        <x:v>DV-2025-00046</x:v>
      </x:c>
      <x:c r="B47" s="16" t="n">
        <x:v>45758</x:v>
      </x:c>
      <x:c r="C47" t="str">
        <x:v>Client 18</x:v>
      </x:c>
      <x:c r="D47" t="str">
        <x:v>Fret maritime</x:v>
      </x:c>
      <x:c r="E47" t="str">
        <x:v>Pôle D</x:v>
      </x:c>
      <x:c r="F47" s="18" t="n">
        <x:v>9539.92</x:v>
      </x:c>
      <x:c r="G47" s="18" t="n">
        <x:v>9539.92</x:v>
      </x:c>
      <x:c r="H47" t="str">
        <x:v>Client 18</x:v>
      </x:c>
      <x:c r="I47" s="16" t="n">
        <x:v>45765</x:v>
      </x:c>
      <x:c r="J47" t="n">
        <x:f>YEAR(B47)</x:f>
        <x:v>2025</x:v>
      </x:c>
      <x:c r="K47" s="20" t="n">
        <x:f>DATE(YEAR(B47),MONTH(B47),1)</x:f>
        <x:v>45748</x:v>
      </x:c>
      <x:c r="L47" s="18" t="n">
        <x:f>F47-G47</x:f>
        <x:v>0</x:v>
      </x:c>
      <x:c r="M47" t="str">
        <x:f>IF(L47&lt;=0,"Payée",IF(G47=0,"Impayée","Partielle"))</x:f>
        <x:v>Payée</x:v>
      </x:c>
      <x:c r="N47" t="n">
        <x:f>IF(I47="","",I47-B47)</x:f>
        <x:v>7</x:v>
      </x:c>
      <x:c r="O47" t="str">
        <x:f>IF(TRIM(C47)&lt;&gt;TRIM(H47),"Oui","Non")</x:f>
        <x:v>Non</x:v>
      </x:c>
      <x:c r="P47" t="str">
        <x:f>IFERROR(INDEX('02_REFERENTIEL_CLIENTS'!$B$2:$B$51,MATCH(TRIM(C47),'02_REFERENTIEL_CLIENTS'!$A$2:$A$51,0)),"Non trouvé")</x:f>
        <x:v>Particuliers</x:v>
      </x:c>
      <x:c r="Q47" t="str">
        <x:f>IFERROR(INDEX('02_REFERENTIEL_CLIENTS'!$C$2:$C$51,MATCH(TRIM(C47),'02_REFERENTIEL_CLIENTS'!$A$2:$A$51,0)),"Non trouvé")</x:f>
        <x:v>International</x:v>
      </x:c>
      <x:c r="R47" t="str">
        <x:f>IF(OR(F47&lt;=0,G47&lt;0,G47&gt;F47,N47&lt;0,P47="Non trouvé"),"À vérifier","OK")</x:f>
        <x:v>OK</x:v>
      </x:c>
    </x:row>
    <x:row r="48">
      <x:c r="A48" t="str">
        <x:v>DV-2024-00047</x:v>
      </x:c>
      <x:c r="B48" s="16" t="n">
        <x:v>45359</x:v>
      </x:c>
      <x:c r="C48" t="str">
        <x:v>Client 29</x:v>
      </x:c>
      <x:c r="D48" t="str">
        <x:v>Fret maritime</x:v>
      </x:c>
      <x:c r="E48" t="str">
        <x:v>Pôle E</x:v>
      </x:c>
      <x:c r="F48" s="18" t="n">
        <x:v>7307.3</x:v>
      </x:c>
      <x:c r="G48" s="18" t="n">
        <x:v>7307.3</x:v>
      </x:c>
      <x:c r="H48" t="str">
        <x:v>Client 29</x:v>
      </x:c>
      <x:c r="I48" s="16" t="n">
        <x:v>45403</x:v>
      </x:c>
      <x:c r="J48" t="n">
        <x:f>YEAR(B48)</x:f>
        <x:v>2024</x:v>
      </x:c>
      <x:c r="K48" s="20" t="n">
        <x:f>DATE(YEAR(B48),MONTH(B48),1)</x:f>
        <x:v>45352</x:v>
      </x:c>
      <x:c r="L48" s="18" t="n">
        <x:f>F48-G48</x:f>
        <x:v>0</x:v>
      </x:c>
      <x:c r="M48" t="str">
        <x:f>IF(L48&lt;=0,"Payée",IF(G48=0,"Impayée","Partielle"))</x:f>
        <x:v>Payée</x:v>
      </x:c>
      <x:c r="N48" t="n">
        <x:f>IF(I48="","",I48-B48)</x:f>
        <x:v>44</x:v>
      </x:c>
      <x:c r="O48" t="str">
        <x:f>IF(TRIM(C48)&lt;&gt;TRIM(H48),"Oui","Non")</x:f>
        <x:v>Non</x:v>
      </x:c>
      <x:c r="P48" t="str">
        <x:f>IFERROR(INDEX('02_REFERENTIEL_CLIENTS'!$B$2:$B$51,MATCH(TRIM(C48),'02_REFERENTIEL_CLIENTS'!$A$2:$A$51,0)),"Non trouvé")</x:f>
        <x:v>PME</x:v>
      </x:c>
      <x:c r="Q48" t="str">
        <x:f>IFERROR(INDEX('02_REFERENTIEL_CLIENTS'!$C$2:$C$51,MATCH(TRIM(C48),'02_REFERENTIEL_CLIENTS'!$A$2:$A$51,0)),"Non trouvé")</x:f>
        <x:v>Europe</x:v>
      </x:c>
      <x:c r="R48" t="str">
        <x:f>IF(OR(F48&lt;=0,G48&lt;0,G48&gt;F48,N48&lt;0,P48="Non trouvé"),"À vérifier","OK")</x:f>
        <x:v>OK</x:v>
      </x:c>
    </x:row>
    <x:row r="49">
      <x:c r="A49" t="str">
        <x:v>DV-2024-00048</x:v>
      </x:c>
      <x:c r="B49" s="16" t="n">
        <x:v>45650</x:v>
      </x:c>
      <x:c r="C49" t="str">
        <x:v>Client 46</x:v>
      </x:c>
      <x:c r="D49" t="str">
        <x:v>Fret maritime</x:v>
      </x:c>
      <x:c r="E49" t="str">
        <x:v>Pôle C</x:v>
      </x:c>
      <x:c r="F49" s="18" t="n">
        <x:v>1674.06</x:v>
      </x:c>
      <x:c r="G49" s="18" t="n">
        <x:v>1674.06</x:v>
      </x:c>
      <x:c r="H49" t="str">
        <x:v>Client 46</x:v>
      </x:c>
      <x:c r="I49" s="16" t="n">
        <x:v>45675</x:v>
      </x:c>
      <x:c r="J49" t="n">
        <x:f>YEAR(B49)</x:f>
        <x:v>2024</x:v>
      </x:c>
      <x:c r="K49" s="20" t="n">
        <x:f>DATE(YEAR(B49),MONTH(B49),1)</x:f>
        <x:v>45627</x:v>
      </x:c>
      <x:c r="L49" s="18" t="n">
        <x:f>F49-G49</x:f>
        <x:v>0</x:v>
      </x:c>
      <x:c r="M49" t="str">
        <x:f>IF(L49&lt;=0,"Payée",IF(G49=0,"Impayée","Partielle"))</x:f>
        <x:v>Payée</x:v>
      </x:c>
      <x:c r="N49" t="n">
        <x:f>IF(I49="","",I49-B49)</x:f>
        <x:v>25</x:v>
      </x:c>
      <x:c r="O49" t="str">
        <x:f>IF(TRIM(C49)&lt;&gt;TRIM(H49),"Oui","Non")</x:f>
        <x:v>Non</x:v>
      </x:c>
      <x:c r="P49" t="str">
        <x:f>IFERROR(INDEX('02_REFERENTIEL_CLIENTS'!$B$2:$B$51,MATCH(TRIM(C49),'02_REFERENTIEL_CLIENTS'!$A$2:$A$51,0)),"Non trouvé")</x:f>
        <x:v>Grands comptes</x:v>
      </x:c>
      <x:c r="Q49" t="str">
        <x:f>IFERROR(INDEX('02_REFERENTIEL_CLIENTS'!$C$2:$C$51,MATCH(TRIM(C49),'02_REFERENTIEL_CLIENTS'!$A$2:$A$51,0)),"Non trouvé")</x:f>
        <x:v>France</x:v>
      </x:c>
      <x:c r="R49" t="str">
        <x:f>IF(OR(F49&lt;=0,G49&lt;0,G49&gt;F49,N49&lt;0,P49="Non trouvé"),"À vérifier","OK")</x:f>
        <x:v>OK</x:v>
      </x:c>
    </x:row>
    <x:row r="50">
      <x:c r="A50" t="str">
        <x:v>DV-2026-00049</x:v>
      </x:c>
      <x:c r="B50" s="16" t="n">
        <x:v>46114</x:v>
      </x:c>
      <x:c r="C50" t="str">
        <x:v>Client 15</x:v>
      </x:c>
      <x:c r="D50" t="str">
        <x:v>Douane</x:v>
      </x:c>
      <x:c r="E50" t="str">
        <x:v>Pôle D</x:v>
      </x:c>
      <x:c r="F50" s="18" t="n">
        <x:v>636.45</x:v>
      </x:c>
      <x:c r="G50" s="18" t="n">
        <x:v>636.45</x:v>
      </x:c>
      <x:c r="H50" t="str">
        <x:v>Client 15</x:v>
      </x:c>
      <x:c r="I50" s="16" t="n">
        <x:v>46193</x:v>
      </x:c>
      <x:c r="J50" t="n">
        <x:f>YEAR(B50)</x:f>
        <x:v>2026</x:v>
      </x:c>
      <x:c r="K50" s="20" t="n">
        <x:f>DATE(YEAR(B50),MONTH(B50),1)</x:f>
        <x:v>46113</x:v>
      </x:c>
      <x:c r="L50" s="18" t="n">
        <x:f>F50-G50</x:f>
        <x:v>0</x:v>
      </x:c>
      <x:c r="M50" t="str">
        <x:f>IF(L50&lt;=0,"Payée",IF(G50=0,"Impayée","Partielle"))</x:f>
        <x:v>Payée</x:v>
      </x:c>
      <x:c r="N50" t="n">
        <x:f>IF(I50="","",I50-B50)</x:f>
        <x:v>79</x:v>
      </x:c>
      <x:c r="O50" t="str">
        <x:f>IF(TRIM(C50)&lt;&gt;TRIM(H50),"Oui","Non")</x:f>
        <x:v>Non</x:v>
      </x:c>
      <x:c r="P50" t="str">
        <x:f>IFERROR(INDEX('02_REFERENTIEL_CLIENTS'!$B$2:$B$51,MATCH(TRIM(C50),'02_REFERENTIEL_CLIENTS'!$A$2:$A$51,0)),"Non trouvé")</x:f>
        <x:v>Particuliers</x:v>
      </x:c>
      <x:c r="Q50" t="str">
        <x:f>IFERROR(INDEX('02_REFERENTIEL_CLIENTS'!$C$2:$C$51,MATCH(TRIM(C50),'02_REFERENTIEL_CLIENTS'!$A$2:$A$51,0)),"Non trouvé")</x:f>
        <x:v>International</x:v>
      </x:c>
      <x:c r="R50" t="str">
        <x:f>IF(OR(F50&lt;=0,G50&lt;0,G50&gt;F50,N50&lt;0,P50="Non trouvé"),"À vérifier","OK")</x:f>
        <x:v>OK</x:v>
      </x:c>
    </x:row>
    <x:row r="51">
      <x:c r="A51" t="str">
        <x:v>DV-2024-00050</x:v>
      </x:c>
      <x:c r="B51" s="16" t="n">
        <x:v>45387</x:v>
      </x:c>
      <x:c r="C51" t="str">
        <x:v>Client 28</x:v>
      </x:c>
      <x:c r="D51" t="str">
        <x:v>Fret maritime</x:v>
      </x:c>
      <x:c r="E51" t="str">
        <x:v>Pôle B</x:v>
      </x:c>
      <x:c r="F51" s="18" t="n">
        <x:v>4352.22</x:v>
      </x:c>
      <x:c r="G51" s="18" t="n">
        <x:v>4352.22</x:v>
      </x:c>
      <x:c r="H51" t="str">
        <x:v>Client 28</x:v>
      </x:c>
      <x:c r="I51" s="16" t="n">
        <x:v>45447</x:v>
      </x:c>
      <x:c r="J51" t="n">
        <x:f>YEAR(B51)</x:f>
        <x:v>2024</x:v>
      </x:c>
      <x:c r="K51" s="20" t="n">
        <x:f>DATE(YEAR(B51),MONTH(B51),1)</x:f>
        <x:v>45383</x:v>
      </x:c>
      <x:c r="L51" s="18" t="n">
        <x:f>F51-G51</x:f>
        <x:v>0</x:v>
      </x:c>
      <x:c r="M51" t="str">
        <x:f>IF(L51&lt;=0,"Payée",IF(G51=0,"Impayée","Partielle"))</x:f>
        <x:v>Payée</x:v>
      </x:c>
      <x:c r="N51" t="n">
        <x:f>IF(I51="","",I51-B51)</x:f>
        <x:v>60</x:v>
      </x:c>
      <x:c r="O51" t="str">
        <x:f>IF(TRIM(C51)&lt;&gt;TRIM(H51),"Oui","Non")</x:f>
        <x:v>Non</x:v>
      </x:c>
      <x:c r="P51" t="str">
        <x:f>IFERROR(INDEX('02_REFERENTIEL_CLIENTS'!$B$2:$B$51,MATCH(TRIM(C51),'02_REFERENTIEL_CLIENTS'!$A$2:$A$51,0)),"Non trouvé")</x:f>
        <x:v>Grands comptes</x:v>
      </x:c>
      <x:c r="Q51" t="str">
        <x:f>IFERROR(INDEX('02_REFERENTIEL_CLIENTS'!$C$2:$C$51,MATCH(TRIM(C51),'02_REFERENTIEL_CLIENTS'!$A$2:$A$51,0)),"Non trouvé")</x:f>
        <x:v>France</x:v>
      </x:c>
      <x:c r="R51" t="str">
        <x:f>IF(OR(F51&lt;=0,G51&lt;0,G51&gt;F51,N51&lt;0,P51="Non trouvé"),"À vérifier","OK")</x:f>
        <x:v>OK</x:v>
      </x:c>
    </x:row>
    <x:row r="52">
      <x:c r="A52" t="str">
        <x:v>DV-2025-00051</x:v>
      </x:c>
      <x:c r="B52" s="16" t="n">
        <x:v>45876</x:v>
      </x:c>
      <x:c r="C52" t="str">
        <x:v>Client 06</x:v>
      </x:c>
      <x:c r="D52" t="str">
        <x:v>Douane</x:v>
      </x:c>
      <x:c r="E52" t="str">
        <x:v>Pôle A</x:v>
      </x:c>
      <x:c r="F52" s="18" t="n">
        <x:v>6614.04</x:v>
      </x:c>
      <x:c r="G52" s="18" t="n">
        <x:v>6614.04</x:v>
      </x:c>
      <x:c r="H52" t="str">
        <x:v>Client 06</x:v>
      </x:c>
      <x:c r="I52" s="16" t="n">
        <x:v>45957</x:v>
      </x:c>
      <x:c r="J52" t="n">
        <x:f>YEAR(B52)</x:f>
        <x:v>2025</x:v>
      </x:c>
      <x:c r="K52" s="20" t="n">
        <x:f>DATE(YEAR(B52),MONTH(B52),1)</x:f>
        <x:v>45870</x:v>
      </x:c>
      <x:c r="L52" s="18" t="n">
        <x:f>F52-G52</x:f>
        <x:v>0</x:v>
      </x:c>
      <x:c r="M52" t="str">
        <x:f>IF(L52&lt;=0,"Payée",IF(G52=0,"Impayée","Partielle"))</x:f>
        <x:v>Payée</x:v>
      </x:c>
      <x:c r="N52" t="n">
        <x:f>IF(I52="","",I52-B52)</x:f>
        <x:v>81</x:v>
      </x:c>
      <x:c r="O52" t="str">
        <x:f>IF(TRIM(C52)&lt;&gt;TRIM(H52),"Oui","Non")</x:f>
        <x:v>Non</x:v>
      </x:c>
      <x:c r="P52" t="str">
        <x:f>IFERROR(INDEX('02_REFERENTIEL_CLIENTS'!$B$2:$B$51,MATCH(TRIM(C52),'02_REFERENTIEL_CLIENTS'!$A$2:$A$51,0)),"Non trouvé")</x:f>
        <x:v>Particuliers</x:v>
      </x:c>
      <x:c r="Q52" t="str">
        <x:f>IFERROR(INDEX('02_REFERENTIEL_CLIENTS'!$C$2:$C$51,MATCH(TRIM(C52),'02_REFERENTIEL_CLIENTS'!$A$2:$A$51,0)),"Non trouvé")</x:f>
        <x:v>International</x:v>
      </x:c>
      <x:c r="R52" t="str">
        <x:f>IF(OR(F52&lt;=0,G52&lt;0,G52&gt;F52,N52&lt;0,P52="Non trouvé"),"À vérifier","OK")</x:f>
        <x:v>OK</x:v>
      </x:c>
    </x:row>
    <x:row r="53">
      <x:c r="A53" t="str">
        <x:v>DV-2025-00052</x:v>
      </x:c>
      <x:c r="B53" s="16" t="n">
        <x:v>45992</x:v>
      </x:c>
      <x:c r="C53" t="str">
        <x:v>Client 15</x:v>
      </x:c>
      <x:c r="D53" t="str">
        <x:v>Express</x:v>
      </x:c>
      <x:c r="E53" t="str">
        <x:v>Pôle B</x:v>
      </x:c>
      <x:c r="F53" s="18" t="n">
        <x:v>3868.05</x:v>
      </x:c>
      <x:c r="G53" s="18" t="n">
        <x:v>3868.05</x:v>
      </x:c>
      <x:c r="H53" t="str">
        <x:v>Client 15</x:v>
      </x:c>
      <x:c r="I53" s="16" t="n">
        <x:v>46054</x:v>
      </x:c>
      <x:c r="J53" t="n">
        <x:f>YEAR(B53)</x:f>
        <x:v>2025</x:v>
      </x:c>
      <x:c r="K53" s="20" t="n">
        <x:f>DATE(YEAR(B53),MONTH(B53),1)</x:f>
        <x:v>45992</x:v>
      </x:c>
      <x:c r="L53" s="18" t="n">
        <x:f>F53-G53</x:f>
        <x:v>0</x:v>
      </x:c>
      <x:c r="M53" t="str">
        <x:f>IF(L53&lt;=0,"Payée",IF(G53=0,"Impayée","Partielle"))</x:f>
        <x:v>Payée</x:v>
      </x:c>
      <x:c r="N53" t="n">
        <x:f>IF(I53="","",I53-B53)</x:f>
        <x:v>62</x:v>
      </x:c>
      <x:c r="O53" t="str">
        <x:f>IF(TRIM(C53)&lt;&gt;TRIM(H53),"Oui","Non")</x:f>
        <x:v>Non</x:v>
      </x:c>
      <x:c r="P53" t="str">
        <x:f>IFERROR(INDEX('02_REFERENTIEL_CLIENTS'!$B$2:$B$51,MATCH(TRIM(C53),'02_REFERENTIEL_CLIENTS'!$A$2:$A$51,0)),"Non trouvé")</x:f>
        <x:v>Particuliers</x:v>
      </x:c>
      <x:c r="Q53" t="str">
        <x:f>IFERROR(INDEX('02_REFERENTIEL_CLIENTS'!$C$2:$C$51,MATCH(TRIM(C53),'02_REFERENTIEL_CLIENTS'!$A$2:$A$51,0)),"Non trouvé")</x:f>
        <x:v>International</x:v>
      </x:c>
      <x:c r="R53" t="str">
        <x:f>IF(OR(F53&lt;=0,G53&lt;0,G53&gt;F53,N53&lt;0,P53="Non trouvé"),"À vérifier","OK")</x:f>
        <x:v>OK</x:v>
      </x:c>
    </x:row>
    <x:row r="54">
      <x:c r="A54" t="str">
        <x:v>DV-2025-00053</x:v>
      </x:c>
      <x:c r="B54" s="16" t="n">
        <x:v>45853</x:v>
      </x:c>
      <x:c r="C54" t="str">
        <x:v>Client 06</x:v>
      </x:c>
      <x:c r="D54" t="str">
        <x:v>Fret maritime</x:v>
      </x:c>
      <x:c r="E54" t="str">
        <x:v>Pôle D</x:v>
      </x:c>
      <x:c r="F54" s="18" t="n">
        <x:v>19398.36</x:v>
      </x:c>
      <x:c r="G54" s="18" t="n">
        <x:v>8577.64</x:v>
      </x:c>
      <x:c r="H54" t="str">
        <x:v>Client 06</x:v>
      </x:c>
      <x:c r="I54" s="16" t="n">
        <x:v>45866</x:v>
      </x:c>
      <x:c r="J54" t="n">
        <x:f>YEAR(B54)</x:f>
        <x:v>2025</x:v>
      </x:c>
      <x:c r="K54" s="20" t="n">
        <x:f>DATE(YEAR(B54),MONTH(B54),1)</x:f>
        <x:v>45839</x:v>
      </x:c>
      <x:c r="L54" s="18" t="n">
        <x:f>F54-G54</x:f>
        <x:v>10820.720000000001</x:v>
      </x:c>
      <x:c r="M54" t="str">
        <x:f>IF(L54&lt;=0,"Payée",IF(G54=0,"Impayée","Partielle"))</x:f>
        <x:v>Partielle</x:v>
      </x:c>
      <x:c r="N54" t="n">
        <x:f>IF(I54="","",I54-B54)</x:f>
        <x:v>13</x:v>
      </x:c>
      <x:c r="O54" t="str">
        <x:f>IF(TRIM(C54)&lt;&gt;TRIM(H54),"Oui","Non")</x:f>
        <x:v>Non</x:v>
      </x:c>
      <x:c r="P54" t="str">
        <x:f>IFERROR(INDEX('02_REFERENTIEL_CLIENTS'!$B$2:$B$51,MATCH(TRIM(C54),'02_REFERENTIEL_CLIENTS'!$A$2:$A$51,0)),"Non trouvé")</x:f>
        <x:v>Particuliers</x:v>
      </x:c>
      <x:c r="Q54" t="str">
        <x:f>IFERROR(INDEX('02_REFERENTIEL_CLIENTS'!$C$2:$C$51,MATCH(TRIM(C54),'02_REFERENTIEL_CLIENTS'!$A$2:$A$51,0)),"Non trouvé")</x:f>
        <x:v>International</x:v>
      </x:c>
      <x:c r="R54" t="str">
        <x:f>IF(OR(F54&lt;=0,G54&lt;0,G54&gt;F54,N54&lt;0,P54="Non trouvé"),"À vérifier","OK")</x:f>
        <x:v>OK</x:v>
      </x:c>
    </x:row>
    <x:row r="55">
      <x:c r="A55" t="str">
        <x:v>DV-2024-00054</x:v>
      </x:c>
      <x:c r="B55" s="16" t="n">
        <x:v>45373</x:v>
      </x:c>
      <x:c r="C55" t="str">
        <x:v>Client 39</x:v>
      </x:c>
      <x:c r="D55" t="str">
        <x:v>Logistique</x:v>
      </x:c>
      <x:c r="E55" t="str">
        <x:v>Pôle D</x:v>
      </x:c>
      <x:c r="F55" s="18" t="n">
        <x:v>20149.41</x:v>
      </x:c>
      <x:c r="G55" s="18" t="n">
        <x:v>20149.41</x:v>
      </x:c>
      <x:c r="H55" t="str">
        <x:v>Client 39</x:v>
      </x:c>
      <x:c r="I55" s="16" t="n">
        <x:v>45460</x:v>
      </x:c>
      <x:c r="J55" t="n">
        <x:f>YEAR(B55)</x:f>
        <x:v>2024</x:v>
      </x:c>
      <x:c r="K55" s="20" t="n">
        <x:f>DATE(YEAR(B55),MONTH(B55),1)</x:f>
        <x:v>45352</x:v>
      </x:c>
      <x:c r="L55" s="18" t="n">
        <x:f>F55-G55</x:f>
        <x:v>0</x:v>
      </x:c>
      <x:c r="M55" t="str">
        <x:f>IF(L55&lt;=0,"Payée",IF(G55=0,"Impayée","Partielle"))</x:f>
        <x:v>Payée</x:v>
      </x:c>
      <x:c r="N55" t="n">
        <x:f>IF(I55="","",I55-B55)</x:f>
        <x:v>87</x:v>
      </x:c>
      <x:c r="O55" t="str">
        <x:f>IF(TRIM(C55)&lt;&gt;TRIM(H55),"Oui","Non")</x:f>
        <x:v>Non</x:v>
      </x:c>
      <x:c r="P55" t="str">
        <x:f>IFERROR(INDEX('02_REFERENTIEL_CLIENTS'!$B$2:$B$51,MATCH(TRIM(C55),'02_REFERENTIEL_CLIENTS'!$A$2:$A$51,0)),"Non trouvé")</x:f>
        <x:v>Particuliers</x:v>
      </x:c>
      <x:c r="Q55" t="str">
        <x:f>IFERROR(INDEX('02_REFERENTIEL_CLIENTS'!$C$2:$C$51,MATCH(TRIM(C55),'02_REFERENTIEL_CLIENTS'!$A$2:$A$51,0)),"Non trouvé")</x:f>
        <x:v>International</x:v>
      </x:c>
      <x:c r="R55" t="str">
        <x:f>IF(OR(F55&lt;=0,G55&lt;0,G55&gt;F55,N55&lt;0,P55="Non trouvé"),"À vérifier","OK")</x:f>
        <x:v>OK</x:v>
      </x:c>
    </x:row>
    <x:row r="56">
      <x:c r="A56" t="str">
        <x:v>DV-2026-00055</x:v>
      </x:c>
      <x:c r="B56" s="16" t="n">
        <x:v>46231</x:v>
      </x:c>
      <x:c r="C56" t="str">
        <x:v>Client 03</x:v>
      </x:c>
      <x:c r="D56" t="str">
        <x:v>Fret maritime</x:v>
      </x:c>
      <x:c r="E56" t="str">
        <x:v>Pôle A</x:v>
      </x:c>
      <x:c r="F56" s="18" t="n">
        <x:v>10121.11</x:v>
      </x:c>
      <x:c r="G56" s="18" t="n">
        <x:v>10121.11</x:v>
      </x:c>
      <x:c r="H56" t="str">
        <x:v>Client 03</x:v>
      </x:c>
      <x:c r="I56" s="16" t="n">
        <x:v>46256</x:v>
      </x:c>
      <x:c r="J56" t="n">
        <x:f>YEAR(B56)</x:f>
        <x:v>2026</x:v>
      </x:c>
      <x:c r="K56" s="20" t="n">
        <x:f>DATE(YEAR(B56),MONTH(B56),1)</x:f>
        <x:v>46204</x:v>
      </x:c>
      <x:c r="L56" s="18" t="n">
        <x:f>F56-G56</x:f>
        <x:v>0</x:v>
      </x:c>
      <x:c r="M56" t="str">
        <x:f>IF(L56&lt;=0,"Payée",IF(G56=0,"Impayée","Partielle"))</x:f>
        <x:v>Payée</x:v>
      </x:c>
      <x:c r="N56" t="n">
        <x:f>IF(I56="","",I56-B56)</x:f>
        <x:v>25</x:v>
      </x:c>
      <x:c r="O56" t="str">
        <x:f>IF(TRIM(C56)&lt;&gt;TRIM(H56),"Oui","Non")</x:f>
        <x:v>Non</x:v>
      </x:c>
      <x:c r="P56" t="str">
        <x:f>IFERROR(INDEX('02_REFERENTIEL_CLIENTS'!$B$2:$B$51,MATCH(TRIM(C56),'02_REFERENTIEL_CLIENTS'!$A$2:$A$51,0)),"Non trouvé")</x:f>
        <x:v>Particuliers</x:v>
      </x:c>
      <x:c r="Q56" t="str">
        <x:f>IFERROR(INDEX('02_REFERENTIEL_CLIENTS'!$C$2:$C$51,MATCH(TRIM(C56),'02_REFERENTIEL_CLIENTS'!$A$2:$A$51,0)),"Non trouvé")</x:f>
        <x:v>International</x:v>
      </x:c>
      <x:c r="R56" t="str">
        <x:f>IF(OR(F56&lt;=0,G56&lt;0,G56&gt;F56,N56&lt;0,P56="Non trouvé"),"À vérifier","OK")</x:f>
        <x:v>OK</x:v>
      </x:c>
    </x:row>
    <x:row r="57">
      <x:c r="A57" t="str">
        <x:v>DV-2024-00056</x:v>
      </x:c>
      <x:c r="B57" s="16" t="n">
        <x:v>45604</x:v>
      </x:c>
      <x:c r="C57" t="str">
        <x:v>Client 38</x:v>
      </x:c>
      <x:c r="D57" t="str">
        <x:v>Fret aérien</x:v>
      </x:c>
      <x:c r="E57" t="str">
        <x:v>Pôle A</x:v>
      </x:c>
      <x:c r="F57" s="18" t="n">
        <x:v>9734.78</x:v>
      </x:c>
      <x:c r="G57" s="18" t="n">
        <x:v>0</x:v>
      </x:c>
      <x:c r="H57" t="str">
        <x:v>Client 38</x:v>
      </x:c>
      <x:c r="I57" s="16"/>
      <x:c r="J57" t="n">
        <x:f>YEAR(B57)</x:f>
        <x:v>2024</x:v>
      </x:c>
      <x:c r="K57" s="20" t="n">
        <x:f>DATE(YEAR(B57),MONTH(B57),1)</x:f>
        <x:v>45597</x:v>
      </x:c>
      <x:c r="L57" s="18" t="n">
        <x:f>F57-G57</x:f>
        <x:v>9734.78</x:v>
      </x:c>
      <x:c r="M57" t="str">
        <x:f>IF(L57&lt;=0,"Payée",IF(G57=0,"Impayée","Partielle"))</x:f>
        <x:v>Impayée</x:v>
      </x:c>
      <x:c r="N57" t="str">
        <x:f>IF(I57="","",I57-B57)</x:f>
      </x:c>
      <x:c r="O57" t="str">
        <x:f>IF(TRIM(C57)&lt;&gt;TRIM(H57),"Oui","Non")</x:f>
        <x:v>Non</x:v>
      </x:c>
      <x:c r="P57" t="str">
        <x:f>IFERROR(INDEX('02_REFERENTIEL_CLIENTS'!$B$2:$B$51,MATCH(TRIM(C57),'02_REFERENTIEL_CLIENTS'!$A$2:$A$51,0)),"Non trouvé")</x:f>
        <x:v>PME</x:v>
      </x:c>
      <x:c r="Q57" t="str">
        <x:f>IFERROR(INDEX('02_REFERENTIEL_CLIENTS'!$C$2:$C$51,MATCH(TRIM(C57),'02_REFERENTIEL_CLIENTS'!$A$2:$A$51,0)),"Non trouvé")</x:f>
        <x:v>Europe</x:v>
      </x:c>
      <x:c r="R57" t="str">
        <x:f>IF(OR(F57&lt;=0,G57&lt;0,G57&gt;F57,N57&lt;0,P57="Non trouvé"),"À vérifier","OK")</x:f>
        <x:v>OK</x:v>
      </x:c>
    </x:row>
    <x:row r="58">
      <x:c r="A58" t="str">
        <x:v>DV-2024-00057</x:v>
      </x:c>
      <x:c r="B58" s="16" t="n">
        <x:v>45583</x:v>
      </x:c>
      <x:c r="C58" t="str">
        <x:v>Client 35</x:v>
      </x:c>
      <x:c r="D58" t="str">
        <x:v>Fret aérien</x:v>
      </x:c>
      <x:c r="E58" t="str">
        <x:v>Pôle A</x:v>
      </x:c>
      <x:c r="F58" s="18" t="n">
        <x:v>2495.81</x:v>
      </x:c>
      <x:c r="G58" s="18" t="n">
        <x:v>2495.81</x:v>
      </x:c>
      <x:c r="H58" t="str">
        <x:v>Client 35</x:v>
      </x:c>
      <x:c r="I58" s="16" t="n">
        <x:v>45655</x:v>
      </x:c>
      <x:c r="J58" t="n">
        <x:f>YEAR(B58)</x:f>
        <x:v>2024</x:v>
      </x:c>
      <x:c r="K58" s="20" t="n">
        <x:f>DATE(YEAR(B58),MONTH(B58),1)</x:f>
        <x:v>45566</x:v>
      </x:c>
      <x:c r="L58" s="18" t="n">
        <x:f>F58-G58</x:f>
        <x:v>0</x:v>
      </x:c>
      <x:c r="M58" t="str">
        <x:f>IF(L58&lt;=0,"Payée",IF(G58=0,"Impayée","Partielle"))</x:f>
        <x:v>Payée</x:v>
      </x:c>
      <x:c r="N58" t="n">
        <x:f>IF(I58="","",I58-B58)</x:f>
        <x:v>72</x:v>
      </x:c>
      <x:c r="O58" t="str">
        <x:f>IF(TRIM(C58)&lt;&gt;TRIM(H58),"Oui","Non")</x:f>
        <x:v>Non</x:v>
      </x:c>
      <x:c r="P58" t="str">
        <x:f>IFERROR(INDEX('02_REFERENTIEL_CLIENTS'!$B$2:$B$51,MATCH(TRIM(C58),'02_REFERENTIEL_CLIENTS'!$A$2:$A$51,0)),"Non trouvé")</x:f>
        <x:v>PME</x:v>
      </x:c>
      <x:c r="Q58" t="str">
        <x:f>IFERROR(INDEX('02_REFERENTIEL_CLIENTS'!$C$2:$C$51,MATCH(TRIM(C58),'02_REFERENTIEL_CLIENTS'!$A$2:$A$51,0)),"Non trouvé")</x:f>
        <x:v>Europe</x:v>
      </x:c>
      <x:c r="R58" t="str">
        <x:f>IF(OR(F58&lt;=0,G58&lt;0,G58&gt;F58,N58&lt;0,P58="Non trouvé"),"À vérifier","OK")</x:f>
        <x:v>OK</x:v>
      </x:c>
    </x:row>
    <x:row r="59">
      <x:c r="A59" t="str">
        <x:v>DV-2025-00058</x:v>
      </x:c>
      <x:c r="B59" s="16" t="n">
        <x:v>45747</x:v>
      </x:c>
      <x:c r="C59" t="str">
        <x:v>Client 29</x:v>
      </x:c>
      <x:c r="D59" t="str">
        <x:v>Douane</x:v>
      </x:c>
      <x:c r="E59" t="str">
        <x:v>Pôle A</x:v>
      </x:c>
      <x:c r="F59" s="18" t="n">
        <x:v>4435.92</x:v>
      </x:c>
      <x:c r="G59" s="18" t="n">
        <x:v>2093.73</x:v>
      </x:c>
      <x:c r="H59" t="str">
        <x:v>Client 29</x:v>
      </x:c>
      <x:c r="I59" s="16" t="n">
        <x:v>45761</x:v>
      </x:c>
      <x:c r="J59" t="n">
        <x:f>YEAR(B59)</x:f>
        <x:v>2025</x:v>
      </x:c>
      <x:c r="K59" s="20" t="n">
        <x:f>DATE(YEAR(B59),MONTH(B59),1)</x:f>
        <x:v>45717</x:v>
      </x:c>
      <x:c r="L59" s="18" t="n">
        <x:f>F59-G59</x:f>
        <x:v>2342.19</x:v>
      </x:c>
      <x:c r="M59" t="str">
        <x:f>IF(L59&lt;=0,"Payée",IF(G59=0,"Impayée","Partielle"))</x:f>
        <x:v>Partielle</x:v>
      </x:c>
      <x:c r="N59" t="n">
        <x:f>IF(I59="","",I59-B59)</x:f>
        <x:v>14</x:v>
      </x:c>
      <x:c r="O59" t="str">
        <x:f>IF(TRIM(C59)&lt;&gt;TRIM(H59),"Oui","Non")</x:f>
        <x:v>Non</x:v>
      </x:c>
      <x:c r="P59" t="str">
        <x:f>IFERROR(INDEX('02_REFERENTIEL_CLIENTS'!$B$2:$B$51,MATCH(TRIM(C59),'02_REFERENTIEL_CLIENTS'!$A$2:$A$51,0)),"Non trouvé")</x:f>
        <x:v>PME</x:v>
      </x:c>
      <x:c r="Q59" t="str">
        <x:f>IFERROR(INDEX('02_REFERENTIEL_CLIENTS'!$C$2:$C$51,MATCH(TRIM(C59),'02_REFERENTIEL_CLIENTS'!$A$2:$A$51,0)),"Non trouvé")</x:f>
        <x:v>Europe</x:v>
      </x:c>
      <x:c r="R59" t="str">
        <x:f>IF(OR(F59&lt;=0,G59&lt;0,G59&gt;F59,N59&lt;0,P59="Non trouvé"),"À vérifier","OK")</x:f>
        <x:v>OK</x:v>
      </x:c>
    </x:row>
    <x:row r="60">
      <x:c r="A60" t="str">
        <x:v>DV-2024-00059</x:v>
      </x:c>
      <x:c r="B60" s="16" t="n">
        <x:v>45491</x:v>
      </x:c>
      <x:c r="C60" t="str">
        <x:v>Client 38</x:v>
      </x:c>
      <x:c r="D60" t="str">
        <x:v>Fret maritime</x:v>
      </x:c>
      <x:c r="E60" t="str">
        <x:v>Pôle D</x:v>
      </x:c>
      <x:c r="F60" s="18" t="n">
        <x:v>16496.39</x:v>
      </x:c>
      <x:c r="G60" s="18" t="n">
        <x:v>16496.39</x:v>
      </x:c>
      <x:c r="H60" t="str">
        <x:v>Client 38</x:v>
      </x:c>
      <x:c r="I60" s="16" t="n">
        <x:v>45543</x:v>
      </x:c>
      <x:c r="J60" t="n">
        <x:f>YEAR(B60)</x:f>
        <x:v>2024</x:v>
      </x:c>
      <x:c r="K60" s="20" t="n">
        <x:f>DATE(YEAR(B60),MONTH(B60),1)</x:f>
        <x:v>45474</x:v>
      </x:c>
      <x:c r="L60" s="18" t="n">
        <x:f>F60-G60</x:f>
        <x:v>0</x:v>
      </x:c>
      <x:c r="M60" t="str">
        <x:f>IF(L60&lt;=0,"Payée",IF(G60=0,"Impayée","Partielle"))</x:f>
        <x:v>Payée</x:v>
      </x:c>
      <x:c r="N60" t="n">
        <x:f>IF(I60="","",I60-B60)</x:f>
        <x:v>52</x:v>
      </x:c>
      <x:c r="O60" t="str">
        <x:f>IF(TRIM(C60)&lt;&gt;TRIM(H60),"Oui","Non")</x:f>
        <x:v>Non</x:v>
      </x:c>
      <x:c r="P60" t="str">
        <x:f>IFERROR(INDEX('02_REFERENTIEL_CLIENTS'!$B$2:$B$51,MATCH(TRIM(C60),'02_REFERENTIEL_CLIENTS'!$A$2:$A$51,0)),"Non trouvé")</x:f>
        <x:v>PME</x:v>
      </x:c>
      <x:c r="Q60" t="str">
        <x:f>IFERROR(INDEX('02_REFERENTIEL_CLIENTS'!$C$2:$C$51,MATCH(TRIM(C60),'02_REFERENTIEL_CLIENTS'!$A$2:$A$51,0)),"Non trouvé")</x:f>
        <x:v>Europe</x:v>
      </x:c>
      <x:c r="R60" t="str">
        <x:f>IF(OR(F60&lt;=0,G60&lt;0,G60&gt;F60,N60&lt;0,P60="Non trouvé"),"À vérifier","OK")</x:f>
        <x:v>OK</x:v>
      </x:c>
    </x:row>
    <x:row r="61">
      <x:c r="A61" t="str">
        <x:v>DV-2025-00060</x:v>
      </x:c>
      <x:c r="B61" s="16" t="n">
        <x:v>45755</x:v>
      </x:c>
      <x:c r="C61" t="str">
        <x:v>Client 08</x:v>
      </x:c>
      <x:c r="D61" t="str">
        <x:v>Express</x:v>
      </x:c>
      <x:c r="E61" t="str">
        <x:v>Pôle E</x:v>
      </x:c>
      <x:c r="F61" s="18" t="n">
        <x:v>537.82</x:v>
      </x:c>
      <x:c r="G61" s="18" t="n">
        <x:v>537.82</x:v>
      </x:c>
      <x:c r="H61" t="str">
        <x:v>Client 08</x:v>
      </x:c>
      <x:c r="I61" s="16" t="n">
        <x:v>45838</x:v>
      </x:c>
      <x:c r="J61" t="n">
        <x:f>YEAR(B61)</x:f>
        <x:v>2025</x:v>
      </x:c>
      <x:c r="K61" s="20" t="n">
        <x:f>DATE(YEAR(B61),MONTH(B61),1)</x:f>
        <x:v>45748</x:v>
      </x:c>
      <x:c r="L61" s="18" t="n">
        <x:f>F61-G61</x:f>
        <x:v>0</x:v>
      </x:c>
      <x:c r="M61" t="str">
        <x:f>IF(L61&lt;=0,"Payée",IF(G61=0,"Impayée","Partielle"))</x:f>
        <x:v>Payée</x:v>
      </x:c>
      <x:c r="N61" t="n">
        <x:f>IF(I61="","",I61-B61)</x:f>
        <x:v>83</x:v>
      </x:c>
      <x:c r="O61" t="str">
        <x:f>IF(TRIM(C61)&lt;&gt;TRIM(H61),"Oui","Non")</x:f>
        <x:v>Non</x:v>
      </x:c>
      <x:c r="P61" t="str">
        <x:f>IFERROR(INDEX('02_REFERENTIEL_CLIENTS'!$B$2:$B$51,MATCH(TRIM(C61),'02_REFERENTIEL_CLIENTS'!$A$2:$A$51,0)),"Non trouvé")</x:f>
        <x:v>PME</x:v>
      </x:c>
      <x:c r="Q61" t="str">
        <x:f>IFERROR(INDEX('02_REFERENTIEL_CLIENTS'!$C$2:$C$51,MATCH(TRIM(C61),'02_REFERENTIEL_CLIENTS'!$A$2:$A$51,0)),"Non trouvé")</x:f>
        <x:v>Europe</x:v>
      </x:c>
      <x:c r="R61" t="str">
        <x:f>IF(OR(F61&lt;=0,G61&lt;0,G61&gt;F61,N61&lt;0,P61="Non trouvé"),"À vérifier","OK")</x:f>
        <x:v>OK</x:v>
      </x:c>
    </x:row>
    <x:row r="62">
      <x:c r="A62" t="str">
        <x:v>DV-2025-00061</x:v>
      </x:c>
      <x:c r="B62" s="16" t="n">
        <x:v>45840</x:v>
      </x:c>
      <x:c r="C62" t="str">
        <x:v>Client 05</x:v>
      </x:c>
      <x:c r="D62" t="str">
        <x:v>Douane</x:v>
      </x:c>
      <x:c r="E62" t="str">
        <x:v>Pôle E</x:v>
      </x:c>
      <x:c r="F62" s="18" t="n">
        <x:v>20486.97</x:v>
      </x:c>
      <x:c r="G62" s="18" t="n">
        <x:v>20486.97</x:v>
      </x:c>
      <x:c r="H62" t="str">
        <x:v>Client 05</x:v>
      </x:c>
      <x:c r="I62" s="16" t="n">
        <x:v>45864</x:v>
      </x:c>
      <x:c r="J62" t="n">
        <x:f>YEAR(B62)</x:f>
        <x:v>2025</x:v>
      </x:c>
      <x:c r="K62" s="20" t="n">
        <x:f>DATE(YEAR(B62),MONTH(B62),1)</x:f>
        <x:v>45839</x:v>
      </x:c>
      <x:c r="L62" s="18" t="n">
        <x:f>F62-G62</x:f>
        <x:v>0</x:v>
      </x:c>
      <x:c r="M62" t="str">
        <x:f>IF(L62&lt;=0,"Payée",IF(G62=0,"Impayée","Partielle"))</x:f>
        <x:v>Payée</x:v>
      </x:c>
      <x:c r="N62" t="n">
        <x:f>IF(I62="","",I62-B62)</x:f>
        <x:v>24</x:v>
      </x:c>
      <x:c r="O62" t="str">
        <x:f>IF(TRIM(C62)&lt;&gt;TRIM(H62),"Oui","Non")</x:f>
        <x:v>Non</x:v>
      </x:c>
      <x:c r="P62" t="str">
        <x:f>IFERROR(INDEX('02_REFERENTIEL_CLIENTS'!$B$2:$B$51,MATCH(TRIM(C62),'02_REFERENTIEL_CLIENTS'!$A$2:$A$51,0)),"Non trouvé")</x:f>
        <x:v>PME</x:v>
      </x:c>
      <x:c r="Q62" t="str">
        <x:f>IFERROR(INDEX('02_REFERENTIEL_CLIENTS'!$C$2:$C$51,MATCH(TRIM(C62),'02_REFERENTIEL_CLIENTS'!$A$2:$A$51,0)),"Non trouvé")</x:f>
        <x:v>Europe</x:v>
      </x:c>
      <x:c r="R62" t="str">
        <x:f>IF(OR(F62&lt;=0,G62&lt;0,G62&gt;F62,N62&lt;0,P62="Non trouvé"),"À vérifier","OK")</x:f>
        <x:v>OK</x:v>
      </x:c>
    </x:row>
    <x:row r="63">
      <x:c r="A63" t="str">
        <x:v>DV-2026-00062</x:v>
      </x:c>
      <x:c r="B63" s="16" t="n">
        <x:v>46101</x:v>
      </x:c>
      <x:c r="C63" t="str">
        <x:v>Client 26</x:v>
      </x:c>
      <x:c r="D63" t="str">
        <x:v>Logistique</x:v>
      </x:c>
      <x:c r="E63" t="str">
        <x:v>Pôle E</x:v>
      </x:c>
      <x:c r="F63" s="18" t="n">
        <x:v>23830.9</x:v>
      </x:c>
      <x:c r="G63" s="18" t="n">
        <x:v>23830.9</x:v>
      </x:c>
      <x:c r="H63" t="str">
        <x:v>Client 26</x:v>
      </x:c>
      <x:c r="I63" s="16" t="n">
        <x:v>46148</x:v>
      </x:c>
      <x:c r="J63" t="n">
        <x:f>YEAR(B63)</x:f>
        <x:v>2026</x:v>
      </x:c>
      <x:c r="K63" s="20" t="n">
        <x:f>DATE(YEAR(B63),MONTH(B63),1)</x:f>
        <x:v>46082</x:v>
      </x:c>
      <x:c r="L63" s="18" t="n">
        <x:f>F63-G63</x:f>
        <x:v>0</x:v>
      </x:c>
      <x:c r="M63" t="str">
        <x:f>IF(L63&lt;=0,"Payée",IF(G63=0,"Impayée","Partielle"))</x:f>
        <x:v>Payée</x:v>
      </x:c>
      <x:c r="N63" t="n">
        <x:f>IF(I63="","",I63-B63)</x:f>
        <x:v>47</x:v>
      </x:c>
      <x:c r="O63" t="str">
        <x:f>IF(TRIM(C63)&lt;&gt;TRIM(H63),"Oui","Non")</x:f>
        <x:v>Non</x:v>
      </x:c>
      <x:c r="P63" t="str">
        <x:f>IFERROR(INDEX('02_REFERENTIEL_CLIENTS'!$B$2:$B$51,MATCH(TRIM(C63),'02_REFERENTIEL_CLIENTS'!$A$2:$A$51,0)),"Non trouvé")</x:f>
        <x:v>PME</x:v>
      </x:c>
      <x:c r="Q63" t="str">
        <x:f>IFERROR(INDEX('02_REFERENTIEL_CLIENTS'!$C$2:$C$51,MATCH(TRIM(C63),'02_REFERENTIEL_CLIENTS'!$A$2:$A$51,0)),"Non trouvé")</x:f>
        <x:v>Europe</x:v>
      </x:c>
      <x:c r="R63" t="str">
        <x:f>IF(OR(F63&lt;=0,G63&lt;0,G63&gt;F63,N63&lt;0,P63="Non trouvé"),"À vérifier","OK")</x:f>
        <x:v>OK</x:v>
      </x:c>
    </x:row>
    <x:row r="64">
      <x:c r="A64" t="str">
        <x:v>DV-2024-00063</x:v>
      </x:c>
      <x:c r="B64" s="16" t="n">
        <x:v>45451</x:v>
      </x:c>
      <x:c r="C64" t="str">
        <x:v>Client 28</x:v>
      </x:c>
      <x:c r="D64" t="str">
        <x:v>Douane</x:v>
      </x:c>
      <x:c r="E64" t="str">
        <x:v>Pôle D</x:v>
      </x:c>
      <x:c r="F64" s="18" t="n">
        <x:v>22214.01</x:v>
      </x:c>
      <x:c r="G64" s="18" t="n">
        <x:v>22214.01</x:v>
      </x:c>
      <x:c r="H64" t="str">
        <x:v>Client 10</x:v>
      </x:c>
      <x:c r="I64" s="16" t="n">
        <x:v>45462</x:v>
      </x:c>
      <x:c r="J64" t="n">
        <x:f>YEAR(B64)</x:f>
        <x:v>2024</x:v>
      </x:c>
      <x:c r="K64" s="20" t="n">
        <x:f>DATE(YEAR(B64),MONTH(B64),1)</x:f>
        <x:v>45444</x:v>
      </x:c>
      <x:c r="L64" s="18" t="n">
        <x:f>F64-G64</x:f>
        <x:v>0</x:v>
      </x:c>
      <x:c r="M64" t="str">
        <x:f>IF(L64&lt;=0,"Payée",IF(G64=0,"Impayée","Partielle"))</x:f>
        <x:v>Payée</x:v>
      </x:c>
      <x:c r="N64" t="n">
        <x:f>IF(I64="","",I64-B64)</x:f>
        <x:v>11</x:v>
      </x:c>
      <x:c r="O64" t="str">
        <x:f>IF(TRIM(C64)&lt;&gt;TRIM(H64),"Oui","Non")</x:f>
        <x:v>Oui</x:v>
      </x:c>
      <x:c r="P64" t="str">
        <x:f>IFERROR(INDEX('02_REFERENTIEL_CLIENTS'!$B$2:$B$51,MATCH(TRIM(C64),'02_REFERENTIEL_CLIENTS'!$A$2:$A$51,0)),"Non trouvé")</x:f>
        <x:v>Grands comptes</x:v>
      </x:c>
      <x:c r="Q64" t="str">
        <x:f>IFERROR(INDEX('02_REFERENTIEL_CLIENTS'!$C$2:$C$51,MATCH(TRIM(C64),'02_REFERENTIEL_CLIENTS'!$A$2:$A$51,0)),"Non trouvé")</x:f>
        <x:v>France</x:v>
      </x:c>
      <x:c r="R64" t="str">
        <x:f>IF(OR(F64&lt;=0,G64&lt;0,G64&gt;F64,N64&lt;0,P64="Non trouvé"),"À vérifier","OK")</x:f>
        <x:v>OK</x:v>
      </x:c>
    </x:row>
    <x:row r="65">
      <x:c r="A65" t="str">
        <x:v>DV-2024-00064</x:v>
      </x:c>
      <x:c r="B65" s="16" t="n">
        <x:v>45525</x:v>
      </x:c>
      <x:c r="C65" t="str">
        <x:v>Client 04</x:v>
      </x:c>
      <x:c r="D65" t="str">
        <x:v>Fret aérien</x:v>
      </x:c>
      <x:c r="E65" t="str">
        <x:v>Pôle C</x:v>
      </x:c>
      <x:c r="F65" s="18" t="n">
        <x:v>10436.68</x:v>
      </x:c>
      <x:c r="G65" s="18" t="n">
        <x:v>10436.68</x:v>
      </x:c>
      <x:c r="H65" t="str">
        <x:v>Client 04</x:v>
      </x:c>
      <x:c r="I65" s="16" t="n">
        <x:v>45591</x:v>
      </x:c>
      <x:c r="J65" t="n">
        <x:f>YEAR(B65)</x:f>
        <x:v>2024</x:v>
      </x:c>
      <x:c r="K65" s="20" t="n">
        <x:f>DATE(YEAR(B65),MONTH(B65),1)</x:f>
        <x:v>45505</x:v>
      </x:c>
      <x:c r="L65" s="18" t="n">
        <x:f>F65-G65</x:f>
        <x:v>0</x:v>
      </x:c>
      <x:c r="M65" t="str">
        <x:f>IF(L65&lt;=0,"Payée",IF(G65=0,"Impayée","Partielle"))</x:f>
        <x:v>Payée</x:v>
      </x:c>
      <x:c r="N65" t="n">
        <x:f>IF(I65="","",I65-B65)</x:f>
        <x:v>66</x:v>
      </x:c>
      <x:c r="O65" t="str">
        <x:f>IF(TRIM(C65)&lt;&gt;TRIM(H65),"Oui","Non")</x:f>
        <x:v>Non</x:v>
      </x:c>
      <x:c r="P65" t="str">
        <x:f>IFERROR(INDEX('02_REFERENTIEL_CLIENTS'!$B$2:$B$51,MATCH(TRIM(C65),'02_REFERENTIEL_CLIENTS'!$A$2:$A$51,0)),"Non trouvé")</x:f>
        <x:v>Grands comptes</x:v>
      </x:c>
      <x:c r="Q65" t="str">
        <x:f>IFERROR(INDEX('02_REFERENTIEL_CLIENTS'!$C$2:$C$51,MATCH(TRIM(C65),'02_REFERENTIEL_CLIENTS'!$A$2:$A$51,0)),"Non trouvé")</x:f>
        <x:v>France</x:v>
      </x:c>
      <x:c r="R65" t="str">
        <x:f>IF(OR(F65&lt;=0,G65&lt;0,G65&gt;F65,N65&lt;0,P65="Non trouvé"),"À vérifier","OK")</x:f>
        <x:v>OK</x:v>
      </x:c>
    </x:row>
    <x:row r="66">
      <x:c r="A66" t="str">
        <x:v>DV-2024-00065</x:v>
      </x:c>
      <x:c r="B66" s="16" t="n">
        <x:v>45638</x:v>
      </x:c>
      <x:c r="C66" t="str">
        <x:v>Client 49</x:v>
      </x:c>
      <x:c r="D66" t="str">
        <x:v>Fret aérien</x:v>
      </x:c>
      <x:c r="E66" t="str">
        <x:v>Pôle A</x:v>
      </x:c>
      <x:c r="F66" s="18" t="n">
        <x:v>6873.66</x:v>
      </x:c>
      <x:c r="G66" s="18" t="n">
        <x:v>6873.66</x:v>
      </x:c>
      <x:c r="H66" t="str">
        <x:v>Client 49</x:v>
      </x:c>
      <x:c r="I66" s="16" t="n">
        <x:v>45703</x:v>
      </x:c>
      <x:c r="J66" t="n">
        <x:f>YEAR(B66)</x:f>
        <x:v>2024</x:v>
      </x:c>
      <x:c r="K66" s="20" t="n">
        <x:f>DATE(YEAR(B66),MONTH(B66),1)</x:f>
        <x:v>45627</x:v>
      </x:c>
      <x:c r="L66" s="18" t="n">
        <x:f>F66-G66</x:f>
        <x:v>0</x:v>
      </x:c>
      <x:c r="M66" t="str">
        <x:f>IF(L66&lt;=0,"Payée",IF(G66=0,"Impayée","Partielle"))</x:f>
        <x:v>Payée</x:v>
      </x:c>
      <x:c r="N66" t="n">
        <x:f>IF(I66="","",I66-B66)</x:f>
        <x:v>65</x:v>
      </x:c>
      <x:c r="O66" t="str">
        <x:f>IF(TRIM(C66)&lt;&gt;TRIM(H66),"Oui","Non")</x:f>
        <x:v>Non</x:v>
      </x:c>
      <x:c r="P66" t="str">
        <x:f>IFERROR(INDEX('02_REFERENTIEL_CLIENTS'!$B$2:$B$51,MATCH(TRIM(C66),'02_REFERENTIEL_CLIENTS'!$A$2:$A$51,0)),"Non trouvé")</x:f>
        <x:v>Grands comptes</x:v>
      </x:c>
      <x:c r="Q66" t="str">
        <x:f>IFERROR(INDEX('02_REFERENTIEL_CLIENTS'!$C$2:$C$51,MATCH(TRIM(C66),'02_REFERENTIEL_CLIENTS'!$A$2:$A$51,0)),"Non trouvé")</x:f>
        <x:v>France</x:v>
      </x:c>
      <x:c r="R66" t="str">
        <x:f>IF(OR(F66&lt;=0,G66&lt;0,G66&gt;F66,N66&lt;0,P66="Non trouvé"),"À vérifier","OK")</x:f>
        <x:v>OK</x:v>
      </x:c>
    </x:row>
    <x:row r="67">
      <x:c r="A67" t="str">
        <x:v>DV-2025-00066</x:v>
      </x:c>
      <x:c r="B67" s="16" t="n">
        <x:v>45925</x:v>
      </x:c>
      <x:c r="C67" t="str">
        <x:v>Client 44</x:v>
      </x:c>
      <x:c r="D67" t="str">
        <x:v>Express</x:v>
      </x:c>
      <x:c r="E67" t="str">
        <x:v>Pôle A</x:v>
      </x:c>
      <x:c r="F67" s="18" t="n">
        <x:v>22103.98</x:v>
      </x:c>
      <x:c r="G67" s="18" t="n">
        <x:v>22103.98</x:v>
      </x:c>
      <x:c r="H67" t="str">
        <x:v>Client 44</x:v>
      </x:c>
      <x:c r="I67" s="16" t="n">
        <x:v>45934</x:v>
      </x:c>
      <x:c r="J67" t="n">
        <x:f>YEAR(B67)</x:f>
        <x:v>2025</x:v>
      </x:c>
      <x:c r="K67" s="20" t="n">
        <x:f>DATE(YEAR(B67),MONTH(B67),1)</x:f>
        <x:v>45901</x:v>
      </x:c>
      <x:c r="L67" s="18" t="n">
        <x:f>F67-G67</x:f>
        <x:v>0</x:v>
      </x:c>
      <x:c r="M67" t="str">
        <x:f>IF(L67&lt;=0,"Payée",IF(G67=0,"Impayée","Partielle"))</x:f>
        <x:v>Payée</x:v>
      </x:c>
      <x:c r="N67" t="n">
        <x:f>IF(I67="","",I67-B67)</x:f>
        <x:v>9</x:v>
      </x:c>
      <x:c r="O67" t="str">
        <x:f>IF(TRIM(C67)&lt;&gt;TRIM(H67),"Oui","Non")</x:f>
        <x:v>Non</x:v>
      </x:c>
      <x:c r="P67" t="str">
        <x:f>IFERROR(INDEX('02_REFERENTIEL_CLIENTS'!$B$2:$B$51,MATCH(TRIM(C67),'02_REFERENTIEL_CLIENTS'!$A$2:$A$51,0)),"Non trouvé")</x:f>
        <x:v>PME</x:v>
      </x:c>
      <x:c r="Q67" t="str">
        <x:f>IFERROR(INDEX('02_REFERENTIEL_CLIENTS'!$C$2:$C$51,MATCH(TRIM(C67),'02_REFERENTIEL_CLIENTS'!$A$2:$A$51,0)),"Non trouvé")</x:f>
        <x:v>Europe</x:v>
      </x:c>
      <x:c r="R67" t="str">
        <x:f>IF(OR(F67&lt;=0,G67&lt;0,G67&gt;F67,N67&lt;0,P67="Non trouvé"),"À vérifier","OK")</x:f>
        <x:v>OK</x:v>
      </x:c>
    </x:row>
    <x:row r="68">
      <x:c r="A68" t="str">
        <x:v>DV-2026-00067</x:v>
      </x:c>
      <x:c r="B68" s="16" t="n">
        <x:v>46094</x:v>
      </x:c>
      <x:c r="C68" t="str">
        <x:v>Client 15</x:v>
      </x:c>
      <x:c r="D68" t="str">
        <x:v>Douane</x:v>
      </x:c>
      <x:c r="E68" t="str">
        <x:v>Pôle B</x:v>
      </x:c>
      <x:c r="F68" s="18" t="n">
        <x:v>23653.55</x:v>
      </x:c>
      <x:c r="G68" s="18" t="n">
        <x:v>20557.98</x:v>
      </x:c>
      <x:c r="H68" t="str">
        <x:v>Client 15</x:v>
      </x:c>
      <x:c r="I68" s="16" t="n">
        <x:v>46117</x:v>
      </x:c>
      <x:c r="J68" t="n">
        <x:f>YEAR(B68)</x:f>
        <x:v>2026</x:v>
      </x:c>
      <x:c r="K68" s="20" t="n">
        <x:f>DATE(YEAR(B68),MONTH(B68),1)</x:f>
        <x:v>46082</x:v>
      </x:c>
      <x:c r="L68" s="18" t="n">
        <x:f>F68-G68</x:f>
        <x:v>3095.5699999999997</x:v>
      </x:c>
      <x:c r="M68" t="str">
        <x:f>IF(L68&lt;=0,"Payée",IF(G68=0,"Impayée","Partielle"))</x:f>
        <x:v>Partielle</x:v>
      </x:c>
      <x:c r="N68" t="n">
        <x:f>IF(I68="","",I68-B68)</x:f>
        <x:v>23</x:v>
      </x:c>
      <x:c r="O68" t="str">
        <x:f>IF(TRIM(C68)&lt;&gt;TRIM(H68),"Oui","Non")</x:f>
        <x:v>Non</x:v>
      </x:c>
      <x:c r="P68" t="str">
        <x:f>IFERROR(INDEX('02_REFERENTIEL_CLIENTS'!$B$2:$B$51,MATCH(TRIM(C68),'02_REFERENTIEL_CLIENTS'!$A$2:$A$51,0)),"Non trouvé")</x:f>
        <x:v>Particuliers</x:v>
      </x:c>
      <x:c r="Q68" t="str">
        <x:f>IFERROR(INDEX('02_REFERENTIEL_CLIENTS'!$C$2:$C$51,MATCH(TRIM(C68),'02_REFERENTIEL_CLIENTS'!$A$2:$A$51,0)),"Non trouvé")</x:f>
        <x:v>International</x:v>
      </x:c>
      <x:c r="R68" t="str">
        <x:f>IF(OR(F68&lt;=0,G68&lt;0,G68&gt;F68,N68&lt;0,P68="Non trouvé"),"À vérifier","OK")</x:f>
        <x:v>OK</x:v>
      </x:c>
    </x:row>
    <x:row r="69">
      <x:c r="A69" t="str">
        <x:v>DV-2025-00068</x:v>
      </x:c>
      <x:c r="B69" s="16" t="n">
        <x:v>45957</x:v>
      </x:c>
      <x:c r="C69" t="str">
        <x:v>Client 10</x:v>
      </x:c>
      <x:c r="D69" t="str">
        <x:v>Douane</x:v>
      </x:c>
      <x:c r="E69" t="str">
        <x:v>Pôle B</x:v>
      </x:c>
      <x:c r="F69" s="18" t="n">
        <x:v>2186.97</x:v>
      </x:c>
      <x:c r="G69" s="18" t="n">
        <x:v>2186.97</x:v>
      </x:c>
      <x:c r="H69" t="str">
        <x:v>Client 13</x:v>
      </x:c>
      <x:c r="I69" s="16" t="n">
        <x:v>45980</x:v>
      </x:c>
      <x:c r="J69" t="n">
        <x:f>YEAR(B69)</x:f>
        <x:v>2025</x:v>
      </x:c>
      <x:c r="K69" s="20" t="n">
        <x:f>DATE(YEAR(B69),MONTH(B69),1)</x:f>
        <x:v>45931</x:v>
      </x:c>
      <x:c r="L69" s="18" t="n">
        <x:f>F69-G69</x:f>
        <x:v>0</x:v>
      </x:c>
      <x:c r="M69" t="str">
        <x:f>IF(L69&lt;=0,"Payée",IF(G69=0,"Impayée","Partielle"))</x:f>
        <x:v>Payée</x:v>
      </x:c>
      <x:c r="N69" t="n">
        <x:f>IF(I69="","",I69-B69)</x:f>
        <x:v>23</x:v>
      </x:c>
      <x:c r="O69" t="str">
        <x:f>IF(TRIM(C69)&lt;&gt;TRIM(H69),"Oui","Non")</x:f>
        <x:v>Oui</x:v>
      </x:c>
      <x:c r="P69" t="str">
        <x:f>IFERROR(INDEX('02_REFERENTIEL_CLIENTS'!$B$2:$B$51,MATCH(TRIM(C69),'02_REFERENTIEL_CLIENTS'!$A$2:$A$51,0)),"Non trouvé")</x:f>
        <x:v>Grands comptes</x:v>
      </x:c>
      <x:c r="Q69" t="str">
        <x:f>IFERROR(INDEX('02_REFERENTIEL_CLIENTS'!$C$2:$C$51,MATCH(TRIM(C69),'02_REFERENTIEL_CLIENTS'!$A$2:$A$51,0)),"Non trouvé")</x:f>
        <x:v>France</x:v>
      </x:c>
      <x:c r="R69" t="str">
        <x:f>IF(OR(F69&lt;=0,G69&lt;0,G69&gt;F69,N69&lt;0,P69="Non trouvé"),"À vérifier","OK")</x:f>
        <x:v>OK</x:v>
      </x:c>
    </x:row>
    <x:row r="70">
      <x:c r="A70" t="str">
        <x:v>DV-2026-00069</x:v>
      </x:c>
      <x:c r="B70" s="16" t="n">
        <x:v>46240</x:v>
      </x:c>
      <x:c r="C70" t="str">
        <x:v>Client 12</x:v>
      </x:c>
      <x:c r="D70" t="str">
        <x:v>Logistique</x:v>
      </x:c>
      <x:c r="E70" t="str">
        <x:v>Pôle D</x:v>
      </x:c>
      <x:c r="F70" s="18" t="n">
        <x:v>1241.96</x:v>
      </x:c>
      <x:c r="G70" s="18" t="n">
        <x:v>0</x:v>
      </x:c>
      <x:c r="H70" t="str">
        <x:v>Client 12</x:v>
      </x:c>
      <x:c r="I70" s="16"/>
      <x:c r="J70" t="n">
        <x:f>YEAR(B70)</x:f>
        <x:v>2026</x:v>
      </x:c>
      <x:c r="K70" s="20" t="n">
        <x:f>DATE(YEAR(B70),MONTH(B70),1)</x:f>
        <x:v>46235</x:v>
      </x:c>
      <x:c r="L70" s="18" t="n">
        <x:f>F70-G70</x:f>
        <x:v>1241.96</x:v>
      </x:c>
      <x:c r="M70" t="str">
        <x:f>IF(L70&lt;=0,"Payée",IF(G70=0,"Impayée","Partielle"))</x:f>
        <x:v>Impayée</x:v>
      </x:c>
      <x:c r="N70" t="str">
        <x:f>IF(I70="","",I70-B70)</x:f>
      </x:c>
      <x:c r="O70" t="str">
        <x:f>IF(TRIM(C70)&lt;&gt;TRIM(H70),"Oui","Non")</x:f>
        <x:v>Non</x:v>
      </x:c>
      <x:c r="P70" t="str">
        <x:f>IFERROR(INDEX('02_REFERENTIEL_CLIENTS'!$B$2:$B$51,MATCH(TRIM(C70),'02_REFERENTIEL_CLIENTS'!$A$2:$A$51,0)),"Non trouvé")</x:f>
        <x:v>Particuliers</x:v>
      </x:c>
      <x:c r="Q70" t="str">
        <x:f>IFERROR(INDEX('02_REFERENTIEL_CLIENTS'!$C$2:$C$51,MATCH(TRIM(C70),'02_REFERENTIEL_CLIENTS'!$A$2:$A$51,0)),"Non trouvé")</x:f>
        <x:v>International</x:v>
      </x:c>
      <x:c r="R70" t="str">
        <x:f>IF(OR(F70&lt;=0,G70&lt;0,G70&gt;F70,N70&lt;0,P70="Non trouvé"),"À vérifier","OK")</x:f>
        <x:v>OK</x:v>
      </x:c>
    </x:row>
    <x:row r="71">
      <x:c r="A71" t="str">
        <x:v>DV-2024-00070</x:v>
      </x:c>
      <x:c r="B71" s="16" t="n">
        <x:v>45368</x:v>
      </x:c>
      <x:c r="C71" t="str">
        <x:v>Client 49</x:v>
      </x:c>
      <x:c r="D71" t="str">
        <x:v>Fret maritime</x:v>
      </x:c>
      <x:c r="E71" t="str">
        <x:v>Pôle D</x:v>
      </x:c>
      <x:c r="F71" s="18" t="n">
        <x:v>23236.43</x:v>
      </x:c>
      <x:c r="G71" s="18" t="n">
        <x:v>23236.43</x:v>
      </x:c>
      <x:c r="H71" t="str">
        <x:v>Client 49</x:v>
      </x:c>
      <x:c r="I71" s="16" t="n">
        <x:v>45396</x:v>
      </x:c>
      <x:c r="J71" t="n">
        <x:f>YEAR(B71)</x:f>
        <x:v>2024</x:v>
      </x:c>
      <x:c r="K71" s="20" t="n">
        <x:f>DATE(YEAR(B71),MONTH(B71),1)</x:f>
        <x:v>45352</x:v>
      </x:c>
      <x:c r="L71" s="18" t="n">
        <x:f>F71-G71</x:f>
        <x:v>0</x:v>
      </x:c>
      <x:c r="M71" t="str">
        <x:f>IF(L71&lt;=0,"Payée",IF(G71=0,"Impayée","Partielle"))</x:f>
        <x:v>Payée</x:v>
      </x:c>
      <x:c r="N71" t="n">
        <x:f>IF(I71="","",I71-B71)</x:f>
        <x:v>28</x:v>
      </x:c>
      <x:c r="O71" t="str">
        <x:f>IF(TRIM(C71)&lt;&gt;TRIM(H71),"Oui","Non")</x:f>
        <x:v>Non</x:v>
      </x:c>
      <x:c r="P71" t="str">
        <x:f>IFERROR(INDEX('02_REFERENTIEL_CLIENTS'!$B$2:$B$51,MATCH(TRIM(C71),'02_REFERENTIEL_CLIENTS'!$A$2:$A$51,0)),"Non trouvé")</x:f>
        <x:v>Grands comptes</x:v>
      </x:c>
      <x:c r="Q71" t="str">
        <x:f>IFERROR(INDEX('02_REFERENTIEL_CLIENTS'!$C$2:$C$51,MATCH(TRIM(C71),'02_REFERENTIEL_CLIENTS'!$A$2:$A$51,0)),"Non trouvé")</x:f>
        <x:v>France</x:v>
      </x:c>
      <x:c r="R71" t="str">
        <x:f>IF(OR(F71&lt;=0,G71&lt;0,G71&gt;F71,N71&lt;0,P71="Non trouvé"),"À vérifier","OK")</x:f>
        <x:v>OK</x:v>
      </x:c>
    </x:row>
    <x:row r="72">
      <x:c r="A72" t="str">
        <x:v>DV-2024-00071</x:v>
      </x:c>
      <x:c r="B72" s="16" t="n">
        <x:v>45348</x:v>
      </x:c>
      <x:c r="C72" t="str">
        <x:v>Client 42</x:v>
      </x:c>
      <x:c r="D72" t="str">
        <x:v>Logistique</x:v>
      </x:c>
      <x:c r="E72" t="str">
        <x:v>Pôle B</x:v>
      </x:c>
      <x:c r="F72" s="18" t="n">
        <x:v>11691.17</x:v>
      </x:c>
      <x:c r="G72" s="18" t="n">
        <x:v>11691.17</x:v>
      </x:c>
      <x:c r="H72" t="str">
        <x:v>Client 04</x:v>
      </x:c>
      <x:c r="I72" s="16" t="n">
        <x:v>45394</x:v>
      </x:c>
      <x:c r="J72" t="n">
        <x:f>YEAR(B72)</x:f>
        <x:v>2024</x:v>
      </x:c>
      <x:c r="K72" s="20" t="n">
        <x:f>DATE(YEAR(B72),MONTH(B72),1)</x:f>
        <x:v>45323</x:v>
      </x:c>
      <x:c r="L72" s="18" t="n">
        <x:f>F72-G72</x:f>
        <x:v>0</x:v>
      </x:c>
      <x:c r="M72" t="str">
        <x:f>IF(L72&lt;=0,"Payée",IF(G72=0,"Impayée","Partielle"))</x:f>
        <x:v>Payée</x:v>
      </x:c>
      <x:c r="N72" t="n">
        <x:f>IF(I72="","",I72-B72)</x:f>
        <x:v>46</x:v>
      </x:c>
      <x:c r="O72" t="str">
        <x:f>IF(TRIM(C72)&lt;&gt;TRIM(H72),"Oui","Non")</x:f>
        <x:v>Oui</x:v>
      </x:c>
      <x:c r="P72" t="str">
        <x:f>IFERROR(INDEX('02_REFERENTIEL_CLIENTS'!$B$2:$B$51,MATCH(TRIM(C72),'02_REFERENTIEL_CLIENTS'!$A$2:$A$51,0)),"Non trouvé")</x:f>
        <x:v>Particuliers</x:v>
      </x:c>
      <x:c r="Q72" t="str">
        <x:f>IFERROR(INDEX('02_REFERENTIEL_CLIENTS'!$C$2:$C$51,MATCH(TRIM(C72),'02_REFERENTIEL_CLIENTS'!$A$2:$A$51,0)),"Non trouvé")</x:f>
        <x:v>International</x:v>
      </x:c>
      <x:c r="R72" t="str">
        <x:f>IF(OR(F72&lt;=0,G72&lt;0,G72&gt;F72,N72&lt;0,P72="Non trouvé"),"À vérifier","OK")</x:f>
        <x:v>OK</x:v>
      </x:c>
    </x:row>
    <x:row r="73">
      <x:c r="A73" t="str">
        <x:v>DV-2026-00072</x:v>
      </x:c>
      <x:c r="B73" s="16" t="n">
        <x:v>46117</x:v>
      </x:c>
      <x:c r="C73" t="str">
        <x:v>Client 14</x:v>
      </x:c>
      <x:c r="D73" t="str">
        <x:v>Douane</x:v>
      </x:c>
      <x:c r="E73" t="str">
        <x:v>Pôle D</x:v>
      </x:c>
      <x:c r="F73" s="18" t="n">
        <x:v>2138.26</x:v>
      </x:c>
      <x:c r="G73" s="18" t="n">
        <x:v>1120.33</x:v>
      </x:c>
      <x:c r="H73" t="str">
        <x:v>Client 14</x:v>
      </x:c>
      <x:c r="I73" s="16" t="n">
        <x:v>46133</x:v>
      </x:c>
      <x:c r="J73" t="n">
        <x:f>YEAR(B73)</x:f>
        <x:v>2026</x:v>
      </x:c>
      <x:c r="K73" s="20" t="n">
        <x:f>DATE(YEAR(B73),MONTH(B73),1)</x:f>
        <x:v>46113</x:v>
      </x:c>
      <x:c r="L73" s="18" t="n">
        <x:f>F73-G73</x:f>
        <x:v>1017.9300000000003</x:v>
      </x:c>
      <x:c r="M73" t="str">
        <x:f>IF(L73&lt;=0,"Payée",IF(G73=0,"Impayée","Partielle"))</x:f>
        <x:v>Partielle</x:v>
      </x:c>
      <x:c r="N73" t="n">
        <x:f>IF(I73="","",I73-B73)</x:f>
        <x:v>16</x:v>
      </x:c>
      <x:c r="O73" t="str">
        <x:f>IF(TRIM(C73)&lt;&gt;TRIM(H73),"Oui","Non")</x:f>
        <x:v>Non</x:v>
      </x:c>
      <x:c r="P73" t="str">
        <x:f>IFERROR(INDEX('02_REFERENTIEL_CLIENTS'!$B$2:$B$51,MATCH(TRIM(C73),'02_REFERENTIEL_CLIENTS'!$A$2:$A$51,0)),"Non trouvé")</x:f>
        <x:v>PME</x:v>
      </x:c>
      <x:c r="Q73" t="str">
        <x:f>IFERROR(INDEX('02_REFERENTIEL_CLIENTS'!$C$2:$C$51,MATCH(TRIM(C73),'02_REFERENTIEL_CLIENTS'!$A$2:$A$51,0)),"Non trouvé")</x:f>
        <x:v>Europe</x:v>
      </x:c>
      <x:c r="R73" t="str">
        <x:f>IF(OR(F73&lt;=0,G73&lt;0,G73&gt;F73,N73&lt;0,P73="Non trouvé"),"À vérifier","OK")</x:f>
        <x:v>OK</x:v>
      </x:c>
    </x:row>
    <x:row r="74">
      <x:c r="A74" t="str">
        <x:v>DV-2026-00073</x:v>
      </x:c>
      <x:c r="B74" s="16" t="n">
        <x:v>46131</x:v>
      </x:c>
      <x:c r="C74" t="str">
        <x:v>Client 07</x:v>
      </x:c>
      <x:c r="D74" t="str">
        <x:v>Fret aérien</x:v>
      </x:c>
      <x:c r="E74" t="str">
        <x:v>Pôle E</x:v>
      </x:c>
      <x:c r="F74" s="18" t="n">
        <x:v>11802.52</x:v>
      </x:c>
      <x:c r="G74" s="18" t="n">
        <x:v>11802.52</x:v>
      </x:c>
      <x:c r="H74" t="str">
        <x:v>Client 07</x:v>
      </x:c>
      <x:c r="I74" s="16" t="n">
        <x:v>46142</x:v>
      </x:c>
      <x:c r="J74" t="n">
        <x:f>YEAR(B74)</x:f>
        <x:v>2026</x:v>
      </x:c>
      <x:c r="K74" s="20" t="n">
        <x:f>DATE(YEAR(B74),MONTH(B74),1)</x:f>
        <x:v>46113</x:v>
      </x:c>
      <x:c r="L74" s="18" t="n">
        <x:f>F74-G74</x:f>
        <x:v>0</x:v>
      </x:c>
      <x:c r="M74" t="str">
        <x:f>IF(L74&lt;=0,"Payée",IF(G74=0,"Impayée","Partielle"))</x:f>
        <x:v>Payée</x:v>
      </x:c>
      <x:c r="N74" t="n">
        <x:f>IF(I74="","",I74-B74)</x:f>
        <x:v>11</x:v>
      </x:c>
      <x:c r="O74" t="str">
        <x:f>IF(TRIM(C74)&lt;&gt;TRIM(H74),"Oui","Non")</x:f>
        <x:v>Non</x:v>
      </x:c>
      <x:c r="P74" t="str">
        <x:f>IFERROR(INDEX('02_REFERENTIEL_CLIENTS'!$B$2:$B$51,MATCH(TRIM(C74),'02_REFERENTIEL_CLIENTS'!$A$2:$A$51,0)),"Non trouvé")</x:f>
        <x:v>Grands comptes</x:v>
      </x:c>
      <x:c r="Q74" t="str">
        <x:f>IFERROR(INDEX('02_REFERENTIEL_CLIENTS'!$C$2:$C$51,MATCH(TRIM(C74),'02_REFERENTIEL_CLIENTS'!$A$2:$A$51,0)),"Non trouvé")</x:f>
        <x:v>France</x:v>
      </x:c>
      <x:c r="R74" t="str">
        <x:f>IF(OR(F74&lt;=0,G74&lt;0,G74&gt;F74,N74&lt;0,P74="Non trouvé"),"À vérifier","OK")</x:f>
        <x:v>OK</x:v>
      </x:c>
    </x:row>
    <x:row r="75">
      <x:c r="A75" t="str">
        <x:v>DV-2025-00074</x:v>
      </x:c>
      <x:c r="B75" s="16" t="n">
        <x:v>45691</x:v>
      </x:c>
      <x:c r="C75" t="str">
        <x:v>Client 43</x:v>
      </x:c>
      <x:c r="D75" t="str">
        <x:v>Express</x:v>
      </x:c>
      <x:c r="E75" t="str">
        <x:v>Pôle B</x:v>
      </x:c>
      <x:c r="F75" s="18" t="n">
        <x:v>18976.57</x:v>
      </x:c>
      <x:c r="G75" s="18" t="n">
        <x:v>18976.57</x:v>
      </x:c>
      <x:c r="H75" t="str">
        <x:v>Client 43</x:v>
      </x:c>
      <x:c r="I75" s="16" t="n">
        <x:v>45764</x:v>
      </x:c>
      <x:c r="J75" t="n">
        <x:f>YEAR(B75)</x:f>
        <x:v>2025</x:v>
      </x:c>
      <x:c r="K75" s="20" t="n">
        <x:f>DATE(YEAR(B75),MONTH(B75),1)</x:f>
        <x:v>45689</x:v>
      </x:c>
      <x:c r="L75" s="18" t="n">
        <x:f>F75-G75</x:f>
        <x:v>0</x:v>
      </x:c>
      <x:c r="M75" t="str">
        <x:f>IF(L75&lt;=0,"Payée",IF(G75=0,"Impayée","Partielle"))</x:f>
        <x:v>Payée</x:v>
      </x:c>
      <x:c r="N75" t="n">
        <x:f>IF(I75="","",I75-B75)</x:f>
        <x:v>73</x:v>
      </x:c>
      <x:c r="O75" t="str">
        <x:f>IF(TRIM(C75)&lt;&gt;TRIM(H75),"Oui","Non")</x:f>
        <x:v>Non</x:v>
      </x:c>
      <x:c r="P75" t="str">
        <x:f>IFERROR(INDEX('02_REFERENTIEL_CLIENTS'!$B$2:$B$51,MATCH(TRIM(C75),'02_REFERENTIEL_CLIENTS'!$A$2:$A$51,0)),"Non trouvé")</x:f>
        <x:v>Grands comptes</x:v>
      </x:c>
      <x:c r="Q75" t="str">
        <x:f>IFERROR(INDEX('02_REFERENTIEL_CLIENTS'!$C$2:$C$51,MATCH(TRIM(C75),'02_REFERENTIEL_CLIENTS'!$A$2:$A$51,0)),"Non trouvé")</x:f>
        <x:v>France</x:v>
      </x:c>
      <x:c r="R75" t="str">
        <x:f>IF(OR(F75&lt;=0,G75&lt;0,G75&gt;F75,N75&lt;0,P75="Non trouvé"),"À vérifier","OK")</x:f>
        <x:v>OK</x:v>
      </x:c>
    </x:row>
    <x:row r="76">
      <x:c r="A76" t="str">
        <x:v>DV-2024-00075</x:v>
      </x:c>
      <x:c r="B76" s="16" t="n">
        <x:v>45569</x:v>
      </x:c>
      <x:c r="C76" t="str">
        <x:v>Client 19</x:v>
      </x:c>
      <x:c r="D76" t="str">
        <x:v>Fret aérien</x:v>
      </x:c>
      <x:c r="E76" t="str">
        <x:v>Pôle E</x:v>
      </x:c>
      <x:c r="F76" s="18" t="n">
        <x:v>2582.24</x:v>
      </x:c>
      <x:c r="G76" s="18" t="n">
        <x:v>0</x:v>
      </x:c>
      <x:c r="H76" t="str">
        <x:v>Client 19</x:v>
      </x:c>
      <x:c r="I76" s="16"/>
      <x:c r="J76" t="n">
        <x:f>YEAR(B76)</x:f>
        <x:v>2024</x:v>
      </x:c>
      <x:c r="K76" s="20" t="n">
        <x:f>DATE(YEAR(B76),MONTH(B76),1)</x:f>
        <x:v>45566</x:v>
      </x:c>
      <x:c r="L76" s="18" t="n">
        <x:f>F76-G76</x:f>
        <x:v>2582.24</x:v>
      </x:c>
      <x:c r="M76" t="str">
        <x:f>IF(L76&lt;=0,"Payée",IF(G76=0,"Impayée","Partielle"))</x:f>
        <x:v>Impayée</x:v>
      </x:c>
      <x:c r="N76" t="str">
        <x:f>IF(I76="","",I76-B76)</x:f>
      </x:c>
      <x:c r="O76" t="str">
        <x:f>IF(TRIM(C76)&lt;&gt;TRIM(H76),"Oui","Non")</x:f>
        <x:v>Non</x:v>
      </x:c>
      <x:c r="P76" t="str">
        <x:f>IFERROR(INDEX('02_REFERENTIEL_CLIENTS'!$B$2:$B$51,MATCH(TRIM(C76),'02_REFERENTIEL_CLIENTS'!$A$2:$A$51,0)),"Non trouvé")</x:f>
        <x:v>Grands comptes</x:v>
      </x:c>
      <x:c r="Q76" t="str">
        <x:f>IFERROR(INDEX('02_REFERENTIEL_CLIENTS'!$C$2:$C$51,MATCH(TRIM(C76),'02_REFERENTIEL_CLIENTS'!$A$2:$A$51,0)),"Non trouvé")</x:f>
        <x:v>France</x:v>
      </x:c>
      <x:c r="R76" t="str">
        <x:f>IF(OR(F76&lt;=0,G76&lt;0,G76&gt;F76,N76&lt;0,P76="Non trouvé"),"À vérifier","OK")</x:f>
        <x:v>OK</x:v>
      </x:c>
    </x:row>
    <x:row r="77">
      <x:c r="A77" t="str">
        <x:v>DV-2025-00076</x:v>
      </x:c>
      <x:c r="B77" s="16" t="n">
        <x:v>45827</x:v>
      </x:c>
      <x:c r="C77" t="str">
        <x:v>Client 41</x:v>
      </x:c>
      <x:c r="D77" t="str">
        <x:v>Douane</x:v>
      </x:c>
      <x:c r="E77" t="str">
        <x:v>Pôle E</x:v>
      </x:c>
      <x:c r="F77" s="18" t="n">
        <x:v>14136.02</x:v>
      </x:c>
      <x:c r="G77" s="18" t="n">
        <x:v>14136.02</x:v>
      </x:c>
      <x:c r="H77" t="str">
        <x:v>Client 47</x:v>
      </x:c>
      <x:c r="I77" s="16" t="n">
        <x:v>45844</x:v>
      </x:c>
      <x:c r="J77" t="n">
        <x:f>YEAR(B77)</x:f>
        <x:v>2025</x:v>
      </x:c>
      <x:c r="K77" s="20" t="n">
        <x:f>DATE(YEAR(B77),MONTH(B77),1)</x:f>
        <x:v>45809</x:v>
      </x:c>
      <x:c r="L77" s="18" t="n">
        <x:f>F77-G77</x:f>
        <x:v>0</x:v>
      </x:c>
      <x:c r="M77" t="str">
        <x:f>IF(L77&lt;=0,"Payée",IF(G77=0,"Impayée","Partielle"))</x:f>
        <x:v>Payée</x:v>
      </x:c>
      <x:c r="N77" t="n">
        <x:f>IF(I77="","",I77-B77)</x:f>
        <x:v>17</x:v>
      </x:c>
      <x:c r="O77" t="str">
        <x:f>IF(TRIM(C77)&lt;&gt;TRIM(H77),"Oui","Non")</x:f>
        <x:v>Oui</x:v>
      </x:c>
      <x:c r="P77" t="str">
        <x:f>IFERROR(INDEX('02_REFERENTIEL_CLIENTS'!$B$2:$B$51,MATCH(TRIM(C77),'02_REFERENTIEL_CLIENTS'!$A$2:$A$51,0)),"Non trouvé")</x:f>
        <x:v>PME</x:v>
      </x:c>
      <x:c r="Q77" t="str">
        <x:f>IFERROR(INDEX('02_REFERENTIEL_CLIENTS'!$C$2:$C$51,MATCH(TRIM(C77),'02_REFERENTIEL_CLIENTS'!$A$2:$A$51,0)),"Non trouvé")</x:f>
        <x:v>Europe</x:v>
      </x:c>
      <x:c r="R77" t="str">
        <x:f>IF(OR(F77&lt;=0,G77&lt;0,G77&gt;F77,N77&lt;0,P77="Non trouvé"),"À vérifier","OK")</x:f>
        <x:v>OK</x:v>
      </x:c>
    </x:row>
    <x:row r="78">
      <x:c r="A78" t="str">
        <x:v>DV-2025-00077</x:v>
      </x:c>
      <x:c r="B78" s="16" t="n">
        <x:v>46006</x:v>
      </x:c>
      <x:c r="C78" t="str">
        <x:v>Client 40</x:v>
      </x:c>
      <x:c r="D78" t="str">
        <x:v>Fret maritime</x:v>
      </x:c>
      <x:c r="E78" t="str">
        <x:v>Pôle E</x:v>
      </x:c>
      <x:c r="F78" s="18" t="n">
        <x:v>11882.26</x:v>
      </x:c>
      <x:c r="G78" s="18" t="n">
        <x:v>11882.26</x:v>
      </x:c>
      <x:c r="H78" t="str">
        <x:v>Client 40</x:v>
      </x:c>
      <x:c r="I78" s="16" t="n">
        <x:v>46016</x:v>
      </x:c>
      <x:c r="J78" t="n">
        <x:f>YEAR(B78)</x:f>
        <x:v>2025</x:v>
      </x:c>
      <x:c r="K78" s="20" t="n">
        <x:f>DATE(YEAR(B78),MONTH(B78),1)</x:f>
        <x:v>45992</x:v>
      </x:c>
      <x:c r="L78" s="18" t="n">
        <x:f>F78-G78</x:f>
        <x:v>0</x:v>
      </x:c>
      <x:c r="M78" t="str">
        <x:f>IF(L78&lt;=0,"Payée",IF(G78=0,"Impayée","Partielle"))</x:f>
        <x:v>Payée</x:v>
      </x:c>
      <x:c r="N78" t="n">
        <x:f>IF(I78="","",I78-B78)</x:f>
        <x:v>10</x:v>
      </x:c>
      <x:c r="O78" t="str">
        <x:f>IF(TRIM(C78)&lt;&gt;TRIM(H78),"Oui","Non")</x:f>
        <x:v>Non</x:v>
      </x:c>
      <x:c r="P78" t="str">
        <x:f>IFERROR(INDEX('02_REFERENTIEL_CLIENTS'!$B$2:$B$51,MATCH(TRIM(C78),'02_REFERENTIEL_CLIENTS'!$A$2:$A$51,0)),"Non trouvé")</x:f>
        <x:v>Grands comptes</x:v>
      </x:c>
      <x:c r="Q78" t="str">
        <x:f>IFERROR(INDEX('02_REFERENTIEL_CLIENTS'!$C$2:$C$51,MATCH(TRIM(C78),'02_REFERENTIEL_CLIENTS'!$A$2:$A$51,0)),"Non trouvé")</x:f>
        <x:v>France</x:v>
      </x:c>
      <x:c r="R78" t="str">
        <x:f>IF(OR(F78&lt;=0,G78&lt;0,G78&gt;F78,N78&lt;0,P78="Non trouvé"),"À vérifier","OK")</x:f>
        <x:v>OK</x:v>
      </x:c>
    </x:row>
    <x:row r="79">
      <x:c r="A79" t="str">
        <x:v>DV-2026-00078</x:v>
      </x:c>
      <x:c r="B79" s="16" t="n">
        <x:v>46024</x:v>
      </x:c>
      <x:c r="C79" t="str">
        <x:v>Client 18</x:v>
      </x:c>
      <x:c r="D79" t="str">
        <x:v>Douane</x:v>
      </x:c>
      <x:c r="E79" t="str">
        <x:v>Pôle E</x:v>
      </x:c>
      <x:c r="F79" s="18" t="n">
        <x:v>15473.01</x:v>
      </x:c>
      <x:c r="G79" s="18" t="n">
        <x:v>15473.01</x:v>
      </x:c>
      <x:c r="H79" t="str">
        <x:v>Client 18</x:v>
      </x:c>
      <x:c r="I79" s="16" t="n">
        <x:v>46085</x:v>
      </x:c>
      <x:c r="J79" t="n">
        <x:f>YEAR(B79)</x:f>
        <x:v>2026</x:v>
      </x:c>
      <x:c r="K79" s="20" t="n">
        <x:f>DATE(YEAR(B79),MONTH(B79),1)</x:f>
        <x:v>46023</x:v>
      </x:c>
      <x:c r="L79" s="18" t="n">
        <x:f>F79-G79</x:f>
        <x:v>0</x:v>
      </x:c>
      <x:c r="M79" t="str">
        <x:f>IF(L79&lt;=0,"Payée",IF(G79=0,"Impayée","Partielle"))</x:f>
        <x:v>Payée</x:v>
      </x:c>
      <x:c r="N79" t="n">
        <x:f>IF(I79="","",I79-B79)</x:f>
        <x:v>61</x:v>
      </x:c>
      <x:c r="O79" t="str">
        <x:f>IF(TRIM(C79)&lt;&gt;TRIM(H79),"Oui","Non")</x:f>
        <x:v>Non</x:v>
      </x:c>
      <x:c r="P79" t="str">
        <x:f>IFERROR(INDEX('02_REFERENTIEL_CLIENTS'!$B$2:$B$51,MATCH(TRIM(C79),'02_REFERENTIEL_CLIENTS'!$A$2:$A$51,0)),"Non trouvé")</x:f>
        <x:v>Particuliers</x:v>
      </x:c>
      <x:c r="Q79" t="str">
        <x:f>IFERROR(INDEX('02_REFERENTIEL_CLIENTS'!$C$2:$C$51,MATCH(TRIM(C79),'02_REFERENTIEL_CLIENTS'!$A$2:$A$51,0)),"Non trouvé")</x:f>
        <x:v>International</x:v>
      </x:c>
      <x:c r="R79" t="str">
        <x:f>IF(OR(F79&lt;=0,G79&lt;0,G79&gt;F79,N79&lt;0,P79="Non trouvé"),"À vérifier","OK")</x:f>
        <x:v>OK</x:v>
      </x:c>
    </x:row>
    <x:row r="80">
      <x:c r="A80" t="str">
        <x:v>DV-2024-00079</x:v>
      </x:c>
      <x:c r="B80" s="16" t="n">
        <x:v>45480</x:v>
      </x:c>
      <x:c r="C80" t="str">
        <x:v>Client 13</x:v>
      </x:c>
      <x:c r="D80" t="str">
        <x:v>Fret maritime</x:v>
      </x:c>
      <x:c r="E80" t="str">
        <x:v>Pôle C</x:v>
      </x:c>
      <x:c r="F80" s="18" t="n">
        <x:v>1756.02</x:v>
      </x:c>
      <x:c r="G80" s="18" t="n">
        <x:v>1756.02</x:v>
      </x:c>
      <x:c r="H80" t="str">
        <x:v>Client 13</x:v>
      </x:c>
      <x:c r="I80" s="16" t="n">
        <x:v>45566</x:v>
      </x:c>
      <x:c r="J80" t="n">
        <x:f>YEAR(B80)</x:f>
        <x:v>2024</x:v>
      </x:c>
      <x:c r="K80" s="20" t="n">
        <x:f>DATE(YEAR(B80),MONTH(B80),1)</x:f>
        <x:v>45474</x:v>
      </x:c>
      <x:c r="L80" s="18" t="n">
        <x:f>F80-G80</x:f>
        <x:v>0</x:v>
      </x:c>
      <x:c r="M80" t="str">
        <x:f>IF(L80&lt;=0,"Payée",IF(G80=0,"Impayée","Partielle"))</x:f>
        <x:v>Payée</x:v>
      </x:c>
      <x:c r="N80" t="n">
        <x:f>IF(I80="","",I80-B80)</x:f>
        <x:v>86</x:v>
      </x:c>
      <x:c r="O80" t="str">
        <x:f>IF(TRIM(C80)&lt;&gt;TRIM(H80),"Oui","Non")</x:f>
        <x:v>Non</x:v>
      </x:c>
      <x:c r="P80" t="str">
        <x:f>IFERROR(INDEX('02_REFERENTIEL_CLIENTS'!$B$2:$B$51,MATCH(TRIM(C80),'02_REFERENTIEL_CLIENTS'!$A$2:$A$51,0)),"Non trouvé")</x:f>
        <x:v>Grands comptes</x:v>
      </x:c>
      <x:c r="Q80" t="str">
        <x:f>IFERROR(INDEX('02_REFERENTIEL_CLIENTS'!$C$2:$C$51,MATCH(TRIM(C80),'02_REFERENTIEL_CLIENTS'!$A$2:$A$51,0)),"Non trouvé")</x:f>
        <x:v>France</x:v>
      </x:c>
      <x:c r="R80" t="str">
        <x:f>IF(OR(F80&lt;=0,G80&lt;0,G80&gt;F80,N80&lt;0,P80="Non trouvé"),"À vérifier","OK")</x:f>
        <x:v>OK</x:v>
      </x:c>
    </x:row>
    <x:row r="81">
      <x:c r="A81" t="str">
        <x:v>DV-2026-00080</x:v>
      </x:c>
      <x:c r="B81" s="16" t="n">
        <x:v>46044</x:v>
      </x:c>
      <x:c r="C81" t="str">
        <x:v>Client 06</x:v>
      </x:c>
      <x:c r="D81" t="str">
        <x:v>Logistique</x:v>
      </x:c>
      <x:c r="E81" t="str">
        <x:v>Pôle E</x:v>
      </x:c>
      <x:c r="F81" s="18" t="n">
        <x:v>22065.03</x:v>
      </x:c>
      <x:c r="G81" s="18" t="n">
        <x:v>22065.03</x:v>
      </x:c>
      <x:c r="H81" t="str">
        <x:v>Client 02</x:v>
      </x:c>
      <x:c r="I81" s="16" t="n">
        <x:v>46095</x:v>
      </x:c>
      <x:c r="J81" t="n">
        <x:f>YEAR(B81)</x:f>
        <x:v>2026</x:v>
      </x:c>
      <x:c r="K81" s="20" t="n">
        <x:f>DATE(YEAR(B81),MONTH(B81),1)</x:f>
        <x:v>46023</x:v>
      </x:c>
      <x:c r="L81" s="18" t="n">
        <x:f>F81-G81</x:f>
        <x:v>0</x:v>
      </x:c>
      <x:c r="M81" t="str">
        <x:f>IF(L81&lt;=0,"Payée",IF(G81=0,"Impayée","Partielle"))</x:f>
        <x:v>Payée</x:v>
      </x:c>
      <x:c r="N81" t="n">
        <x:f>IF(I81="","",I81-B81)</x:f>
        <x:v>51</x:v>
      </x:c>
      <x:c r="O81" t="str">
        <x:f>IF(TRIM(C81)&lt;&gt;TRIM(H81),"Oui","Non")</x:f>
        <x:v>Oui</x:v>
      </x:c>
      <x:c r="P81" t="str">
        <x:f>IFERROR(INDEX('02_REFERENTIEL_CLIENTS'!$B$2:$B$51,MATCH(TRIM(C81),'02_REFERENTIEL_CLIENTS'!$A$2:$A$51,0)),"Non trouvé")</x:f>
        <x:v>Particuliers</x:v>
      </x:c>
      <x:c r="Q81" t="str">
        <x:f>IFERROR(INDEX('02_REFERENTIEL_CLIENTS'!$C$2:$C$51,MATCH(TRIM(C81),'02_REFERENTIEL_CLIENTS'!$A$2:$A$51,0)),"Non trouvé")</x:f>
        <x:v>International</x:v>
      </x:c>
      <x:c r="R81" t="str">
        <x:f>IF(OR(F81&lt;=0,G81&lt;0,G81&gt;F81,N81&lt;0,P81="Non trouvé"),"À vérifier","OK")</x:f>
        <x:v>OK</x:v>
      </x:c>
    </x:row>
    <x:row r="82">
      <x:c r="A82" t="str">
        <x:v>DV-2024-00081</x:v>
      </x:c>
      <x:c r="B82" s="16" t="n">
        <x:v>45574</x:v>
      </x:c>
      <x:c r="C82" t="str">
        <x:v>Client 04</x:v>
      </x:c>
      <x:c r="D82" t="str">
        <x:v>Express</x:v>
      </x:c>
      <x:c r="E82" t="str">
        <x:v>Pôle C</x:v>
      </x:c>
      <x:c r="F82" s="18" t="n">
        <x:v>9294.87</x:v>
      </x:c>
      <x:c r="G82" s="18" t="n">
        <x:v>2125.54</x:v>
      </x:c>
      <x:c r="H82" t="str">
        <x:v>Client 04</x:v>
      </x:c>
      <x:c r="I82" s="16" t="n">
        <x:v>45639</x:v>
      </x:c>
      <x:c r="J82" t="n">
        <x:f>YEAR(B82)</x:f>
        <x:v>2024</x:v>
      </x:c>
      <x:c r="K82" s="20" t="n">
        <x:f>DATE(YEAR(B82),MONTH(B82),1)</x:f>
        <x:v>45566</x:v>
      </x:c>
      <x:c r="L82" s="18" t="n">
        <x:f>F82-G82</x:f>
        <x:v>7169.330000000001</x:v>
      </x:c>
      <x:c r="M82" t="str">
        <x:f>IF(L82&lt;=0,"Payée",IF(G82=0,"Impayée","Partielle"))</x:f>
        <x:v>Partielle</x:v>
      </x:c>
      <x:c r="N82" t="n">
        <x:f>IF(I82="","",I82-B82)</x:f>
        <x:v>65</x:v>
      </x:c>
      <x:c r="O82" t="str">
        <x:f>IF(TRIM(C82)&lt;&gt;TRIM(H82),"Oui","Non")</x:f>
        <x:v>Non</x:v>
      </x:c>
      <x:c r="P82" t="str">
        <x:f>IFERROR(INDEX('02_REFERENTIEL_CLIENTS'!$B$2:$B$51,MATCH(TRIM(C82),'02_REFERENTIEL_CLIENTS'!$A$2:$A$51,0)),"Non trouvé")</x:f>
        <x:v>Grands comptes</x:v>
      </x:c>
      <x:c r="Q82" t="str">
        <x:f>IFERROR(INDEX('02_REFERENTIEL_CLIENTS'!$C$2:$C$51,MATCH(TRIM(C82),'02_REFERENTIEL_CLIENTS'!$A$2:$A$51,0)),"Non trouvé")</x:f>
        <x:v>France</x:v>
      </x:c>
      <x:c r="R82" t="str">
        <x:f>IF(OR(F82&lt;=0,G82&lt;0,G82&gt;F82,N82&lt;0,P82="Non trouvé"),"À vérifier","OK")</x:f>
        <x:v>OK</x:v>
      </x:c>
    </x:row>
    <x:row r="83">
      <x:c r="A83" t="str">
        <x:v>DV-2026-00082</x:v>
      </x:c>
      <x:c r="B83" s="16" t="n">
        <x:v>46184</x:v>
      </x:c>
      <x:c r="C83" t="str">
        <x:v>Client 39</x:v>
      </x:c>
      <x:c r="D83" t="str">
        <x:v>Fret aérien</x:v>
      </x:c>
      <x:c r="E83" t="str">
        <x:v>Pôle E</x:v>
      </x:c>
      <x:c r="F83" s="18" t="n">
        <x:v>5836.37</x:v>
      </x:c>
      <x:c r="G83" s="18" t="n">
        <x:v>5836.37</x:v>
      </x:c>
      <x:c r="H83" t="str">
        <x:v>Client 39</x:v>
      </x:c>
      <x:c r="I83" s="16" t="n">
        <x:v>46201</x:v>
      </x:c>
      <x:c r="J83" t="n">
        <x:f>YEAR(B83)</x:f>
        <x:v>2026</x:v>
      </x:c>
      <x:c r="K83" s="20" t="n">
        <x:f>DATE(YEAR(B83),MONTH(B83),1)</x:f>
        <x:v>46174</x:v>
      </x:c>
      <x:c r="L83" s="18" t="n">
        <x:f>F83-G83</x:f>
        <x:v>0</x:v>
      </x:c>
      <x:c r="M83" t="str">
        <x:f>IF(L83&lt;=0,"Payée",IF(G83=0,"Impayée","Partielle"))</x:f>
        <x:v>Payée</x:v>
      </x:c>
      <x:c r="N83" t="n">
        <x:f>IF(I83="","",I83-B83)</x:f>
        <x:v>17</x:v>
      </x:c>
      <x:c r="O83" t="str">
        <x:f>IF(TRIM(C83)&lt;&gt;TRIM(H83),"Oui","Non")</x:f>
        <x:v>Non</x:v>
      </x:c>
      <x:c r="P83" t="str">
        <x:f>IFERROR(INDEX('02_REFERENTIEL_CLIENTS'!$B$2:$B$51,MATCH(TRIM(C83),'02_REFERENTIEL_CLIENTS'!$A$2:$A$51,0)),"Non trouvé")</x:f>
        <x:v>Particuliers</x:v>
      </x:c>
      <x:c r="Q83" t="str">
        <x:f>IFERROR(INDEX('02_REFERENTIEL_CLIENTS'!$C$2:$C$51,MATCH(TRIM(C83),'02_REFERENTIEL_CLIENTS'!$A$2:$A$51,0)),"Non trouvé")</x:f>
        <x:v>International</x:v>
      </x:c>
      <x:c r="R83" t="str">
        <x:f>IF(OR(F83&lt;=0,G83&lt;0,G83&gt;F83,N83&lt;0,P83="Non trouvé"),"À vérifier","OK")</x:f>
        <x:v>OK</x:v>
      </x:c>
    </x:row>
    <x:row r="84">
      <x:c r="A84" t="str">
        <x:v>DV-2026-00083</x:v>
      </x:c>
      <x:c r="B84" s="16" t="n">
        <x:v>46282</x:v>
      </x:c>
      <x:c r="C84" t="str">
        <x:v>Client 02</x:v>
      </x:c>
      <x:c r="D84" t="str">
        <x:v>Express</x:v>
      </x:c>
      <x:c r="E84" t="str">
        <x:v>Pôle E</x:v>
      </x:c>
      <x:c r="F84" s="18" t="n">
        <x:v>8736.22</x:v>
      </x:c>
      <x:c r="G84" s="18" t="n">
        <x:v>8736.22</x:v>
      </x:c>
      <x:c r="H84" t="str">
        <x:v>Client 02</x:v>
      </x:c>
      <x:c r="I84" s="16" t="n">
        <x:v>46286</x:v>
      </x:c>
      <x:c r="J84" t="n">
        <x:f>YEAR(B84)</x:f>
        <x:v>2026</x:v>
      </x:c>
      <x:c r="K84" s="20" t="n">
        <x:f>DATE(YEAR(B84),MONTH(B84),1)</x:f>
        <x:v>46266</x:v>
      </x:c>
      <x:c r="L84" s="18" t="n">
        <x:f>F84-G84</x:f>
        <x:v>0</x:v>
      </x:c>
      <x:c r="M84" t="str">
        <x:f>IF(L84&lt;=0,"Payée",IF(G84=0,"Impayée","Partielle"))</x:f>
        <x:v>Payée</x:v>
      </x:c>
      <x:c r="N84" t="n">
        <x:f>IF(I84="","",I84-B84)</x:f>
        <x:v>4</x:v>
      </x:c>
      <x:c r="O84" t="str">
        <x:f>IF(TRIM(C84)&lt;&gt;TRIM(H84),"Oui","Non")</x:f>
        <x:v>Non</x:v>
      </x:c>
      <x:c r="P84" t="str">
        <x:f>IFERROR(INDEX('02_REFERENTIEL_CLIENTS'!$B$2:$B$51,MATCH(TRIM(C84),'02_REFERENTIEL_CLIENTS'!$A$2:$A$51,0)),"Non trouvé")</x:f>
        <x:v>PME</x:v>
      </x:c>
      <x:c r="Q84" t="str">
        <x:f>IFERROR(INDEX('02_REFERENTIEL_CLIENTS'!$C$2:$C$51,MATCH(TRIM(C84),'02_REFERENTIEL_CLIENTS'!$A$2:$A$51,0)),"Non trouvé")</x:f>
        <x:v>Europe</x:v>
      </x:c>
      <x:c r="R84" t="str">
        <x:f>IF(OR(F84&lt;=0,G84&lt;0,G84&gt;F84,N84&lt;0,P84="Non trouvé"),"À vérifier","OK")</x:f>
        <x:v>OK</x:v>
      </x:c>
    </x:row>
    <x:row r="85">
      <x:c r="A85" t="str">
        <x:v>DV-2026-00084</x:v>
      </x:c>
      <x:c r="B85" s="16" t="n">
        <x:v>46192</x:v>
      </x:c>
      <x:c r="C85" t="str">
        <x:v>Client 37</x:v>
      </x:c>
      <x:c r="D85" t="str">
        <x:v>Logistique</x:v>
      </x:c>
      <x:c r="E85" t="str">
        <x:v>Pôle C</x:v>
      </x:c>
      <x:c r="F85" s="18" t="n">
        <x:v>22570.93</x:v>
      </x:c>
      <x:c r="G85" s="18" t="n">
        <x:v>22570.93</x:v>
      </x:c>
      <x:c r="H85" t="str">
        <x:v>Client 37</x:v>
      </x:c>
      <x:c r="I85" s="16" t="n">
        <x:v>46198</x:v>
      </x:c>
      <x:c r="J85" t="n">
        <x:f>YEAR(B85)</x:f>
        <x:v>2026</x:v>
      </x:c>
      <x:c r="K85" s="20" t="n">
        <x:f>DATE(YEAR(B85),MONTH(B85),1)</x:f>
        <x:v>46174</x:v>
      </x:c>
      <x:c r="L85" s="18" t="n">
        <x:f>F85-G85</x:f>
        <x:v>0</x:v>
      </x:c>
      <x:c r="M85" t="str">
        <x:f>IF(L85&lt;=0,"Payée",IF(G85=0,"Impayée","Partielle"))</x:f>
        <x:v>Payée</x:v>
      </x:c>
      <x:c r="N85" t="n">
        <x:f>IF(I85="","",I85-B85)</x:f>
        <x:v>6</x:v>
      </x:c>
      <x:c r="O85" t="str">
        <x:f>IF(TRIM(C85)&lt;&gt;TRIM(H85),"Oui","Non")</x:f>
        <x:v>Non</x:v>
      </x:c>
      <x:c r="P85" t="str">
        <x:f>IFERROR(INDEX('02_REFERENTIEL_CLIENTS'!$B$2:$B$51,MATCH(TRIM(C85),'02_REFERENTIEL_CLIENTS'!$A$2:$A$51,0)),"Non trouvé")</x:f>
        <x:v>Grands comptes</x:v>
      </x:c>
      <x:c r="Q85" t="str">
        <x:f>IFERROR(INDEX('02_REFERENTIEL_CLIENTS'!$C$2:$C$51,MATCH(TRIM(C85),'02_REFERENTIEL_CLIENTS'!$A$2:$A$51,0)),"Non trouvé")</x:f>
        <x:v>France</x:v>
      </x:c>
      <x:c r="R85" t="str">
        <x:f>IF(OR(F85&lt;=0,G85&lt;0,G85&gt;F85,N85&lt;0,P85="Non trouvé"),"À vérifier","OK")</x:f>
        <x:v>OK</x:v>
      </x:c>
    </x:row>
    <x:row r="86">
      <x:c r="A86" t="str">
        <x:v>DV-2026-00085</x:v>
      </x:c>
      <x:c r="B86" s="16" t="n">
        <x:v>46267</x:v>
      </x:c>
      <x:c r="C86" t="str">
        <x:v>Client 46</x:v>
      </x:c>
      <x:c r="D86" t="str">
        <x:v>Logistique</x:v>
      </x:c>
      <x:c r="E86" t="str">
        <x:v>Pôle D</x:v>
      </x:c>
      <x:c r="F86" s="18" t="n">
        <x:v>24224.54</x:v>
      </x:c>
      <x:c r="G86" s="18" t="n">
        <x:v>14089.04</x:v>
      </x:c>
      <x:c r="H86" t="str">
        <x:v>Client 46</x:v>
      </x:c>
      <x:c r="I86" s="16" t="n">
        <x:v>46361</x:v>
      </x:c>
      <x:c r="J86" t="n">
        <x:f>YEAR(B86)</x:f>
        <x:v>2026</x:v>
      </x:c>
      <x:c r="K86" s="20" t="n">
        <x:f>DATE(YEAR(B86),MONTH(B86),1)</x:f>
        <x:v>46266</x:v>
      </x:c>
      <x:c r="L86" s="18" t="n">
        <x:f>F86-G86</x:f>
        <x:v>10135.5</x:v>
      </x:c>
      <x:c r="M86" t="str">
        <x:f>IF(L86&lt;=0,"Payée",IF(G86=0,"Impayée","Partielle"))</x:f>
        <x:v>Partielle</x:v>
      </x:c>
      <x:c r="N86" t="n">
        <x:f>IF(I86="","",I86-B86)</x:f>
        <x:v>94</x:v>
      </x:c>
      <x:c r="O86" t="str">
        <x:f>IF(TRIM(C86)&lt;&gt;TRIM(H86),"Oui","Non")</x:f>
        <x:v>Non</x:v>
      </x:c>
      <x:c r="P86" t="str">
        <x:f>IFERROR(INDEX('02_REFERENTIEL_CLIENTS'!$B$2:$B$51,MATCH(TRIM(C86),'02_REFERENTIEL_CLIENTS'!$A$2:$A$51,0)),"Non trouvé")</x:f>
        <x:v>Grands comptes</x:v>
      </x:c>
      <x:c r="Q86" t="str">
        <x:f>IFERROR(INDEX('02_REFERENTIEL_CLIENTS'!$C$2:$C$51,MATCH(TRIM(C86),'02_REFERENTIEL_CLIENTS'!$A$2:$A$51,0)),"Non trouvé")</x:f>
        <x:v>France</x:v>
      </x:c>
      <x:c r="R86" t="str">
        <x:f>IF(OR(F86&lt;=0,G86&lt;0,G86&gt;F86,N86&lt;0,P86="Non trouvé"),"À vérifier","OK")</x:f>
        <x:v>OK</x:v>
      </x:c>
    </x:row>
    <x:row r="87">
      <x:c r="A87" t="str">
        <x:v>DV-2025-00086</x:v>
      </x:c>
      <x:c r="B87" s="16" t="n">
        <x:v>45871</x:v>
      </x:c>
      <x:c r="C87" t="str">
        <x:v>Client 08</x:v>
      </x:c>
      <x:c r="D87" t="str">
        <x:v>Fret aérien</x:v>
      </x:c>
      <x:c r="E87" t="str">
        <x:v>Pôle B</x:v>
      </x:c>
      <x:c r="F87" s="18" t="n">
        <x:v>16498.42</x:v>
      </x:c>
      <x:c r="G87" s="18" t="n">
        <x:v>16498.42</x:v>
      </x:c>
      <x:c r="H87" t="str">
        <x:v>Client 08</x:v>
      </x:c>
      <x:c r="I87" s="16" t="n">
        <x:v>45900</x:v>
      </x:c>
      <x:c r="J87" t="n">
        <x:f>YEAR(B87)</x:f>
        <x:v>2025</x:v>
      </x:c>
      <x:c r="K87" s="20" t="n">
        <x:f>DATE(YEAR(B87),MONTH(B87),1)</x:f>
        <x:v>45870</x:v>
      </x:c>
      <x:c r="L87" s="18" t="n">
        <x:f>F87-G87</x:f>
        <x:v>0</x:v>
      </x:c>
      <x:c r="M87" t="str">
        <x:f>IF(L87&lt;=0,"Payée",IF(G87=0,"Impayée","Partielle"))</x:f>
        <x:v>Payée</x:v>
      </x:c>
      <x:c r="N87" t="n">
        <x:f>IF(I87="","",I87-B87)</x:f>
        <x:v>29</x:v>
      </x:c>
      <x:c r="O87" t="str">
        <x:f>IF(TRIM(C87)&lt;&gt;TRIM(H87),"Oui","Non")</x:f>
        <x:v>Non</x:v>
      </x:c>
      <x:c r="P87" t="str">
        <x:f>IFERROR(INDEX('02_REFERENTIEL_CLIENTS'!$B$2:$B$51,MATCH(TRIM(C87),'02_REFERENTIEL_CLIENTS'!$A$2:$A$51,0)),"Non trouvé")</x:f>
        <x:v>PME</x:v>
      </x:c>
      <x:c r="Q87" t="str">
        <x:f>IFERROR(INDEX('02_REFERENTIEL_CLIENTS'!$C$2:$C$51,MATCH(TRIM(C87),'02_REFERENTIEL_CLIENTS'!$A$2:$A$51,0)),"Non trouvé")</x:f>
        <x:v>Europe</x:v>
      </x:c>
      <x:c r="R87" t="str">
        <x:f>IF(OR(F87&lt;=0,G87&lt;0,G87&gt;F87,N87&lt;0,P87="Non trouvé"),"À vérifier","OK")</x:f>
        <x:v>OK</x:v>
      </x:c>
    </x:row>
    <x:row r="88">
      <x:c r="A88" t="str">
        <x:v>DV-2026-00087</x:v>
      </x:c>
      <x:c r="B88" s="16" t="n">
        <x:v>46047</x:v>
      </x:c>
      <x:c r="C88" t="str">
        <x:v>Client 44</x:v>
      </x:c>
      <x:c r="D88" t="str">
        <x:v>Douane</x:v>
      </x:c>
      <x:c r="E88" t="str">
        <x:v>Pôle E</x:v>
      </x:c>
      <x:c r="F88" s="18" t="n">
        <x:v>11808.37</x:v>
      </x:c>
      <x:c r="G88" s="18" t="n">
        <x:v>8632.43</x:v>
      </x:c>
      <x:c r="H88" t="str">
        <x:v>Client 44</x:v>
      </x:c>
      <x:c r="I88" s="16" t="n">
        <x:v>46071</x:v>
      </x:c>
      <x:c r="J88" t="n">
        <x:f>YEAR(B88)</x:f>
        <x:v>2026</x:v>
      </x:c>
      <x:c r="K88" s="20" t="n">
        <x:f>DATE(YEAR(B88),MONTH(B88),1)</x:f>
        <x:v>46023</x:v>
      </x:c>
      <x:c r="L88" s="18" t="n">
        <x:f>F88-G88</x:f>
        <x:v>3175.9400000000005</x:v>
      </x:c>
      <x:c r="M88" t="str">
        <x:f>IF(L88&lt;=0,"Payée",IF(G88=0,"Impayée","Partielle"))</x:f>
        <x:v>Partielle</x:v>
      </x:c>
      <x:c r="N88" t="n">
        <x:f>IF(I88="","",I88-B88)</x:f>
        <x:v>24</x:v>
      </x:c>
      <x:c r="O88" t="str">
        <x:f>IF(TRIM(C88)&lt;&gt;TRIM(H88),"Oui","Non")</x:f>
        <x:v>Non</x:v>
      </x:c>
      <x:c r="P88" t="str">
        <x:f>IFERROR(INDEX('02_REFERENTIEL_CLIENTS'!$B$2:$B$51,MATCH(TRIM(C88),'02_REFERENTIEL_CLIENTS'!$A$2:$A$51,0)),"Non trouvé")</x:f>
        <x:v>PME</x:v>
      </x:c>
      <x:c r="Q88" t="str">
        <x:f>IFERROR(INDEX('02_REFERENTIEL_CLIENTS'!$C$2:$C$51,MATCH(TRIM(C88),'02_REFERENTIEL_CLIENTS'!$A$2:$A$51,0)),"Non trouvé")</x:f>
        <x:v>Europe</x:v>
      </x:c>
      <x:c r="R88" t="str">
        <x:f>IF(OR(F88&lt;=0,G88&lt;0,G88&gt;F88,N88&lt;0,P88="Non trouvé"),"À vérifier","OK")</x:f>
        <x:v>OK</x:v>
      </x:c>
    </x:row>
    <x:row r="89">
      <x:c r="A89" t="str">
        <x:v>DV-2024-00088</x:v>
      </x:c>
      <x:c r="B89" s="16" t="n">
        <x:v>45342</x:v>
      </x:c>
      <x:c r="C89" t="str">
        <x:v>Client 35</x:v>
      </x:c>
      <x:c r="D89" t="str">
        <x:v>Douane</x:v>
      </x:c>
      <x:c r="E89" t="str">
        <x:v>Pôle E</x:v>
      </x:c>
      <x:c r="F89" s="18" t="n">
        <x:v>22260.59</x:v>
      </x:c>
      <x:c r="G89" s="18" t="n">
        <x:v>22260.59</x:v>
      </x:c>
      <x:c r="H89" t="str">
        <x:v>Client 35</x:v>
      </x:c>
      <x:c r="I89" s="16" t="n">
        <x:v>45428</x:v>
      </x:c>
      <x:c r="J89" t="n">
        <x:f>YEAR(B89)</x:f>
        <x:v>2024</x:v>
      </x:c>
      <x:c r="K89" s="20" t="n">
        <x:f>DATE(YEAR(B89),MONTH(B89),1)</x:f>
        <x:v>45323</x:v>
      </x:c>
      <x:c r="L89" s="18" t="n">
        <x:f>F89-G89</x:f>
        <x:v>0</x:v>
      </x:c>
      <x:c r="M89" t="str">
        <x:f>IF(L89&lt;=0,"Payée",IF(G89=0,"Impayée","Partielle"))</x:f>
        <x:v>Payée</x:v>
      </x:c>
      <x:c r="N89" t="n">
        <x:f>IF(I89="","",I89-B89)</x:f>
        <x:v>86</x:v>
      </x:c>
      <x:c r="O89" t="str">
        <x:f>IF(TRIM(C89)&lt;&gt;TRIM(H89),"Oui","Non")</x:f>
        <x:v>Non</x:v>
      </x:c>
      <x:c r="P89" t="str">
        <x:f>IFERROR(INDEX('02_REFERENTIEL_CLIENTS'!$B$2:$B$51,MATCH(TRIM(C89),'02_REFERENTIEL_CLIENTS'!$A$2:$A$51,0)),"Non trouvé")</x:f>
        <x:v>PME</x:v>
      </x:c>
      <x:c r="Q89" t="str">
        <x:f>IFERROR(INDEX('02_REFERENTIEL_CLIENTS'!$C$2:$C$51,MATCH(TRIM(C89),'02_REFERENTIEL_CLIENTS'!$A$2:$A$51,0)),"Non trouvé")</x:f>
        <x:v>Europe</x:v>
      </x:c>
      <x:c r="R89" t="str">
        <x:f>IF(OR(F89&lt;=0,G89&lt;0,G89&gt;F89,N89&lt;0,P89="Non trouvé"),"À vérifier","OK")</x:f>
        <x:v>OK</x:v>
      </x:c>
    </x:row>
    <x:row r="90">
      <x:c r="A90" t="str">
        <x:v>DV-2024-00089</x:v>
      </x:c>
      <x:c r="B90" s="16" t="n">
        <x:v>45449</x:v>
      </x:c>
      <x:c r="C90" t="str">
        <x:v>Client 37</x:v>
      </x:c>
      <x:c r="D90" t="str">
        <x:v>Fret maritime</x:v>
      </x:c>
      <x:c r="E90" t="str">
        <x:v>Pôle E</x:v>
      </x:c>
      <x:c r="F90" s="18" t="n">
        <x:v>5432.16</x:v>
      </x:c>
      <x:c r="G90" s="18" t="n">
        <x:v>929.1</x:v>
      </x:c>
      <x:c r="H90" t="str">
        <x:v>Client 13</x:v>
      </x:c>
      <x:c r="I90" s="16" t="n">
        <x:v>45460</x:v>
      </x:c>
      <x:c r="J90" t="n">
        <x:f>YEAR(B90)</x:f>
        <x:v>2024</x:v>
      </x:c>
      <x:c r="K90" s="20" t="n">
        <x:f>DATE(YEAR(B90),MONTH(B90),1)</x:f>
        <x:v>45444</x:v>
      </x:c>
      <x:c r="L90" s="18" t="n">
        <x:f>F90-G90</x:f>
        <x:v>4503.0599999999995</x:v>
      </x:c>
      <x:c r="M90" t="str">
        <x:f>IF(L90&lt;=0,"Payée",IF(G90=0,"Impayée","Partielle"))</x:f>
        <x:v>Partielle</x:v>
      </x:c>
      <x:c r="N90" t="n">
        <x:f>IF(I90="","",I90-B90)</x:f>
        <x:v>11</x:v>
      </x:c>
      <x:c r="O90" t="str">
        <x:f>IF(TRIM(C90)&lt;&gt;TRIM(H90),"Oui","Non")</x:f>
        <x:v>Oui</x:v>
      </x:c>
      <x:c r="P90" t="str">
        <x:f>IFERROR(INDEX('02_REFERENTIEL_CLIENTS'!$B$2:$B$51,MATCH(TRIM(C90),'02_REFERENTIEL_CLIENTS'!$A$2:$A$51,0)),"Non trouvé")</x:f>
        <x:v>Grands comptes</x:v>
      </x:c>
      <x:c r="Q90" t="str">
        <x:f>IFERROR(INDEX('02_REFERENTIEL_CLIENTS'!$C$2:$C$51,MATCH(TRIM(C90),'02_REFERENTIEL_CLIENTS'!$A$2:$A$51,0)),"Non trouvé")</x:f>
        <x:v>France</x:v>
      </x:c>
      <x:c r="R90" t="str">
        <x:f>IF(OR(F90&lt;=0,G90&lt;0,G90&gt;F90,N90&lt;0,P90="Non trouvé"),"À vérifier","OK")</x:f>
        <x:v>OK</x:v>
      </x:c>
    </x:row>
    <x:row r="91">
      <x:c r="A91" t="str">
        <x:v>DV-2026-00090</x:v>
      </x:c>
      <x:c r="B91" s="16" t="n">
        <x:v>46238</x:v>
      </x:c>
      <x:c r="C91" t="str">
        <x:v>Client 07</x:v>
      </x:c>
      <x:c r="D91" t="str">
        <x:v>Logistique</x:v>
      </x:c>
      <x:c r="E91" t="str">
        <x:v>Pôle C</x:v>
      </x:c>
      <x:c r="F91" s="18" t="n">
        <x:v>5193.34</x:v>
      </x:c>
      <x:c r="G91" s="18" t="n">
        <x:v>5193.34</x:v>
      </x:c>
      <x:c r="H91" t="str">
        <x:v>Client 07</x:v>
      </x:c>
      <x:c r="I91" s="16" t="n">
        <x:v>46286</x:v>
      </x:c>
      <x:c r="J91" t="n">
        <x:f>YEAR(B91)</x:f>
        <x:v>2026</x:v>
      </x:c>
      <x:c r="K91" s="20" t="n">
        <x:f>DATE(YEAR(B91),MONTH(B91),1)</x:f>
        <x:v>46235</x:v>
      </x:c>
      <x:c r="L91" s="18" t="n">
        <x:f>F91-G91</x:f>
        <x:v>0</x:v>
      </x:c>
      <x:c r="M91" t="str">
        <x:f>IF(L91&lt;=0,"Payée",IF(G91=0,"Impayée","Partielle"))</x:f>
        <x:v>Payée</x:v>
      </x:c>
      <x:c r="N91" t="n">
        <x:f>IF(I91="","",I91-B91)</x:f>
        <x:v>48</x:v>
      </x:c>
      <x:c r="O91" t="str">
        <x:f>IF(TRIM(C91)&lt;&gt;TRIM(H91),"Oui","Non")</x:f>
        <x:v>Non</x:v>
      </x:c>
      <x:c r="P91" t="str">
        <x:f>IFERROR(INDEX('02_REFERENTIEL_CLIENTS'!$B$2:$B$51,MATCH(TRIM(C91),'02_REFERENTIEL_CLIENTS'!$A$2:$A$51,0)),"Non trouvé")</x:f>
        <x:v>Grands comptes</x:v>
      </x:c>
      <x:c r="Q91" t="str">
        <x:f>IFERROR(INDEX('02_REFERENTIEL_CLIENTS'!$C$2:$C$51,MATCH(TRIM(C91),'02_REFERENTIEL_CLIENTS'!$A$2:$A$51,0)),"Non trouvé")</x:f>
        <x:v>France</x:v>
      </x:c>
      <x:c r="R91" t="str">
        <x:f>IF(OR(F91&lt;=0,G91&lt;0,G91&gt;F91,N91&lt;0,P91="Non trouvé"),"À vérifier","OK")</x:f>
        <x:v>OK</x:v>
      </x:c>
    </x:row>
    <x:row r="92">
      <x:c r="A92" t="str">
        <x:v>DV-2024-00091</x:v>
      </x:c>
      <x:c r="B92" s="16" t="n">
        <x:v>45302</x:v>
      </x:c>
      <x:c r="C92" t="str">
        <x:v>Client 01</x:v>
      </x:c>
      <x:c r="D92" t="str">
        <x:v>Douane</x:v>
      </x:c>
      <x:c r="E92" t="str">
        <x:v>Pôle A</x:v>
      </x:c>
      <x:c r="F92" s="18" t="n">
        <x:v>23541.04</x:v>
      </x:c>
      <x:c r="G92" s="18" t="n">
        <x:v>0</x:v>
      </x:c>
      <x:c r="H92" t="str">
        <x:v>Client 01</x:v>
      </x:c>
      <x:c r="I92" s="16"/>
      <x:c r="J92" t="n">
        <x:f>YEAR(B92)</x:f>
        <x:v>2024</x:v>
      </x:c>
      <x:c r="K92" s="20" t="n">
        <x:f>DATE(YEAR(B92),MONTH(B92),1)</x:f>
        <x:v>45292</x:v>
      </x:c>
      <x:c r="L92" s="18" t="n">
        <x:f>F92-G92</x:f>
        <x:v>23541.04</x:v>
      </x:c>
      <x:c r="M92" t="str">
        <x:f>IF(L92&lt;=0,"Payée",IF(G92=0,"Impayée","Partielle"))</x:f>
        <x:v>Impayée</x:v>
      </x:c>
      <x:c r="N92" t="str">
        <x:f>IF(I92="","",I92-B92)</x:f>
      </x:c>
      <x:c r="O92" t="str">
        <x:f>IF(TRIM(C92)&lt;&gt;TRIM(H92),"Oui","Non")</x:f>
        <x:v>Non</x:v>
      </x:c>
      <x:c r="P92" t="str">
        <x:f>IFERROR(INDEX('02_REFERENTIEL_CLIENTS'!$B$2:$B$51,MATCH(TRIM(C92),'02_REFERENTIEL_CLIENTS'!$A$2:$A$51,0)),"Non trouvé")</x:f>
        <x:v>Grands comptes</x:v>
      </x:c>
      <x:c r="Q92" t="str">
        <x:f>IFERROR(INDEX('02_REFERENTIEL_CLIENTS'!$C$2:$C$51,MATCH(TRIM(C92),'02_REFERENTIEL_CLIENTS'!$A$2:$A$51,0)),"Non trouvé")</x:f>
        <x:v>France</x:v>
      </x:c>
      <x:c r="R92" t="str">
        <x:f>IF(OR(F92&lt;=0,G92&lt;0,G92&gt;F92,N92&lt;0,P92="Non trouvé"),"À vérifier","OK")</x:f>
        <x:v>OK</x:v>
      </x:c>
    </x:row>
    <x:row r="93">
      <x:c r="A93" t="str">
        <x:v>DV-2024-00092</x:v>
      </x:c>
      <x:c r="B93" s="16" t="n">
        <x:v>45646</x:v>
      </x:c>
      <x:c r="C93" t="str">
        <x:v>Client 34</x:v>
      </x:c>
      <x:c r="D93" t="str">
        <x:v>Fret aérien</x:v>
      </x:c>
      <x:c r="E93" t="str">
        <x:v>Pôle D</x:v>
      </x:c>
      <x:c r="F93" s="18" t="n">
        <x:v>16273.53</x:v>
      </x:c>
      <x:c r="G93" s="18" t="n">
        <x:v>10264.28</x:v>
      </x:c>
      <x:c r="H93" t="str">
        <x:v>Client 34</x:v>
      </x:c>
      <x:c r="I93" s="16" t="n">
        <x:v>45741</x:v>
      </x:c>
      <x:c r="J93" t="n">
        <x:f>YEAR(B93)</x:f>
        <x:v>2024</x:v>
      </x:c>
      <x:c r="K93" s="20" t="n">
        <x:f>DATE(YEAR(B93),MONTH(B93),1)</x:f>
        <x:v>45627</x:v>
      </x:c>
      <x:c r="L93" s="18" t="n">
        <x:f>F93-G93</x:f>
        <x:v>6009.25</x:v>
      </x:c>
      <x:c r="M93" t="str">
        <x:f>IF(L93&lt;=0,"Payée",IF(G93=0,"Impayée","Partielle"))</x:f>
        <x:v>Partielle</x:v>
      </x:c>
      <x:c r="N93" t="n">
        <x:f>IF(I93="","",I93-B93)</x:f>
        <x:v>95</x:v>
      </x:c>
      <x:c r="O93" t="str">
        <x:f>IF(TRIM(C93)&lt;&gt;TRIM(H93),"Oui","Non")</x:f>
        <x:v>Non</x:v>
      </x:c>
      <x:c r="P93" t="str">
        <x:f>IFERROR(INDEX('02_REFERENTIEL_CLIENTS'!$B$2:$B$51,MATCH(TRIM(C93),'02_REFERENTIEL_CLIENTS'!$A$2:$A$51,0)),"Non trouvé")</x:f>
        <x:v>Grands comptes</x:v>
      </x:c>
      <x:c r="Q93" t="str">
        <x:f>IFERROR(INDEX('02_REFERENTIEL_CLIENTS'!$C$2:$C$51,MATCH(TRIM(C93),'02_REFERENTIEL_CLIENTS'!$A$2:$A$51,0)),"Non trouvé")</x:f>
        <x:v>France</x:v>
      </x:c>
      <x:c r="R93" t="str">
        <x:f>IF(OR(F93&lt;=0,G93&lt;0,G93&gt;F93,N93&lt;0,P93="Non trouvé"),"À vérifier","OK")</x:f>
        <x:v>OK</x:v>
      </x:c>
    </x:row>
    <x:row r="94">
      <x:c r="A94" t="str">
        <x:v>DV-2024-00093</x:v>
      </x:c>
      <x:c r="B94" s="16" t="n">
        <x:v>45472</x:v>
      </x:c>
      <x:c r="C94" t="str">
        <x:v>Client 19</x:v>
      </x:c>
      <x:c r="D94" t="str">
        <x:v>Fret aérien</x:v>
      </x:c>
      <x:c r="E94" t="str">
        <x:v>Pôle B</x:v>
      </x:c>
      <x:c r="F94" s="18" t="n">
        <x:v>15959.01</x:v>
      </x:c>
      <x:c r="G94" s="18" t="n">
        <x:v>15959.01</x:v>
      </x:c>
      <x:c r="H94" t="str">
        <x:v>Client 19</x:v>
      </x:c>
      <x:c r="I94" s="16" t="n">
        <x:v>45542</x:v>
      </x:c>
      <x:c r="J94" t="n">
        <x:f>YEAR(B94)</x:f>
        <x:v>2024</x:v>
      </x:c>
      <x:c r="K94" s="20" t="n">
        <x:f>DATE(YEAR(B94),MONTH(B94),1)</x:f>
        <x:v>45444</x:v>
      </x:c>
      <x:c r="L94" s="18" t="n">
        <x:f>F94-G94</x:f>
        <x:v>0</x:v>
      </x:c>
      <x:c r="M94" t="str">
        <x:f>IF(L94&lt;=0,"Payée",IF(G94=0,"Impayée","Partielle"))</x:f>
        <x:v>Payée</x:v>
      </x:c>
      <x:c r="N94" t="n">
        <x:f>IF(I94="","",I94-B94)</x:f>
        <x:v>70</x:v>
      </x:c>
      <x:c r="O94" t="str">
        <x:f>IF(TRIM(C94)&lt;&gt;TRIM(H94),"Oui","Non")</x:f>
        <x:v>Non</x:v>
      </x:c>
      <x:c r="P94" t="str">
        <x:f>IFERROR(INDEX('02_REFERENTIEL_CLIENTS'!$B$2:$B$51,MATCH(TRIM(C94),'02_REFERENTIEL_CLIENTS'!$A$2:$A$51,0)),"Non trouvé")</x:f>
        <x:v>Grands comptes</x:v>
      </x:c>
      <x:c r="Q94" t="str">
        <x:f>IFERROR(INDEX('02_REFERENTIEL_CLIENTS'!$C$2:$C$51,MATCH(TRIM(C94),'02_REFERENTIEL_CLIENTS'!$A$2:$A$51,0)),"Non trouvé")</x:f>
        <x:v>France</x:v>
      </x:c>
      <x:c r="R94" t="str">
        <x:f>IF(OR(F94&lt;=0,G94&lt;0,G94&gt;F94,N94&lt;0,P94="Non trouvé"),"À vérifier","OK")</x:f>
        <x:v>OK</x:v>
      </x:c>
    </x:row>
    <x:row r="95">
      <x:c r="A95" t="str">
        <x:v>DV-2024-00094</x:v>
      </x:c>
      <x:c r="B95" s="16" t="n">
        <x:v>45653</x:v>
      </x:c>
      <x:c r="C95" t="str">
        <x:v>Client 16</x:v>
      </x:c>
      <x:c r="D95" t="str">
        <x:v>Douane</x:v>
      </x:c>
      <x:c r="E95" t="str">
        <x:v>Pôle E</x:v>
      </x:c>
      <x:c r="F95" s="18" t="n">
        <x:v>1176.13</x:v>
      </x:c>
      <x:c r="G95" s="18" t="n">
        <x:v>1176.13</x:v>
      </x:c>
      <x:c r="H95" t="str">
        <x:v>Client 16</x:v>
      </x:c>
      <x:c r="I95" s="16" t="n">
        <x:v>45739</x:v>
      </x:c>
      <x:c r="J95" t="n">
        <x:f>YEAR(B95)</x:f>
        <x:v>2024</x:v>
      </x:c>
      <x:c r="K95" s="20" t="n">
        <x:f>DATE(YEAR(B95),MONTH(B95),1)</x:f>
        <x:v>45627</x:v>
      </x:c>
      <x:c r="L95" s="18" t="n">
        <x:f>F95-G95</x:f>
        <x:v>0</x:v>
      </x:c>
      <x:c r="M95" t="str">
        <x:f>IF(L95&lt;=0,"Payée",IF(G95=0,"Impayée","Partielle"))</x:f>
        <x:v>Payée</x:v>
      </x:c>
      <x:c r="N95" t="n">
        <x:f>IF(I95="","",I95-B95)</x:f>
        <x:v>86</x:v>
      </x:c>
      <x:c r="O95" t="str">
        <x:f>IF(TRIM(C95)&lt;&gt;TRIM(H95),"Oui","Non")</x:f>
        <x:v>Non</x:v>
      </x:c>
      <x:c r="P95" t="str">
        <x:f>IFERROR(INDEX('02_REFERENTIEL_CLIENTS'!$B$2:$B$51,MATCH(TRIM(C95),'02_REFERENTIEL_CLIENTS'!$A$2:$A$51,0)),"Non trouvé")</x:f>
        <x:v>Grands comptes</x:v>
      </x:c>
      <x:c r="Q95" t="str">
        <x:f>IFERROR(INDEX('02_REFERENTIEL_CLIENTS'!$C$2:$C$51,MATCH(TRIM(C95),'02_REFERENTIEL_CLIENTS'!$A$2:$A$51,0)),"Non trouvé")</x:f>
        <x:v>France</x:v>
      </x:c>
      <x:c r="R95" t="str">
        <x:f>IF(OR(F95&lt;=0,G95&lt;0,G95&gt;F95,N95&lt;0,P95="Non trouvé"),"À vérifier","OK")</x:f>
        <x:v>OK</x:v>
      </x:c>
    </x:row>
    <x:row r="96">
      <x:c r="A96" t="str">
        <x:v>DV-2026-00095</x:v>
      </x:c>
      <x:c r="B96" s="16" t="n">
        <x:v>46150</x:v>
      </x:c>
      <x:c r="C96" t="str">
        <x:v>Client 13</x:v>
      </x:c>
      <x:c r="D96" t="str">
        <x:v>Fret aérien</x:v>
      </x:c>
      <x:c r="E96" t="str">
        <x:v>Pôle A</x:v>
      </x:c>
      <x:c r="F96" s="18" t="n">
        <x:v>7627.8</x:v>
      </x:c>
      <x:c r="G96" s="18" t="n">
        <x:v>7627.8</x:v>
      </x:c>
      <x:c r="H96" t="str">
        <x:v>Client 13</x:v>
      </x:c>
      <x:c r="I96" s="16" t="n">
        <x:v>46233</x:v>
      </x:c>
      <x:c r="J96" t="n">
        <x:f>YEAR(B96)</x:f>
        <x:v>2026</x:v>
      </x:c>
      <x:c r="K96" s="20" t="n">
        <x:f>DATE(YEAR(B96),MONTH(B96),1)</x:f>
        <x:v>46143</x:v>
      </x:c>
      <x:c r="L96" s="18" t="n">
        <x:f>F96-G96</x:f>
        <x:v>0</x:v>
      </x:c>
      <x:c r="M96" t="str">
        <x:f>IF(L96&lt;=0,"Payée",IF(G96=0,"Impayée","Partielle"))</x:f>
        <x:v>Payée</x:v>
      </x:c>
      <x:c r="N96" t="n">
        <x:f>IF(I96="","",I96-B96)</x:f>
        <x:v>83</x:v>
      </x:c>
      <x:c r="O96" t="str">
        <x:f>IF(TRIM(C96)&lt;&gt;TRIM(H96),"Oui","Non")</x:f>
        <x:v>Non</x:v>
      </x:c>
      <x:c r="P96" t="str">
        <x:f>IFERROR(INDEX('02_REFERENTIEL_CLIENTS'!$B$2:$B$51,MATCH(TRIM(C96),'02_REFERENTIEL_CLIENTS'!$A$2:$A$51,0)),"Non trouvé")</x:f>
        <x:v>Grands comptes</x:v>
      </x:c>
      <x:c r="Q96" t="str">
        <x:f>IFERROR(INDEX('02_REFERENTIEL_CLIENTS'!$C$2:$C$51,MATCH(TRIM(C96),'02_REFERENTIEL_CLIENTS'!$A$2:$A$51,0)),"Non trouvé")</x:f>
        <x:v>France</x:v>
      </x:c>
      <x:c r="R96" t="str">
        <x:f>IF(OR(F96&lt;=0,G96&lt;0,G96&gt;F96,N96&lt;0,P96="Non trouvé"),"À vérifier","OK")</x:f>
        <x:v>OK</x:v>
      </x:c>
    </x:row>
    <x:row r="97">
      <x:c r="A97" t="str">
        <x:v>DV-2025-00096</x:v>
      </x:c>
      <x:c r="B97" s="16" t="n">
        <x:v>46016</x:v>
      </x:c>
      <x:c r="C97" t="str">
        <x:v>Client 50</x:v>
      </x:c>
      <x:c r="D97" t="str">
        <x:v>Logistique</x:v>
      </x:c>
      <x:c r="E97" t="str">
        <x:v>Pôle C</x:v>
      </x:c>
      <x:c r="F97" s="18" t="n">
        <x:v>9498.92</x:v>
      </x:c>
      <x:c r="G97" s="18" t="n">
        <x:v>9498.92</x:v>
      </x:c>
      <x:c r="H97" t="str">
        <x:v>Client 50</x:v>
      </x:c>
      <x:c r="I97" s="16" t="n">
        <x:v>46082</x:v>
      </x:c>
      <x:c r="J97" t="n">
        <x:f>YEAR(B97)</x:f>
        <x:v>2025</x:v>
      </x:c>
      <x:c r="K97" s="20" t="n">
        <x:f>DATE(YEAR(B97),MONTH(B97),1)</x:f>
        <x:v>45992</x:v>
      </x:c>
      <x:c r="L97" s="18" t="n">
        <x:f>F97-G97</x:f>
        <x:v>0</x:v>
      </x:c>
      <x:c r="M97" t="str">
        <x:f>IF(L97&lt;=0,"Payée",IF(G97=0,"Impayée","Partielle"))</x:f>
        <x:v>Payée</x:v>
      </x:c>
      <x:c r="N97" t="n">
        <x:f>IF(I97="","",I97-B97)</x:f>
        <x:v>66</x:v>
      </x:c>
      <x:c r="O97" t="str">
        <x:f>IF(TRIM(C97)&lt;&gt;TRIM(H97),"Oui","Non")</x:f>
        <x:v>Non</x:v>
      </x:c>
      <x:c r="P97" t="str">
        <x:f>IFERROR(INDEX('02_REFERENTIEL_CLIENTS'!$B$2:$B$51,MATCH(TRIM(C97),'02_REFERENTIEL_CLIENTS'!$A$2:$A$51,0)),"Non trouvé")</x:f>
        <x:v>PME</x:v>
      </x:c>
      <x:c r="Q97" t="str">
        <x:f>IFERROR(INDEX('02_REFERENTIEL_CLIENTS'!$C$2:$C$51,MATCH(TRIM(C97),'02_REFERENTIEL_CLIENTS'!$A$2:$A$51,0)),"Non trouvé")</x:f>
        <x:v>Europe</x:v>
      </x:c>
      <x:c r="R97" t="str">
        <x:f>IF(OR(F97&lt;=0,G97&lt;0,G97&gt;F97,N97&lt;0,P97="Non trouvé"),"À vérifier","OK")</x:f>
        <x:v>OK</x:v>
      </x:c>
    </x:row>
    <x:row r="98">
      <x:c r="A98" t="str">
        <x:v>DV-2026-00097</x:v>
      </x:c>
      <x:c r="B98" s="16" t="n">
        <x:v>46144</x:v>
      </x:c>
      <x:c r="C98" t="str">
        <x:v>Client 05</x:v>
      </x:c>
      <x:c r="D98" t="str">
        <x:v>Logistique</x:v>
      </x:c>
      <x:c r="E98" t="str">
        <x:v>Pôle E</x:v>
      </x:c>
      <x:c r="F98" s="18" t="n">
        <x:v>24939.54</x:v>
      </x:c>
      <x:c r="G98" s="18" t="n">
        <x:v>18902.63</x:v>
      </x:c>
      <x:c r="H98" t="str">
        <x:v>Client 05</x:v>
      </x:c>
      <x:c r="I98" s="16" t="n">
        <x:v>46196</x:v>
      </x:c>
      <x:c r="J98" t="n">
        <x:f>YEAR(B98)</x:f>
        <x:v>2026</x:v>
      </x:c>
      <x:c r="K98" s="20" t="n">
        <x:f>DATE(YEAR(B98),MONTH(B98),1)</x:f>
        <x:v>46143</x:v>
      </x:c>
      <x:c r="L98" s="18" t="n">
        <x:f>F98-G98</x:f>
        <x:v>6036.91</x:v>
      </x:c>
      <x:c r="M98" t="str">
        <x:f>IF(L98&lt;=0,"Payée",IF(G98=0,"Impayée","Partielle"))</x:f>
        <x:v>Partielle</x:v>
      </x:c>
      <x:c r="N98" t="n">
        <x:f>IF(I98="","",I98-B98)</x:f>
        <x:v>52</x:v>
      </x:c>
      <x:c r="O98" t="str">
        <x:f>IF(TRIM(C98)&lt;&gt;TRIM(H98),"Oui","Non")</x:f>
        <x:v>Non</x:v>
      </x:c>
      <x:c r="P98" t="str">
        <x:f>IFERROR(INDEX('02_REFERENTIEL_CLIENTS'!$B$2:$B$51,MATCH(TRIM(C98),'02_REFERENTIEL_CLIENTS'!$A$2:$A$51,0)),"Non trouvé")</x:f>
        <x:v>PME</x:v>
      </x:c>
      <x:c r="Q98" t="str">
        <x:f>IFERROR(INDEX('02_REFERENTIEL_CLIENTS'!$C$2:$C$51,MATCH(TRIM(C98),'02_REFERENTIEL_CLIENTS'!$A$2:$A$51,0)),"Non trouvé")</x:f>
        <x:v>Europe</x:v>
      </x:c>
      <x:c r="R98" t="str">
        <x:f>IF(OR(F98&lt;=0,G98&lt;0,G98&gt;F98,N98&lt;0,P98="Non trouvé"),"À vérifier","OK")</x:f>
        <x:v>OK</x:v>
      </x:c>
    </x:row>
    <x:row r="99">
      <x:c r="A99" t="str">
        <x:v>DV-2026-00098</x:v>
      </x:c>
      <x:c r="B99" s="16" t="n">
        <x:v>46101</x:v>
      </x:c>
      <x:c r="C99" t="str">
        <x:v>Client 08</x:v>
      </x:c>
      <x:c r="D99" t="str">
        <x:v>Fret aérien</x:v>
      </x:c>
      <x:c r="E99" t="str">
        <x:v>Pôle D</x:v>
      </x:c>
      <x:c r="F99" s="18" t="n">
        <x:v>14392.62</x:v>
      </x:c>
      <x:c r="G99" s="18" t="n">
        <x:v>12160.87</x:v>
      </x:c>
      <x:c r="H99" t="str">
        <x:v>Client 08</x:v>
      </x:c>
      <x:c r="I99" s="16" t="n">
        <x:v>46136</x:v>
      </x:c>
      <x:c r="J99" t="n">
        <x:f>YEAR(B99)</x:f>
        <x:v>2026</x:v>
      </x:c>
      <x:c r="K99" s="20" t="n">
        <x:f>DATE(YEAR(B99),MONTH(B99),1)</x:f>
        <x:v>46082</x:v>
      </x:c>
      <x:c r="L99" s="18" t="n">
        <x:f>F99-G99</x:f>
        <x:v>2231.75</x:v>
      </x:c>
      <x:c r="M99" t="str">
        <x:f>IF(L99&lt;=0,"Payée",IF(G99=0,"Impayée","Partielle"))</x:f>
        <x:v>Partielle</x:v>
      </x:c>
      <x:c r="N99" t="n">
        <x:f>IF(I99="","",I99-B99)</x:f>
        <x:v>35</x:v>
      </x:c>
      <x:c r="O99" t="str">
        <x:f>IF(TRIM(C99)&lt;&gt;TRIM(H99),"Oui","Non")</x:f>
        <x:v>Non</x:v>
      </x:c>
      <x:c r="P99" t="str">
        <x:f>IFERROR(INDEX('02_REFERENTIEL_CLIENTS'!$B$2:$B$51,MATCH(TRIM(C99),'02_REFERENTIEL_CLIENTS'!$A$2:$A$51,0)),"Non trouvé")</x:f>
        <x:v>PME</x:v>
      </x:c>
      <x:c r="Q99" t="str">
        <x:f>IFERROR(INDEX('02_REFERENTIEL_CLIENTS'!$C$2:$C$51,MATCH(TRIM(C99),'02_REFERENTIEL_CLIENTS'!$A$2:$A$51,0)),"Non trouvé")</x:f>
        <x:v>Europe</x:v>
      </x:c>
      <x:c r="R99" t="str">
        <x:f>IF(OR(F99&lt;=0,G99&lt;0,G99&gt;F99,N99&lt;0,P99="Non trouvé"),"À vérifier","OK")</x:f>
        <x:v>OK</x:v>
      </x:c>
    </x:row>
    <x:row r="100">
      <x:c r="A100" t="str">
        <x:v>DV-2026-00099</x:v>
      </x:c>
      <x:c r="B100" s="16" t="n">
        <x:v>46132</x:v>
      </x:c>
      <x:c r="C100" t="str">
        <x:v>Client 39</x:v>
      </x:c>
      <x:c r="D100" t="str">
        <x:v>Express</x:v>
      </x:c>
      <x:c r="E100" t="str">
        <x:v>Pôle B</x:v>
      </x:c>
      <x:c r="F100" s="18" t="n">
        <x:v>17414.07</x:v>
      </x:c>
      <x:c r="G100" s="18" t="n">
        <x:v>17414.07</x:v>
      </x:c>
      <x:c r="H100" t="str">
        <x:v>Client 39</x:v>
      </x:c>
      <x:c r="I100" s="16" t="n">
        <x:v>46211</x:v>
      </x:c>
      <x:c r="J100" t="n">
        <x:f>YEAR(B100)</x:f>
        <x:v>2026</x:v>
      </x:c>
      <x:c r="K100" s="20" t="n">
        <x:f>DATE(YEAR(B100),MONTH(B100),1)</x:f>
        <x:v>46113</x:v>
      </x:c>
      <x:c r="L100" s="18" t="n">
        <x:f>F100-G100</x:f>
        <x:v>0</x:v>
      </x:c>
      <x:c r="M100" t="str">
        <x:f>IF(L100&lt;=0,"Payée",IF(G100=0,"Impayée","Partielle"))</x:f>
        <x:v>Payée</x:v>
      </x:c>
      <x:c r="N100" t="n">
        <x:f>IF(I100="","",I100-B100)</x:f>
        <x:v>79</x:v>
      </x:c>
      <x:c r="O100" t="str">
        <x:f>IF(TRIM(C100)&lt;&gt;TRIM(H100),"Oui","Non")</x:f>
        <x:v>Non</x:v>
      </x:c>
      <x:c r="P100" t="str">
        <x:f>IFERROR(INDEX('02_REFERENTIEL_CLIENTS'!$B$2:$B$51,MATCH(TRIM(C100),'02_REFERENTIEL_CLIENTS'!$A$2:$A$51,0)),"Non trouvé")</x:f>
        <x:v>Particuliers</x:v>
      </x:c>
      <x:c r="Q100" t="str">
        <x:f>IFERROR(INDEX('02_REFERENTIEL_CLIENTS'!$C$2:$C$51,MATCH(TRIM(C100),'02_REFERENTIEL_CLIENTS'!$A$2:$A$51,0)),"Non trouvé")</x:f>
        <x:v>International</x:v>
      </x:c>
      <x:c r="R100" t="str">
        <x:f>IF(OR(F100&lt;=0,G100&lt;0,G100&gt;F100,N100&lt;0,P100="Non trouvé"),"À vérifier","OK")</x:f>
        <x:v>OK</x:v>
      </x:c>
    </x:row>
    <x:row r="101">
      <x:c r="A101" t="str">
        <x:v>DV-2025-00100</x:v>
      </x:c>
      <x:c r="B101" s="16" t="n">
        <x:v>45834</x:v>
      </x:c>
      <x:c r="C101" t="str">
        <x:v>Client 49</x:v>
      </x:c>
      <x:c r="D101" t="str">
        <x:v>Fret aérien</x:v>
      </x:c>
      <x:c r="E101" t="str">
        <x:v>Pôle D</x:v>
      </x:c>
      <x:c r="F101" s="18" t="n">
        <x:v>14149.41</x:v>
      </x:c>
      <x:c r="G101" s="18" t="n">
        <x:v>14149.41</x:v>
      </x:c>
      <x:c r="H101" t="str">
        <x:v>Client 49</x:v>
      </x:c>
      <x:c r="I101" s="16" t="n">
        <x:v>45917</x:v>
      </x:c>
      <x:c r="J101" t="n">
        <x:f>YEAR(B101)</x:f>
        <x:v>2025</x:v>
      </x:c>
      <x:c r="K101" s="20" t="n">
        <x:f>DATE(YEAR(B101),MONTH(B101),1)</x:f>
        <x:v>45809</x:v>
      </x:c>
      <x:c r="L101" s="18" t="n">
        <x:f>F101-G101</x:f>
        <x:v>0</x:v>
      </x:c>
      <x:c r="M101" t="str">
        <x:f>IF(L101&lt;=0,"Payée",IF(G101=0,"Impayée","Partielle"))</x:f>
        <x:v>Payée</x:v>
      </x:c>
      <x:c r="N101" t="n">
        <x:f>IF(I101="","",I101-B101)</x:f>
        <x:v>83</x:v>
      </x:c>
      <x:c r="O101" t="str">
        <x:f>IF(TRIM(C101)&lt;&gt;TRIM(H101),"Oui","Non")</x:f>
        <x:v>Non</x:v>
      </x:c>
      <x:c r="P101" t="str">
        <x:f>IFERROR(INDEX('02_REFERENTIEL_CLIENTS'!$B$2:$B$51,MATCH(TRIM(C101),'02_REFERENTIEL_CLIENTS'!$A$2:$A$51,0)),"Non trouvé")</x:f>
        <x:v>Grands comptes</x:v>
      </x:c>
      <x:c r="Q101" t="str">
        <x:f>IFERROR(INDEX('02_REFERENTIEL_CLIENTS'!$C$2:$C$51,MATCH(TRIM(C101),'02_REFERENTIEL_CLIENTS'!$A$2:$A$51,0)),"Non trouvé")</x:f>
        <x:v>France</x:v>
      </x:c>
      <x:c r="R101" t="str">
        <x:f>IF(OR(F101&lt;=0,G101&lt;0,G101&gt;F101,N101&lt;0,P101="Non trouvé"),"À vérifier","OK")</x:f>
        <x:v>OK</x:v>
      </x:c>
    </x:row>
    <x:row r="102">
      <x:c r="A102" t="str">
        <x:v>DV-2026-00101</x:v>
      </x:c>
      <x:c r="B102" s="16" t="n">
        <x:v>46196</x:v>
      </x:c>
      <x:c r="C102" t="str">
        <x:v>Client 30</x:v>
      </x:c>
      <x:c r="D102" t="str">
        <x:v>Express</x:v>
      </x:c>
      <x:c r="E102" t="str">
        <x:v>Pôle D</x:v>
      </x:c>
      <x:c r="F102" s="18" t="n">
        <x:v>10401.01</x:v>
      </x:c>
      <x:c r="G102" s="18" t="n">
        <x:v>10401.01</x:v>
      </x:c>
      <x:c r="H102" t="str">
        <x:v>Client 50</x:v>
      </x:c>
      <x:c r="I102" s="16" t="n">
        <x:v>46224</x:v>
      </x:c>
      <x:c r="J102" t="n">
        <x:f>YEAR(B102)</x:f>
        <x:v>2026</x:v>
      </x:c>
      <x:c r="K102" s="20" t="n">
        <x:f>DATE(YEAR(B102),MONTH(B102),1)</x:f>
        <x:v>46174</x:v>
      </x:c>
      <x:c r="L102" s="18" t="n">
        <x:f>F102-G102</x:f>
        <x:v>0</x:v>
      </x:c>
      <x:c r="M102" t="str">
        <x:f>IF(L102&lt;=0,"Payée",IF(G102=0,"Impayée","Partielle"))</x:f>
        <x:v>Payée</x:v>
      </x:c>
      <x:c r="N102" t="n">
        <x:f>IF(I102="","",I102-B102)</x:f>
        <x:v>28</x:v>
      </x:c>
      <x:c r="O102" t="str">
        <x:f>IF(TRIM(C102)&lt;&gt;TRIM(H102),"Oui","Non")</x:f>
        <x:v>Oui</x:v>
      </x:c>
      <x:c r="P102" t="str">
        <x:f>IFERROR(INDEX('02_REFERENTIEL_CLIENTS'!$B$2:$B$51,MATCH(TRIM(C102),'02_REFERENTIEL_CLIENTS'!$A$2:$A$51,0)),"Non trouvé")</x:f>
        <x:v>Particuliers</x:v>
      </x:c>
      <x:c r="Q102" t="str">
        <x:f>IFERROR(INDEX('02_REFERENTIEL_CLIENTS'!$C$2:$C$51,MATCH(TRIM(C102),'02_REFERENTIEL_CLIENTS'!$A$2:$A$51,0)),"Non trouvé")</x:f>
        <x:v>International</x:v>
      </x:c>
      <x:c r="R102" t="str">
        <x:f>IF(OR(F102&lt;=0,G102&lt;0,G102&gt;F102,N102&lt;0,P102="Non trouvé"),"À vérifier","OK")</x:f>
        <x:v>OK</x:v>
      </x:c>
    </x:row>
    <x:row r="103">
      <x:c r="A103" t="str">
        <x:v>DV-2024-00102</x:v>
      </x:c>
      <x:c r="B103" s="16" t="n">
        <x:v>45640</x:v>
      </x:c>
      <x:c r="C103" t="str">
        <x:v>Client 19</x:v>
      </x:c>
      <x:c r="D103" t="str">
        <x:v>Express</x:v>
      </x:c>
      <x:c r="E103" t="str">
        <x:v>Pôle E</x:v>
      </x:c>
      <x:c r="F103" s="18" t="n">
        <x:v>5302.96</x:v>
      </x:c>
      <x:c r="G103" s="18" t="n">
        <x:v>5302.96</x:v>
      </x:c>
      <x:c r="H103" t="str">
        <x:v>Client 32</x:v>
      </x:c>
      <x:c r="I103" s="16" t="n">
        <x:v>45656</x:v>
      </x:c>
      <x:c r="J103" t="n">
        <x:f>YEAR(B103)</x:f>
        <x:v>2024</x:v>
      </x:c>
      <x:c r="K103" s="20" t="n">
        <x:f>DATE(YEAR(B103),MONTH(B103),1)</x:f>
        <x:v>45627</x:v>
      </x:c>
      <x:c r="L103" s="18" t="n">
        <x:f>F103-G103</x:f>
        <x:v>0</x:v>
      </x:c>
      <x:c r="M103" t="str">
        <x:f>IF(L103&lt;=0,"Payée",IF(G103=0,"Impayée","Partielle"))</x:f>
        <x:v>Payée</x:v>
      </x:c>
      <x:c r="N103" t="n">
        <x:f>IF(I103="","",I103-B103)</x:f>
        <x:v>16</x:v>
      </x:c>
      <x:c r="O103" t="str">
        <x:f>IF(TRIM(C103)&lt;&gt;TRIM(H103),"Oui","Non")</x:f>
        <x:v>Oui</x:v>
      </x:c>
      <x:c r="P103" t="str">
        <x:f>IFERROR(INDEX('02_REFERENTIEL_CLIENTS'!$B$2:$B$51,MATCH(TRIM(C103),'02_REFERENTIEL_CLIENTS'!$A$2:$A$51,0)),"Non trouvé")</x:f>
        <x:v>Grands comptes</x:v>
      </x:c>
      <x:c r="Q103" t="str">
        <x:f>IFERROR(INDEX('02_REFERENTIEL_CLIENTS'!$C$2:$C$51,MATCH(TRIM(C103),'02_REFERENTIEL_CLIENTS'!$A$2:$A$51,0)),"Non trouvé")</x:f>
        <x:v>France</x:v>
      </x:c>
      <x:c r="R103" t="str">
        <x:f>IF(OR(F103&lt;=0,G103&lt;0,G103&gt;F103,N103&lt;0,P103="Non trouvé"),"À vérifier","OK")</x:f>
        <x:v>OK</x:v>
      </x:c>
    </x:row>
    <x:row r="104">
      <x:c r="A104" t="str">
        <x:v>DV-2025-00103</x:v>
      </x:c>
      <x:c r="B104" s="16" t="n">
        <x:v>45811</x:v>
      </x:c>
      <x:c r="C104" t="str">
        <x:v>Client 49</x:v>
      </x:c>
      <x:c r="D104" t="str">
        <x:v>Fret maritime</x:v>
      </x:c>
      <x:c r="E104" t="str">
        <x:v>Pôle A</x:v>
      </x:c>
      <x:c r="F104" s="18" t="n">
        <x:v>2578.3</x:v>
      </x:c>
      <x:c r="G104" s="18" t="n">
        <x:v>0</x:v>
      </x:c>
      <x:c r="H104" t="str">
        <x:v>Client 49</x:v>
      </x:c>
      <x:c r="I104" s="16"/>
      <x:c r="J104" t="n">
        <x:f>YEAR(B104)</x:f>
        <x:v>2025</x:v>
      </x:c>
      <x:c r="K104" s="20" t="n">
        <x:f>DATE(YEAR(B104),MONTH(B104),1)</x:f>
        <x:v>45809</x:v>
      </x:c>
      <x:c r="L104" s="18" t="n">
        <x:f>F104-G104</x:f>
        <x:v>2578.3</x:v>
      </x:c>
      <x:c r="M104" t="str">
        <x:f>IF(L104&lt;=0,"Payée",IF(G104=0,"Impayée","Partielle"))</x:f>
        <x:v>Impayée</x:v>
      </x:c>
      <x:c r="N104" t="str">
        <x:f>IF(I104="","",I104-B104)</x:f>
      </x:c>
      <x:c r="O104" t="str">
        <x:f>IF(TRIM(C104)&lt;&gt;TRIM(H104),"Oui","Non")</x:f>
        <x:v>Non</x:v>
      </x:c>
      <x:c r="P104" t="str">
        <x:f>IFERROR(INDEX('02_REFERENTIEL_CLIENTS'!$B$2:$B$51,MATCH(TRIM(C104),'02_REFERENTIEL_CLIENTS'!$A$2:$A$51,0)),"Non trouvé")</x:f>
        <x:v>Grands comptes</x:v>
      </x:c>
      <x:c r="Q104" t="str">
        <x:f>IFERROR(INDEX('02_REFERENTIEL_CLIENTS'!$C$2:$C$51,MATCH(TRIM(C104),'02_REFERENTIEL_CLIENTS'!$A$2:$A$51,0)),"Non trouvé")</x:f>
        <x:v>France</x:v>
      </x:c>
      <x:c r="R104" t="str">
        <x:f>IF(OR(F104&lt;=0,G104&lt;0,G104&gt;F104,N104&lt;0,P104="Non trouvé"),"À vérifier","OK")</x:f>
        <x:v>OK</x:v>
      </x:c>
    </x:row>
    <x:row r="105">
      <x:c r="A105" t="str">
        <x:v>DV-2024-00104</x:v>
      </x:c>
      <x:c r="B105" s="16" t="n">
        <x:v>45497</x:v>
      </x:c>
      <x:c r="C105" t="str">
        <x:v>Client 03</x:v>
      </x:c>
      <x:c r="D105" t="str">
        <x:v>Fret maritime</x:v>
      </x:c>
      <x:c r="E105" t="str">
        <x:v>Pôle A</x:v>
      </x:c>
      <x:c r="F105" s="18" t="n">
        <x:v>11843.69</x:v>
      </x:c>
      <x:c r="G105" s="18" t="n">
        <x:v>11843.69</x:v>
      </x:c>
      <x:c r="H105" t="str">
        <x:v>Client 03</x:v>
      </x:c>
      <x:c r="I105" s="16" t="n">
        <x:v>45568</x:v>
      </x:c>
      <x:c r="J105" t="n">
        <x:f>YEAR(B105)</x:f>
        <x:v>2024</x:v>
      </x:c>
      <x:c r="K105" s="20" t="n">
        <x:f>DATE(YEAR(B105),MONTH(B105),1)</x:f>
        <x:v>45474</x:v>
      </x:c>
      <x:c r="L105" s="18" t="n">
        <x:f>F105-G105</x:f>
        <x:v>0</x:v>
      </x:c>
      <x:c r="M105" t="str">
        <x:f>IF(L105&lt;=0,"Payée",IF(G105=0,"Impayée","Partielle"))</x:f>
        <x:v>Payée</x:v>
      </x:c>
      <x:c r="N105" t="n">
        <x:f>IF(I105="","",I105-B105)</x:f>
        <x:v>71</x:v>
      </x:c>
      <x:c r="O105" t="str">
        <x:f>IF(TRIM(C105)&lt;&gt;TRIM(H105),"Oui","Non")</x:f>
        <x:v>Non</x:v>
      </x:c>
      <x:c r="P105" t="str">
        <x:f>IFERROR(INDEX('02_REFERENTIEL_CLIENTS'!$B$2:$B$51,MATCH(TRIM(C105),'02_REFERENTIEL_CLIENTS'!$A$2:$A$51,0)),"Non trouvé")</x:f>
        <x:v>Particuliers</x:v>
      </x:c>
      <x:c r="Q105" t="str">
        <x:f>IFERROR(INDEX('02_REFERENTIEL_CLIENTS'!$C$2:$C$51,MATCH(TRIM(C105),'02_REFERENTIEL_CLIENTS'!$A$2:$A$51,0)),"Non trouvé")</x:f>
        <x:v>International</x:v>
      </x:c>
      <x:c r="R105" t="str">
        <x:f>IF(OR(F105&lt;=0,G105&lt;0,G105&gt;F105,N105&lt;0,P105="Non trouvé"),"À vérifier","OK")</x:f>
        <x:v>OK</x:v>
      </x:c>
    </x:row>
    <x:row r="106">
      <x:c r="A106" t="str">
        <x:v>DV-2024-00105</x:v>
      </x:c>
      <x:c r="B106" s="16" t="n">
        <x:v>45457</x:v>
      </x:c>
      <x:c r="C106" t="str">
        <x:v>Client 06</x:v>
      </x:c>
      <x:c r="D106" t="str">
        <x:v>Logistique</x:v>
      </x:c>
      <x:c r="E106" t="str">
        <x:v>Pôle C</x:v>
      </x:c>
      <x:c r="F106" s="18" t="n">
        <x:v>24281.08</x:v>
      </x:c>
      <x:c r="G106" s="18" t="n">
        <x:v>24281.08</x:v>
      </x:c>
      <x:c r="H106" t="str">
        <x:v>Client 06</x:v>
      </x:c>
      <x:c r="I106" s="16" t="n">
        <x:v>45491</x:v>
      </x:c>
      <x:c r="J106" t="n">
        <x:f>YEAR(B106)</x:f>
        <x:v>2024</x:v>
      </x:c>
      <x:c r="K106" s="20" t="n">
        <x:f>DATE(YEAR(B106),MONTH(B106),1)</x:f>
        <x:v>45444</x:v>
      </x:c>
      <x:c r="L106" s="18" t="n">
        <x:f>F106-G106</x:f>
        <x:v>0</x:v>
      </x:c>
      <x:c r="M106" t="str">
        <x:f>IF(L106&lt;=0,"Payée",IF(G106=0,"Impayée","Partielle"))</x:f>
        <x:v>Payée</x:v>
      </x:c>
      <x:c r="N106" t="n">
        <x:f>IF(I106="","",I106-B106)</x:f>
        <x:v>34</x:v>
      </x:c>
      <x:c r="O106" t="str">
        <x:f>IF(TRIM(C106)&lt;&gt;TRIM(H106),"Oui","Non")</x:f>
        <x:v>Non</x:v>
      </x:c>
      <x:c r="P106" t="str">
        <x:f>IFERROR(INDEX('02_REFERENTIEL_CLIENTS'!$B$2:$B$51,MATCH(TRIM(C106),'02_REFERENTIEL_CLIENTS'!$A$2:$A$51,0)),"Non trouvé")</x:f>
        <x:v>Particuliers</x:v>
      </x:c>
      <x:c r="Q106" t="str">
        <x:f>IFERROR(INDEX('02_REFERENTIEL_CLIENTS'!$C$2:$C$51,MATCH(TRIM(C106),'02_REFERENTIEL_CLIENTS'!$A$2:$A$51,0)),"Non trouvé")</x:f>
        <x:v>International</x:v>
      </x:c>
      <x:c r="R106" t="str">
        <x:f>IF(OR(F106&lt;=0,G106&lt;0,G106&gt;F106,N106&lt;0,P106="Non trouvé"),"À vérifier","OK")</x:f>
        <x:v>OK</x:v>
      </x:c>
    </x:row>
    <x:row r="107">
      <x:c r="A107" t="str">
        <x:v>DV-2026-00106</x:v>
      </x:c>
      <x:c r="B107" s="16" t="n">
        <x:v>46163</x:v>
      </x:c>
      <x:c r="C107" t="str">
        <x:v>Client 30</x:v>
      </x:c>
      <x:c r="D107" t="str">
        <x:v>Douane</x:v>
      </x:c>
      <x:c r="E107" t="str">
        <x:v>Pôle D</x:v>
      </x:c>
      <x:c r="F107" s="18" t="n">
        <x:v>9541.38</x:v>
      </x:c>
      <x:c r="G107" s="18" t="n">
        <x:v>9541.38</x:v>
      </x:c>
      <x:c r="H107" t="str">
        <x:v>Client 31</x:v>
      </x:c>
      <x:c r="I107" s="16" t="n">
        <x:v>46245</x:v>
      </x:c>
      <x:c r="J107" t="n">
        <x:f>YEAR(B107)</x:f>
        <x:v>2026</x:v>
      </x:c>
      <x:c r="K107" s="20" t="n">
        <x:f>DATE(YEAR(B107),MONTH(B107),1)</x:f>
        <x:v>46143</x:v>
      </x:c>
      <x:c r="L107" s="18" t="n">
        <x:f>F107-G107</x:f>
        <x:v>0</x:v>
      </x:c>
      <x:c r="M107" t="str">
        <x:f>IF(L107&lt;=0,"Payée",IF(G107=0,"Impayée","Partielle"))</x:f>
        <x:v>Payée</x:v>
      </x:c>
      <x:c r="N107" t="n">
        <x:f>IF(I107="","",I107-B107)</x:f>
        <x:v>82</x:v>
      </x:c>
      <x:c r="O107" t="str">
        <x:f>IF(TRIM(C107)&lt;&gt;TRIM(H107),"Oui","Non")</x:f>
        <x:v>Oui</x:v>
      </x:c>
      <x:c r="P107" t="str">
        <x:f>IFERROR(INDEX('02_REFERENTIEL_CLIENTS'!$B$2:$B$51,MATCH(TRIM(C107),'02_REFERENTIEL_CLIENTS'!$A$2:$A$51,0)),"Non trouvé")</x:f>
        <x:v>Particuliers</x:v>
      </x:c>
      <x:c r="Q107" t="str">
        <x:f>IFERROR(INDEX('02_REFERENTIEL_CLIENTS'!$C$2:$C$51,MATCH(TRIM(C107),'02_REFERENTIEL_CLIENTS'!$A$2:$A$51,0)),"Non trouvé")</x:f>
        <x:v>International</x:v>
      </x:c>
      <x:c r="R107" t="str">
        <x:f>IF(OR(F107&lt;=0,G107&lt;0,G107&gt;F107,N107&lt;0,P107="Non trouvé"),"À vérifier","OK")</x:f>
        <x:v>OK</x:v>
      </x:c>
    </x:row>
    <x:row r="108">
      <x:c r="A108" t="str">
        <x:v>DV-2024-00107</x:v>
      </x:c>
      <x:c r="B108" s="16" t="n">
        <x:v>45559</x:v>
      </x:c>
      <x:c r="C108" t="str">
        <x:v>Client 47</x:v>
      </x:c>
      <x:c r="D108" t="str">
        <x:v>Express</x:v>
      </x:c>
      <x:c r="E108" t="str">
        <x:v>Pôle B</x:v>
      </x:c>
      <x:c r="F108" s="18" t="n">
        <x:v>12892.7</x:v>
      </x:c>
      <x:c r="G108" s="18" t="n">
        <x:v>12892.7</x:v>
      </x:c>
      <x:c r="H108" t="str">
        <x:v>Client 47</x:v>
      </x:c>
      <x:c r="I108" s="16" t="n">
        <x:v>45564</x:v>
      </x:c>
      <x:c r="J108" t="n">
        <x:f>YEAR(B108)</x:f>
        <x:v>2024</x:v>
      </x:c>
      <x:c r="K108" s="20" t="n">
        <x:f>DATE(YEAR(B108),MONTH(B108),1)</x:f>
        <x:v>45536</x:v>
      </x:c>
      <x:c r="L108" s="18" t="n">
        <x:f>F108-G108</x:f>
        <x:v>0</x:v>
      </x:c>
      <x:c r="M108" t="str">
        <x:f>IF(L108&lt;=0,"Payée",IF(G108=0,"Impayée","Partielle"))</x:f>
        <x:v>Payée</x:v>
      </x:c>
      <x:c r="N108" t="n">
        <x:f>IF(I108="","",I108-B108)</x:f>
        <x:v>5</x:v>
      </x:c>
      <x:c r="O108" t="str">
        <x:f>IF(TRIM(C108)&lt;&gt;TRIM(H108),"Oui","Non")</x:f>
        <x:v>Non</x:v>
      </x:c>
      <x:c r="P108" t="str">
        <x:f>IFERROR(INDEX('02_REFERENTIEL_CLIENTS'!$B$2:$B$51,MATCH(TRIM(C108),'02_REFERENTIEL_CLIENTS'!$A$2:$A$51,0)),"Non trouvé")</x:f>
        <x:v>PME</x:v>
      </x:c>
      <x:c r="Q108" t="str">
        <x:f>IFERROR(INDEX('02_REFERENTIEL_CLIENTS'!$C$2:$C$51,MATCH(TRIM(C108),'02_REFERENTIEL_CLIENTS'!$A$2:$A$51,0)),"Non trouvé")</x:f>
        <x:v>Europe</x:v>
      </x:c>
      <x:c r="R108" t="str">
        <x:f>IF(OR(F108&lt;=0,G108&lt;0,G108&gt;F108,N108&lt;0,P108="Non trouvé"),"À vérifier","OK")</x:f>
        <x:v>OK</x:v>
      </x:c>
    </x:row>
    <x:row r="109">
      <x:c r="A109" t="str">
        <x:v>DV-2025-00108</x:v>
      </x:c>
      <x:c r="B109" s="16" t="n">
        <x:v>45998</x:v>
      </x:c>
      <x:c r="C109" t="str">
        <x:v>Client 43</x:v>
      </x:c>
      <x:c r="D109" t="str">
        <x:v>Douane</x:v>
      </x:c>
      <x:c r="E109" t="str">
        <x:v>Pôle C</x:v>
      </x:c>
      <x:c r="F109" s="18" t="n">
        <x:v>7917.51</x:v>
      </x:c>
      <x:c r="G109" s="18" t="n">
        <x:v>6381.26</x:v>
      </x:c>
      <x:c r="H109" t="str">
        <x:v>Client 43</x:v>
      </x:c>
      <x:c r="I109" s="16" t="n">
        <x:v>46015</x:v>
      </x:c>
      <x:c r="J109" t="n">
        <x:f>YEAR(B109)</x:f>
        <x:v>2025</x:v>
      </x:c>
      <x:c r="K109" s="20" t="n">
        <x:f>DATE(YEAR(B109),MONTH(B109),1)</x:f>
        <x:v>45992</x:v>
      </x:c>
      <x:c r="L109" s="18" t="n">
        <x:f>F109-G109</x:f>
        <x:v>1536.25</x:v>
      </x:c>
      <x:c r="M109" t="str">
        <x:f>IF(L109&lt;=0,"Payée",IF(G109=0,"Impayée","Partielle"))</x:f>
        <x:v>Partielle</x:v>
      </x:c>
      <x:c r="N109" t="n">
        <x:f>IF(I109="","",I109-B109)</x:f>
        <x:v>17</x:v>
      </x:c>
      <x:c r="O109" t="str">
        <x:f>IF(TRIM(C109)&lt;&gt;TRIM(H109),"Oui","Non")</x:f>
        <x:v>Non</x:v>
      </x:c>
      <x:c r="P109" t="str">
        <x:f>IFERROR(INDEX('02_REFERENTIEL_CLIENTS'!$B$2:$B$51,MATCH(TRIM(C109),'02_REFERENTIEL_CLIENTS'!$A$2:$A$51,0)),"Non trouvé")</x:f>
        <x:v>Grands comptes</x:v>
      </x:c>
      <x:c r="Q109" t="str">
        <x:f>IFERROR(INDEX('02_REFERENTIEL_CLIENTS'!$C$2:$C$51,MATCH(TRIM(C109),'02_REFERENTIEL_CLIENTS'!$A$2:$A$51,0)),"Non trouvé")</x:f>
        <x:v>France</x:v>
      </x:c>
      <x:c r="R109" t="str">
        <x:f>IF(OR(F109&lt;=0,G109&lt;0,G109&gt;F109,N109&lt;0,P109="Non trouvé"),"À vérifier","OK")</x:f>
        <x:v>OK</x:v>
      </x:c>
    </x:row>
    <x:row r="110">
      <x:c r="A110" t="str">
        <x:v>DV-2025-00109</x:v>
      </x:c>
      <x:c r="B110" s="16" t="n">
        <x:v>45985</x:v>
      </x:c>
      <x:c r="C110" t="str">
        <x:v>Client 11</x:v>
      </x:c>
      <x:c r="D110" t="str">
        <x:v>Logistique</x:v>
      </x:c>
      <x:c r="E110" t="str">
        <x:v>Pôle D</x:v>
      </x:c>
      <x:c r="F110" s="18" t="n">
        <x:v>3056.72</x:v>
      </x:c>
      <x:c r="G110" s="18" t="n">
        <x:v>2246.2</x:v>
      </x:c>
      <x:c r="H110" t="str">
        <x:v>Client 11</x:v>
      </x:c>
      <x:c r="I110" s="16" t="n">
        <x:v>46042</x:v>
      </x:c>
      <x:c r="J110" t="n">
        <x:f>YEAR(B110)</x:f>
        <x:v>2025</x:v>
      </x:c>
      <x:c r="K110" s="20" t="n">
        <x:f>DATE(YEAR(B110),MONTH(B110),1)</x:f>
        <x:v>45962</x:v>
      </x:c>
      <x:c r="L110" s="18" t="n">
        <x:f>F110-G110</x:f>
        <x:v>810.52</x:v>
      </x:c>
      <x:c r="M110" t="str">
        <x:f>IF(L110&lt;=0,"Payée",IF(G110=0,"Impayée","Partielle"))</x:f>
        <x:v>Partielle</x:v>
      </x:c>
      <x:c r="N110" t="n">
        <x:f>IF(I110="","",I110-B110)</x:f>
        <x:v>57</x:v>
      </x:c>
      <x:c r="O110" t="str">
        <x:f>IF(TRIM(C110)&lt;&gt;TRIM(H110),"Oui","Non")</x:f>
        <x:v>Non</x:v>
      </x:c>
      <x:c r="P110" t="str">
        <x:f>IFERROR(INDEX('02_REFERENTIEL_CLIENTS'!$B$2:$B$51,MATCH(TRIM(C110),'02_REFERENTIEL_CLIENTS'!$A$2:$A$51,0)),"Non trouvé")</x:f>
        <x:v>PME</x:v>
      </x:c>
      <x:c r="Q110" t="str">
        <x:f>IFERROR(INDEX('02_REFERENTIEL_CLIENTS'!$C$2:$C$51,MATCH(TRIM(C110),'02_REFERENTIEL_CLIENTS'!$A$2:$A$51,0)),"Non trouvé")</x:f>
        <x:v>Europe</x:v>
      </x:c>
      <x:c r="R110" t="str">
        <x:f>IF(OR(F110&lt;=0,G110&lt;0,G110&gt;F110,N110&lt;0,P110="Non trouvé"),"À vérifier","OK")</x:f>
        <x:v>OK</x:v>
      </x:c>
    </x:row>
    <x:row r="111">
      <x:c r="A111" t="str">
        <x:v>DV-2024-00110</x:v>
      </x:c>
      <x:c r="B111" s="16" t="n">
        <x:v>45313</x:v>
      </x:c>
      <x:c r="C111" t="str">
        <x:v>Client 25</x:v>
      </x:c>
      <x:c r="D111" t="str">
        <x:v>Douane</x:v>
      </x:c>
      <x:c r="E111" t="str">
        <x:v>Pôle E</x:v>
      </x:c>
      <x:c r="F111" s="18" t="n">
        <x:v>5019.8</x:v>
      </x:c>
      <x:c r="G111" s="18" t="n">
        <x:v>5019.8</x:v>
      </x:c>
      <x:c r="H111" t="str">
        <x:v>Client 25</x:v>
      </x:c>
      <x:c r="I111" s="16" t="n">
        <x:v>45371</x:v>
      </x:c>
      <x:c r="J111" t="n">
        <x:f>YEAR(B111)</x:f>
        <x:v>2024</x:v>
      </x:c>
      <x:c r="K111" s="20" t="n">
        <x:f>DATE(YEAR(B111),MONTH(B111),1)</x:f>
        <x:v>45292</x:v>
      </x:c>
      <x:c r="L111" s="18" t="n">
        <x:f>F111-G111</x:f>
        <x:v>0</x:v>
      </x:c>
      <x:c r="M111" t="str">
        <x:f>IF(L111&lt;=0,"Payée",IF(G111=0,"Impayée","Partielle"))</x:f>
        <x:v>Payée</x:v>
      </x:c>
      <x:c r="N111" t="n">
        <x:f>IF(I111="","",I111-B111)</x:f>
        <x:v>58</x:v>
      </x:c>
      <x:c r="O111" t="str">
        <x:f>IF(TRIM(C111)&lt;&gt;TRIM(H111),"Oui","Non")</x:f>
        <x:v>Non</x:v>
      </x:c>
      <x:c r="P111" t="str">
        <x:f>IFERROR(INDEX('02_REFERENTIEL_CLIENTS'!$B$2:$B$51,MATCH(TRIM(C111),'02_REFERENTIEL_CLIENTS'!$A$2:$A$51,0)),"Non trouvé")</x:f>
        <x:v>Grands comptes</x:v>
      </x:c>
      <x:c r="Q111" t="str">
        <x:f>IFERROR(INDEX('02_REFERENTIEL_CLIENTS'!$C$2:$C$51,MATCH(TRIM(C111),'02_REFERENTIEL_CLIENTS'!$A$2:$A$51,0)),"Non trouvé")</x:f>
        <x:v>France</x:v>
      </x:c>
      <x:c r="R111" t="str">
        <x:f>IF(OR(F111&lt;=0,G111&lt;0,G111&gt;F111,N111&lt;0,P111="Non trouvé"),"À vérifier","OK")</x:f>
        <x:v>OK</x:v>
      </x:c>
    </x:row>
    <x:row r="112">
      <x:c r="A112" t="str">
        <x:v>DV-2026-00111</x:v>
      </x:c>
      <x:c r="B112" s="16" t="n">
        <x:v>46230</x:v>
      </x:c>
      <x:c r="C112" t="str">
        <x:v>Client 10</x:v>
      </x:c>
      <x:c r="D112" t="str">
        <x:v>Logistique</x:v>
      </x:c>
      <x:c r="E112" t="str">
        <x:v>Pôle E</x:v>
      </x:c>
      <x:c r="F112" s="18" t="n">
        <x:v>10939.25</x:v>
      </x:c>
      <x:c r="G112" s="18" t="n">
        <x:v>10939.25</x:v>
      </x:c>
      <x:c r="H112" t="str">
        <x:v>Client 37</x:v>
      </x:c>
      <x:c r="I112" s="16" t="n">
        <x:v>46325</x:v>
      </x:c>
      <x:c r="J112" t="n">
        <x:f>YEAR(B112)</x:f>
        <x:v>2026</x:v>
      </x:c>
      <x:c r="K112" s="20" t="n">
        <x:f>DATE(YEAR(B112),MONTH(B112),1)</x:f>
        <x:v>46204</x:v>
      </x:c>
      <x:c r="L112" s="18" t="n">
        <x:f>F112-G112</x:f>
        <x:v>0</x:v>
      </x:c>
      <x:c r="M112" t="str">
        <x:f>IF(L112&lt;=0,"Payée",IF(G112=0,"Impayée","Partielle"))</x:f>
        <x:v>Payée</x:v>
      </x:c>
      <x:c r="N112" t="n">
        <x:f>IF(I112="","",I112-B112)</x:f>
        <x:v>95</x:v>
      </x:c>
      <x:c r="O112" t="str">
        <x:f>IF(TRIM(C112)&lt;&gt;TRIM(H112),"Oui","Non")</x:f>
        <x:v>Oui</x:v>
      </x:c>
      <x:c r="P112" t="str">
        <x:f>IFERROR(INDEX('02_REFERENTIEL_CLIENTS'!$B$2:$B$51,MATCH(TRIM(C112),'02_REFERENTIEL_CLIENTS'!$A$2:$A$51,0)),"Non trouvé")</x:f>
        <x:v>Grands comptes</x:v>
      </x:c>
      <x:c r="Q112" t="str">
        <x:f>IFERROR(INDEX('02_REFERENTIEL_CLIENTS'!$C$2:$C$51,MATCH(TRIM(C112),'02_REFERENTIEL_CLIENTS'!$A$2:$A$51,0)),"Non trouvé")</x:f>
        <x:v>France</x:v>
      </x:c>
      <x:c r="R112" t="str">
        <x:f>IF(OR(F112&lt;=0,G112&lt;0,G112&gt;F112,N112&lt;0,P112="Non trouvé"),"À vérifier","OK")</x:f>
        <x:v>OK</x:v>
      </x:c>
    </x:row>
    <x:row r="113">
      <x:c r="A113" t="str">
        <x:v>DV-2025-00112</x:v>
      </x:c>
      <x:c r="B113" s="16" t="n">
        <x:v>45726</x:v>
      </x:c>
      <x:c r="C113" t="str">
        <x:v>Client 14</x:v>
      </x:c>
      <x:c r="D113" t="str">
        <x:v>Fret aérien</x:v>
      </x:c>
      <x:c r="E113" t="str">
        <x:v>Pôle A</x:v>
      </x:c>
      <x:c r="F113" s="18" t="n">
        <x:v>5475.79</x:v>
      </x:c>
      <x:c r="G113" s="18" t="n">
        <x:v>5475.79</x:v>
      </x:c>
      <x:c r="H113" t="str">
        <x:v>Client 14</x:v>
      </x:c>
      <x:c r="I113" s="16" t="n">
        <x:v>45779</x:v>
      </x:c>
      <x:c r="J113" t="n">
        <x:f>YEAR(B113)</x:f>
        <x:v>2025</x:v>
      </x:c>
      <x:c r="K113" s="20" t="n">
        <x:f>DATE(YEAR(B113),MONTH(B113),1)</x:f>
        <x:v>45717</x:v>
      </x:c>
      <x:c r="L113" s="18" t="n">
        <x:f>F113-G113</x:f>
        <x:v>0</x:v>
      </x:c>
      <x:c r="M113" t="str">
        <x:f>IF(L113&lt;=0,"Payée",IF(G113=0,"Impayée","Partielle"))</x:f>
        <x:v>Payée</x:v>
      </x:c>
      <x:c r="N113" t="n">
        <x:f>IF(I113="","",I113-B113)</x:f>
        <x:v>53</x:v>
      </x:c>
      <x:c r="O113" t="str">
        <x:f>IF(TRIM(C113)&lt;&gt;TRIM(H113),"Oui","Non")</x:f>
        <x:v>Non</x:v>
      </x:c>
      <x:c r="P113" t="str">
        <x:f>IFERROR(INDEX('02_REFERENTIEL_CLIENTS'!$B$2:$B$51,MATCH(TRIM(C113),'02_REFERENTIEL_CLIENTS'!$A$2:$A$51,0)),"Non trouvé")</x:f>
        <x:v>PME</x:v>
      </x:c>
      <x:c r="Q113" t="str">
        <x:f>IFERROR(INDEX('02_REFERENTIEL_CLIENTS'!$C$2:$C$51,MATCH(TRIM(C113),'02_REFERENTIEL_CLIENTS'!$A$2:$A$51,0)),"Non trouvé")</x:f>
        <x:v>Europe</x:v>
      </x:c>
      <x:c r="R113" t="str">
        <x:f>IF(OR(F113&lt;=0,G113&lt;0,G113&gt;F113,N113&lt;0,P113="Non trouvé"),"À vérifier","OK")</x:f>
        <x:v>OK</x:v>
      </x:c>
    </x:row>
    <x:row r="114">
      <x:c r="A114" t="str">
        <x:v>DV-2024-00113</x:v>
      </x:c>
      <x:c r="B114" s="16" t="n">
        <x:v>45501</x:v>
      </x:c>
      <x:c r="C114" t="str">
        <x:v>Client 10</x:v>
      </x:c>
      <x:c r="D114" t="str">
        <x:v>Logistique</x:v>
      </x:c>
      <x:c r="E114" t="str">
        <x:v>Pôle A</x:v>
      </x:c>
      <x:c r="F114" s="18" t="n">
        <x:v>8972.24</x:v>
      </x:c>
      <x:c r="G114" s="18" t="n">
        <x:v>8972.24</x:v>
      </x:c>
      <x:c r="H114" t="str">
        <x:v>Client 10</x:v>
      </x:c>
      <x:c r="I114" s="16" t="n">
        <x:v>45542</x:v>
      </x:c>
      <x:c r="J114" t="n">
        <x:f>YEAR(B114)</x:f>
        <x:v>2024</x:v>
      </x:c>
      <x:c r="K114" s="20" t="n">
        <x:f>DATE(YEAR(B114),MONTH(B114),1)</x:f>
        <x:v>45474</x:v>
      </x:c>
      <x:c r="L114" s="18" t="n">
        <x:f>F114-G114</x:f>
        <x:v>0</x:v>
      </x:c>
      <x:c r="M114" t="str">
        <x:f>IF(L114&lt;=0,"Payée",IF(G114=0,"Impayée","Partielle"))</x:f>
        <x:v>Payée</x:v>
      </x:c>
      <x:c r="N114" t="n">
        <x:f>IF(I114="","",I114-B114)</x:f>
        <x:v>41</x:v>
      </x:c>
      <x:c r="O114" t="str">
        <x:f>IF(TRIM(C114)&lt;&gt;TRIM(H114),"Oui","Non")</x:f>
        <x:v>Non</x:v>
      </x:c>
      <x:c r="P114" t="str">
        <x:f>IFERROR(INDEX('02_REFERENTIEL_CLIENTS'!$B$2:$B$51,MATCH(TRIM(C114),'02_REFERENTIEL_CLIENTS'!$A$2:$A$51,0)),"Non trouvé")</x:f>
        <x:v>Grands comptes</x:v>
      </x:c>
      <x:c r="Q114" t="str">
        <x:f>IFERROR(INDEX('02_REFERENTIEL_CLIENTS'!$C$2:$C$51,MATCH(TRIM(C114),'02_REFERENTIEL_CLIENTS'!$A$2:$A$51,0)),"Non trouvé")</x:f>
        <x:v>France</x:v>
      </x:c>
      <x:c r="R114" t="str">
        <x:f>IF(OR(F114&lt;=0,G114&lt;0,G114&gt;F114,N114&lt;0,P114="Non trouvé"),"À vérifier","OK")</x:f>
        <x:v>OK</x:v>
      </x:c>
    </x:row>
    <x:row r="115">
      <x:c r="A115" t="str">
        <x:v>DV-2025-00114</x:v>
      </x:c>
      <x:c r="B115" s="16" t="n">
        <x:v>45893</x:v>
      </x:c>
      <x:c r="C115" t="str">
        <x:v>Client 37</x:v>
      </x:c>
      <x:c r="D115" t="str">
        <x:v>Fret maritime</x:v>
      </x:c>
      <x:c r="E115" t="str">
        <x:v>Pôle A</x:v>
      </x:c>
      <x:c r="F115" s="18" t="n">
        <x:v>9875.39</x:v>
      </x:c>
      <x:c r="G115" s="18" t="n">
        <x:v>9875.39</x:v>
      </x:c>
      <x:c r="H115" t="str">
        <x:v>Client 37</x:v>
      </x:c>
      <x:c r="I115" s="16" t="n">
        <x:v>45950</x:v>
      </x:c>
      <x:c r="J115" t="n">
        <x:f>YEAR(B115)</x:f>
        <x:v>2025</x:v>
      </x:c>
      <x:c r="K115" s="20" t="n">
        <x:f>DATE(YEAR(B115),MONTH(B115),1)</x:f>
        <x:v>45870</x:v>
      </x:c>
      <x:c r="L115" s="18" t="n">
        <x:f>F115-G115</x:f>
        <x:v>0</x:v>
      </x:c>
      <x:c r="M115" t="str">
        <x:f>IF(L115&lt;=0,"Payée",IF(G115=0,"Impayée","Partielle"))</x:f>
        <x:v>Payée</x:v>
      </x:c>
      <x:c r="N115" t="n">
        <x:f>IF(I115="","",I115-B115)</x:f>
        <x:v>57</x:v>
      </x:c>
      <x:c r="O115" t="str">
        <x:f>IF(TRIM(C115)&lt;&gt;TRIM(H115),"Oui","Non")</x:f>
        <x:v>Non</x:v>
      </x:c>
      <x:c r="P115" t="str">
        <x:f>IFERROR(INDEX('02_REFERENTIEL_CLIENTS'!$B$2:$B$51,MATCH(TRIM(C115),'02_REFERENTIEL_CLIENTS'!$A$2:$A$51,0)),"Non trouvé")</x:f>
        <x:v>Grands comptes</x:v>
      </x:c>
      <x:c r="Q115" t="str">
        <x:f>IFERROR(INDEX('02_REFERENTIEL_CLIENTS'!$C$2:$C$51,MATCH(TRIM(C115),'02_REFERENTIEL_CLIENTS'!$A$2:$A$51,0)),"Non trouvé")</x:f>
        <x:v>France</x:v>
      </x:c>
      <x:c r="R115" t="str">
        <x:f>IF(OR(F115&lt;=0,G115&lt;0,G115&gt;F115,N115&lt;0,P115="Non trouvé"),"À vérifier","OK")</x:f>
        <x:v>OK</x:v>
      </x:c>
    </x:row>
    <x:row r="116">
      <x:c r="A116" t="str">
        <x:v>DV-2024-00115</x:v>
      </x:c>
      <x:c r="B116" s="16" t="n">
        <x:v>45535</x:v>
      </x:c>
      <x:c r="C116" t="str">
        <x:v>Client 29</x:v>
      </x:c>
      <x:c r="D116" t="str">
        <x:v>Logistique</x:v>
      </x:c>
      <x:c r="E116" t="str">
        <x:v>Pôle D</x:v>
      </x:c>
      <x:c r="F116" s="18" t="n">
        <x:v>7032.13</x:v>
      </x:c>
      <x:c r="G116" s="18" t="n">
        <x:v>2895.97</x:v>
      </x:c>
      <x:c r="H116" t="str">
        <x:v>Client 29</x:v>
      </x:c>
      <x:c r="I116" s="16" t="n">
        <x:v>45571</x:v>
      </x:c>
      <x:c r="J116" t="n">
        <x:f>YEAR(B116)</x:f>
        <x:v>2024</x:v>
      </x:c>
      <x:c r="K116" s="20" t="n">
        <x:f>DATE(YEAR(B116),MONTH(B116),1)</x:f>
        <x:v>45505</x:v>
      </x:c>
      <x:c r="L116" s="18" t="n">
        <x:f>F116-G116</x:f>
        <x:v>4136.16</x:v>
      </x:c>
      <x:c r="M116" t="str">
        <x:f>IF(L116&lt;=0,"Payée",IF(G116=0,"Impayée","Partielle"))</x:f>
        <x:v>Partielle</x:v>
      </x:c>
      <x:c r="N116" t="n">
        <x:f>IF(I116="","",I116-B116)</x:f>
        <x:v>36</x:v>
      </x:c>
      <x:c r="O116" t="str">
        <x:f>IF(TRIM(C116)&lt;&gt;TRIM(H116),"Oui","Non")</x:f>
        <x:v>Non</x:v>
      </x:c>
      <x:c r="P116" t="str">
        <x:f>IFERROR(INDEX('02_REFERENTIEL_CLIENTS'!$B$2:$B$51,MATCH(TRIM(C116),'02_REFERENTIEL_CLIENTS'!$A$2:$A$51,0)),"Non trouvé")</x:f>
        <x:v>PME</x:v>
      </x:c>
      <x:c r="Q116" t="str">
        <x:f>IFERROR(INDEX('02_REFERENTIEL_CLIENTS'!$C$2:$C$51,MATCH(TRIM(C116),'02_REFERENTIEL_CLIENTS'!$A$2:$A$51,0)),"Non trouvé")</x:f>
        <x:v>Europe</x:v>
      </x:c>
      <x:c r="R116" t="str">
        <x:f>IF(OR(F116&lt;=0,G116&lt;0,G116&gt;F116,N116&lt;0,P116="Non trouvé"),"À vérifier","OK")</x:f>
        <x:v>OK</x:v>
      </x:c>
    </x:row>
    <x:row r="117">
      <x:c r="A117" t="str">
        <x:v>DV-2025-00116</x:v>
      </x:c>
      <x:c r="B117" s="16" t="n">
        <x:v>45847</x:v>
      </x:c>
      <x:c r="C117" t="str">
        <x:v>Client 14</x:v>
      </x:c>
      <x:c r="D117" t="str">
        <x:v>Fret aérien</x:v>
      </x:c>
      <x:c r="E117" t="str">
        <x:v>Pôle A</x:v>
      </x:c>
      <x:c r="F117" s="18" t="n">
        <x:v>10423.9</x:v>
      </x:c>
      <x:c r="G117" s="18" t="n">
        <x:v>10423.9</x:v>
      </x:c>
      <x:c r="H117" t="str">
        <x:v>Client 14</x:v>
      </x:c>
      <x:c r="I117" s="16" t="n">
        <x:v>45870</x:v>
      </x:c>
      <x:c r="J117" t="n">
        <x:f>YEAR(B117)</x:f>
        <x:v>2025</x:v>
      </x:c>
      <x:c r="K117" s="20" t="n">
        <x:f>DATE(YEAR(B117),MONTH(B117),1)</x:f>
        <x:v>45839</x:v>
      </x:c>
      <x:c r="L117" s="18" t="n">
        <x:f>F117-G117</x:f>
        <x:v>0</x:v>
      </x:c>
      <x:c r="M117" t="str">
        <x:f>IF(L117&lt;=0,"Payée",IF(G117=0,"Impayée","Partielle"))</x:f>
        <x:v>Payée</x:v>
      </x:c>
      <x:c r="N117" t="n">
        <x:f>IF(I117="","",I117-B117)</x:f>
        <x:v>23</x:v>
      </x:c>
      <x:c r="O117" t="str">
        <x:f>IF(TRIM(C117)&lt;&gt;TRIM(H117),"Oui","Non")</x:f>
        <x:v>Non</x:v>
      </x:c>
      <x:c r="P117" t="str">
        <x:f>IFERROR(INDEX('02_REFERENTIEL_CLIENTS'!$B$2:$B$51,MATCH(TRIM(C117),'02_REFERENTIEL_CLIENTS'!$A$2:$A$51,0)),"Non trouvé")</x:f>
        <x:v>PME</x:v>
      </x:c>
      <x:c r="Q117" t="str">
        <x:f>IFERROR(INDEX('02_REFERENTIEL_CLIENTS'!$C$2:$C$51,MATCH(TRIM(C117),'02_REFERENTIEL_CLIENTS'!$A$2:$A$51,0)),"Non trouvé")</x:f>
        <x:v>Europe</x:v>
      </x:c>
      <x:c r="R117" t="str">
        <x:f>IF(OR(F117&lt;=0,G117&lt;0,G117&gt;F117,N117&lt;0,P117="Non trouvé"),"À vérifier","OK")</x:f>
        <x:v>OK</x:v>
      </x:c>
    </x:row>
    <x:row r="118">
      <x:c r="A118" t="str">
        <x:v>DV-2026-00117</x:v>
      </x:c>
      <x:c r="B118" s="16" t="n">
        <x:v>46132</x:v>
      </x:c>
      <x:c r="C118" t="str">
        <x:v>Client 50</x:v>
      </x:c>
      <x:c r="D118" t="str">
        <x:v>Fret aérien</x:v>
      </x:c>
      <x:c r="E118" t="str">
        <x:v>Pôle B</x:v>
      </x:c>
      <x:c r="F118" s="18" t="n">
        <x:v>13080.66</x:v>
      </x:c>
      <x:c r="G118" s="18" t="n">
        <x:v>0</x:v>
      </x:c>
      <x:c r="H118" t="str">
        <x:v>Client 50</x:v>
      </x:c>
      <x:c r="I118" s="16"/>
      <x:c r="J118" t="n">
        <x:f>YEAR(B118)</x:f>
        <x:v>2026</x:v>
      </x:c>
      <x:c r="K118" s="20" t="n">
        <x:f>DATE(YEAR(B118),MONTH(B118),1)</x:f>
        <x:v>46113</x:v>
      </x:c>
      <x:c r="L118" s="18" t="n">
        <x:f>F118-G118</x:f>
        <x:v>13080.66</x:v>
      </x:c>
      <x:c r="M118" t="str">
        <x:f>IF(L118&lt;=0,"Payée",IF(G118=0,"Impayée","Partielle"))</x:f>
        <x:v>Impayée</x:v>
      </x:c>
      <x:c r="N118" t="str">
        <x:f>IF(I118="","",I118-B118)</x:f>
      </x:c>
      <x:c r="O118" t="str">
        <x:f>IF(TRIM(C118)&lt;&gt;TRIM(H118),"Oui","Non")</x:f>
        <x:v>Non</x:v>
      </x:c>
      <x:c r="P118" t="str">
        <x:f>IFERROR(INDEX('02_REFERENTIEL_CLIENTS'!$B$2:$B$51,MATCH(TRIM(C118),'02_REFERENTIEL_CLIENTS'!$A$2:$A$51,0)),"Non trouvé")</x:f>
        <x:v>PME</x:v>
      </x:c>
      <x:c r="Q118" t="str">
        <x:f>IFERROR(INDEX('02_REFERENTIEL_CLIENTS'!$C$2:$C$51,MATCH(TRIM(C118),'02_REFERENTIEL_CLIENTS'!$A$2:$A$51,0)),"Non trouvé")</x:f>
        <x:v>Europe</x:v>
      </x:c>
      <x:c r="R118" t="str">
        <x:f>IF(OR(F118&lt;=0,G118&lt;0,G118&gt;F118,N118&lt;0,P118="Non trouvé"),"À vérifier","OK")</x:f>
        <x:v>OK</x:v>
      </x:c>
    </x:row>
    <x:row r="119">
      <x:c r="A119" t="str">
        <x:v>DV-2025-00118</x:v>
      </x:c>
      <x:c r="B119" s="16" t="n">
        <x:v>45780</x:v>
      </x:c>
      <x:c r="C119" t="str">
        <x:v>Client 20</x:v>
      </x:c>
      <x:c r="D119" t="str">
        <x:v>Douane</x:v>
      </x:c>
      <x:c r="E119" t="str">
        <x:v>Pôle E</x:v>
      </x:c>
      <x:c r="F119" s="18" t="n">
        <x:v>10553.35</x:v>
      </x:c>
      <x:c r="G119" s="18" t="n">
        <x:v>10553.35</x:v>
      </x:c>
      <x:c r="H119" t="str">
        <x:v>Client 20</x:v>
      </x:c>
      <x:c r="I119" s="16" t="n">
        <x:v>45834</x:v>
      </x:c>
      <x:c r="J119" t="n">
        <x:f>YEAR(B119)</x:f>
        <x:v>2025</x:v>
      </x:c>
      <x:c r="K119" s="20" t="n">
        <x:f>DATE(YEAR(B119),MONTH(B119),1)</x:f>
        <x:v>45778</x:v>
      </x:c>
      <x:c r="L119" s="18" t="n">
        <x:f>F119-G119</x:f>
        <x:v>0</x:v>
      </x:c>
      <x:c r="M119" t="str">
        <x:f>IF(L119&lt;=0,"Payée",IF(G119=0,"Impayée","Partielle"))</x:f>
        <x:v>Payée</x:v>
      </x:c>
      <x:c r="N119" t="n">
        <x:f>IF(I119="","",I119-B119)</x:f>
        <x:v>54</x:v>
      </x:c>
      <x:c r="O119" t="str">
        <x:f>IF(TRIM(C119)&lt;&gt;TRIM(H119),"Oui","Non")</x:f>
        <x:v>Non</x:v>
      </x:c>
      <x:c r="P119" t="str">
        <x:f>IFERROR(INDEX('02_REFERENTIEL_CLIENTS'!$B$2:$B$51,MATCH(TRIM(C119),'02_REFERENTIEL_CLIENTS'!$A$2:$A$51,0)),"Non trouvé")</x:f>
        <x:v>PME</x:v>
      </x:c>
      <x:c r="Q119" t="str">
        <x:f>IFERROR(INDEX('02_REFERENTIEL_CLIENTS'!$C$2:$C$51,MATCH(TRIM(C119),'02_REFERENTIEL_CLIENTS'!$A$2:$A$51,0)),"Non trouvé")</x:f>
        <x:v>Europe</x:v>
      </x:c>
      <x:c r="R119" t="str">
        <x:f>IF(OR(F119&lt;=0,G119&lt;0,G119&gt;F119,N119&lt;0,P119="Non trouvé"),"À vérifier","OK")</x:f>
        <x:v>OK</x:v>
      </x:c>
    </x:row>
    <x:row r="120">
      <x:c r="A120" t="str">
        <x:v>DV-2024-00119</x:v>
      </x:c>
      <x:c r="B120" s="16" t="n">
        <x:v>45294</x:v>
      </x:c>
      <x:c r="C120" t="str">
        <x:v>Client 20</x:v>
      </x:c>
      <x:c r="D120" t="str">
        <x:v>Express</x:v>
      </x:c>
      <x:c r="E120" t="str">
        <x:v>Pôle E</x:v>
      </x:c>
      <x:c r="F120" s="18" t="n">
        <x:v>10992.47</x:v>
      </x:c>
      <x:c r="G120" s="18" t="n">
        <x:v>10992.47</x:v>
      </x:c>
      <x:c r="H120" t="str">
        <x:v>Client 20</x:v>
      </x:c>
      <x:c r="I120" s="16" t="n">
        <x:v>45322</x:v>
      </x:c>
      <x:c r="J120" t="n">
        <x:f>YEAR(B120)</x:f>
        <x:v>2024</x:v>
      </x:c>
      <x:c r="K120" s="20" t="n">
        <x:f>DATE(YEAR(B120),MONTH(B120),1)</x:f>
        <x:v>45292</x:v>
      </x:c>
      <x:c r="L120" s="18" t="n">
        <x:f>F120-G120</x:f>
        <x:v>0</x:v>
      </x:c>
      <x:c r="M120" t="str">
        <x:f>IF(L120&lt;=0,"Payée",IF(G120=0,"Impayée","Partielle"))</x:f>
        <x:v>Payée</x:v>
      </x:c>
      <x:c r="N120" t="n">
        <x:f>IF(I120="","",I120-B120)</x:f>
        <x:v>28</x:v>
      </x:c>
      <x:c r="O120" t="str">
        <x:f>IF(TRIM(C120)&lt;&gt;TRIM(H120),"Oui","Non")</x:f>
        <x:v>Non</x:v>
      </x:c>
      <x:c r="P120" t="str">
        <x:f>IFERROR(INDEX('02_REFERENTIEL_CLIENTS'!$B$2:$B$51,MATCH(TRIM(C120),'02_REFERENTIEL_CLIENTS'!$A$2:$A$51,0)),"Non trouvé")</x:f>
        <x:v>PME</x:v>
      </x:c>
      <x:c r="Q120" t="str">
        <x:f>IFERROR(INDEX('02_REFERENTIEL_CLIENTS'!$C$2:$C$51,MATCH(TRIM(C120),'02_REFERENTIEL_CLIENTS'!$A$2:$A$51,0)),"Non trouvé")</x:f>
        <x:v>Europe</x:v>
      </x:c>
      <x:c r="R120" t="str">
        <x:f>IF(OR(F120&lt;=0,G120&lt;0,G120&gt;F120,N120&lt;0,P120="Non trouvé"),"À vérifier","OK")</x:f>
        <x:v>OK</x:v>
      </x:c>
    </x:row>
    <x:row r="121">
      <x:c r="A121" t="str">
        <x:v>DV-2026-00120</x:v>
      </x:c>
      <x:c r="B121" s="16" t="n">
        <x:v>46121</x:v>
      </x:c>
      <x:c r="C121" t="str">
        <x:v>Client 31</x:v>
      </x:c>
      <x:c r="D121" t="str">
        <x:v>Fret aérien</x:v>
      </x:c>
      <x:c r="E121" t="str">
        <x:v>Pôle D</x:v>
      </x:c>
      <x:c r="F121" s="18" t="n">
        <x:v>22135.56</x:v>
      </x:c>
      <x:c r="G121" s="18" t="n">
        <x:v>22135.56</x:v>
      </x:c>
      <x:c r="H121" t="str">
        <x:v>Client 31</x:v>
      </x:c>
      <x:c r="I121" s="16" t="n">
        <x:v>46143</x:v>
      </x:c>
      <x:c r="J121" t="n">
        <x:f>YEAR(B121)</x:f>
        <x:v>2026</x:v>
      </x:c>
      <x:c r="K121" s="20" t="n">
        <x:f>DATE(YEAR(B121),MONTH(B121),1)</x:f>
        <x:v>46113</x:v>
      </x:c>
      <x:c r="L121" s="18" t="n">
        <x:f>F121-G121</x:f>
        <x:v>0</x:v>
      </x:c>
      <x:c r="M121" t="str">
        <x:f>IF(L121&lt;=0,"Payée",IF(G121=0,"Impayée","Partielle"))</x:f>
        <x:v>Payée</x:v>
      </x:c>
      <x:c r="N121" t="n">
        <x:f>IF(I121="","",I121-B121)</x:f>
        <x:v>22</x:v>
      </x:c>
      <x:c r="O121" t="str">
        <x:f>IF(TRIM(C121)&lt;&gt;TRIM(H121),"Oui","Non")</x:f>
        <x:v>Non</x:v>
      </x:c>
      <x:c r="P121" t="str">
        <x:f>IFERROR(INDEX('02_REFERENTIEL_CLIENTS'!$B$2:$B$51,MATCH(TRIM(C121),'02_REFERENTIEL_CLIENTS'!$A$2:$A$51,0)),"Non trouvé")</x:f>
        <x:v>Grands comptes</x:v>
      </x:c>
      <x:c r="Q121" t="str">
        <x:f>IFERROR(INDEX('02_REFERENTIEL_CLIENTS'!$C$2:$C$51,MATCH(TRIM(C121),'02_REFERENTIEL_CLIENTS'!$A$2:$A$51,0)),"Non trouvé")</x:f>
        <x:v>France</x:v>
      </x:c>
      <x:c r="R121" t="str">
        <x:f>IF(OR(F121&lt;=0,G121&lt;0,G121&gt;F121,N121&lt;0,P121="Non trouvé"),"À vérifier","OK")</x:f>
        <x:v>OK</x:v>
      </x:c>
    </x:row>
    <x:row r="122">
      <x:c r="A122" t="str">
        <x:v>DV-2024-00121</x:v>
      </x:c>
      <x:c r="B122" s="16" t="n">
        <x:v>45324</x:v>
      </x:c>
      <x:c r="C122" t="str">
        <x:v>Client 16</x:v>
      </x:c>
      <x:c r="D122" t="str">
        <x:v>Fret maritime</x:v>
      </x:c>
      <x:c r="E122" t="str">
        <x:v>Pôle A</x:v>
      </x:c>
      <x:c r="F122" s="18" t="n">
        <x:v>12129.9</x:v>
      </x:c>
      <x:c r="G122" s="18" t="n">
        <x:v>12129.9</x:v>
      </x:c>
      <x:c r="H122" t="str">
        <x:v>Client 16</x:v>
      </x:c>
      <x:c r="I122" s="16" t="n">
        <x:v>45397</x:v>
      </x:c>
      <x:c r="J122" t="n">
        <x:f>YEAR(B122)</x:f>
        <x:v>2024</x:v>
      </x:c>
      <x:c r="K122" s="20" t="n">
        <x:f>DATE(YEAR(B122),MONTH(B122),1)</x:f>
        <x:v>45323</x:v>
      </x:c>
      <x:c r="L122" s="18" t="n">
        <x:f>F122-G122</x:f>
        <x:v>0</x:v>
      </x:c>
      <x:c r="M122" t="str">
        <x:f>IF(L122&lt;=0,"Payée",IF(G122=0,"Impayée","Partielle"))</x:f>
        <x:v>Payée</x:v>
      </x:c>
      <x:c r="N122" t="n">
        <x:f>IF(I122="","",I122-B122)</x:f>
        <x:v>73</x:v>
      </x:c>
      <x:c r="O122" t="str">
        <x:f>IF(TRIM(C122)&lt;&gt;TRIM(H122),"Oui","Non")</x:f>
        <x:v>Non</x:v>
      </x:c>
      <x:c r="P122" t="str">
        <x:f>IFERROR(INDEX('02_REFERENTIEL_CLIENTS'!$B$2:$B$51,MATCH(TRIM(C122),'02_REFERENTIEL_CLIENTS'!$A$2:$A$51,0)),"Non trouvé")</x:f>
        <x:v>Grands comptes</x:v>
      </x:c>
      <x:c r="Q122" t="str">
        <x:f>IFERROR(INDEX('02_REFERENTIEL_CLIENTS'!$C$2:$C$51,MATCH(TRIM(C122),'02_REFERENTIEL_CLIENTS'!$A$2:$A$51,0)),"Non trouvé")</x:f>
        <x:v>France</x:v>
      </x:c>
      <x:c r="R122" t="str">
        <x:f>IF(OR(F122&lt;=0,G122&lt;0,G122&gt;F122,N122&lt;0,P122="Non trouvé"),"À vérifier","OK")</x:f>
        <x:v>OK</x:v>
      </x:c>
    </x:row>
    <x:row r="123">
      <x:c r="A123" t="str">
        <x:v>DV-2024-00122</x:v>
      </x:c>
      <x:c r="B123" s="16" t="n">
        <x:v>45301</x:v>
      </x:c>
      <x:c r="C123" t="str">
        <x:v>Client 40</x:v>
      </x:c>
      <x:c r="D123" t="str">
        <x:v>Fret maritime</x:v>
      </x:c>
      <x:c r="E123" t="str">
        <x:v>Pôle D</x:v>
      </x:c>
      <x:c r="F123" s="18" t="n">
        <x:v>4861.07</x:v>
      </x:c>
      <x:c r="G123" s="18" t="n">
        <x:v>4861.07</x:v>
      </x:c>
      <x:c r="H123" t="str">
        <x:v>Client 26</x:v>
      </x:c>
      <x:c r="I123" s="16" t="n">
        <x:v>45368</x:v>
      </x:c>
      <x:c r="J123" t="n">
        <x:f>YEAR(B123)</x:f>
        <x:v>2024</x:v>
      </x:c>
      <x:c r="K123" s="20" t="n">
        <x:f>DATE(YEAR(B123),MONTH(B123),1)</x:f>
        <x:v>45292</x:v>
      </x:c>
      <x:c r="L123" s="18" t="n">
        <x:f>F123-G123</x:f>
        <x:v>0</x:v>
      </x:c>
      <x:c r="M123" t="str">
        <x:f>IF(L123&lt;=0,"Payée",IF(G123=0,"Impayée","Partielle"))</x:f>
        <x:v>Payée</x:v>
      </x:c>
      <x:c r="N123" t="n">
        <x:f>IF(I123="","",I123-B123)</x:f>
        <x:v>67</x:v>
      </x:c>
      <x:c r="O123" t="str">
        <x:f>IF(TRIM(C123)&lt;&gt;TRIM(H123),"Oui","Non")</x:f>
        <x:v>Oui</x:v>
      </x:c>
      <x:c r="P123" t="str">
        <x:f>IFERROR(INDEX('02_REFERENTIEL_CLIENTS'!$B$2:$B$51,MATCH(TRIM(C123),'02_REFERENTIEL_CLIENTS'!$A$2:$A$51,0)),"Non trouvé")</x:f>
        <x:v>Grands comptes</x:v>
      </x:c>
      <x:c r="Q123" t="str">
        <x:f>IFERROR(INDEX('02_REFERENTIEL_CLIENTS'!$C$2:$C$51,MATCH(TRIM(C123),'02_REFERENTIEL_CLIENTS'!$A$2:$A$51,0)),"Non trouvé")</x:f>
        <x:v>France</x:v>
      </x:c>
      <x:c r="R123" t="str">
        <x:f>IF(OR(F123&lt;=0,G123&lt;0,G123&gt;F123,N123&lt;0,P123="Non trouvé"),"À vérifier","OK")</x:f>
        <x:v>OK</x:v>
      </x:c>
    </x:row>
    <x:row r="124">
      <x:c r="A124" t="str">
        <x:v>DV-2024-00123</x:v>
      </x:c>
      <x:c r="B124" s="16" t="n">
        <x:v>45357</x:v>
      </x:c>
      <x:c r="C124" t="str">
        <x:v>Client 23</x:v>
      </x:c>
      <x:c r="D124" t="str">
        <x:v>Express</x:v>
      </x:c>
      <x:c r="E124" t="str">
        <x:v>Pôle E</x:v>
      </x:c>
      <x:c r="F124" s="18" t="n">
        <x:v>14149.41</x:v>
      </x:c>
      <x:c r="G124" s="18" t="n">
        <x:v>8208.26</x:v>
      </x:c>
      <x:c r="H124" t="str">
        <x:v>Client 23</x:v>
      </x:c>
      <x:c r="I124" s="16" t="n">
        <x:v>45406</x:v>
      </x:c>
      <x:c r="J124" t="n">
        <x:f>YEAR(B124)</x:f>
        <x:v>2024</x:v>
      </x:c>
      <x:c r="K124" s="20" t="n">
        <x:f>DATE(YEAR(B124),MONTH(B124),1)</x:f>
        <x:v>45352</x:v>
      </x:c>
      <x:c r="L124" s="18" t="n">
        <x:f>F124-G124</x:f>
        <x:v>5941.15</x:v>
      </x:c>
      <x:c r="M124" t="str">
        <x:f>IF(L124&lt;=0,"Payée",IF(G124=0,"Impayée","Partielle"))</x:f>
        <x:v>Partielle</x:v>
      </x:c>
      <x:c r="N124" t="n">
        <x:f>IF(I124="","",I124-B124)</x:f>
        <x:v>49</x:v>
      </x:c>
      <x:c r="O124" t="str">
        <x:f>IF(TRIM(C124)&lt;&gt;TRIM(H124),"Oui","Non")</x:f>
        <x:v>Non</x:v>
      </x:c>
      <x:c r="P124" t="str">
        <x:f>IFERROR(INDEX('02_REFERENTIEL_CLIENTS'!$B$2:$B$51,MATCH(TRIM(C124),'02_REFERENTIEL_CLIENTS'!$A$2:$A$51,0)),"Non trouvé")</x:f>
        <x:v>PME</x:v>
      </x:c>
      <x:c r="Q124" t="str">
        <x:f>IFERROR(INDEX('02_REFERENTIEL_CLIENTS'!$C$2:$C$51,MATCH(TRIM(C124),'02_REFERENTIEL_CLIENTS'!$A$2:$A$51,0)),"Non trouvé")</x:f>
        <x:v>Europe</x:v>
      </x:c>
      <x:c r="R124" t="str">
        <x:f>IF(OR(F124&lt;=0,G124&lt;0,G124&gt;F124,N124&lt;0,P124="Non trouvé"),"À vérifier","OK")</x:f>
        <x:v>OK</x:v>
      </x:c>
    </x:row>
    <x:row r="125">
      <x:c r="A125" t="str">
        <x:v>DV-2025-00124</x:v>
      </x:c>
      <x:c r="B125" s="16" t="n">
        <x:v>45690</x:v>
      </x:c>
      <x:c r="C125" t="str">
        <x:v>Client 48</x:v>
      </x:c>
      <x:c r="D125" t="str">
        <x:v>Logistique</x:v>
      </x:c>
      <x:c r="E125" t="str">
        <x:v>Pôle D</x:v>
      </x:c>
      <x:c r="F125" s="18" t="n">
        <x:v>16815.51</x:v>
      </x:c>
      <x:c r="G125" s="18" t="n">
        <x:v>16815.51</x:v>
      </x:c>
      <x:c r="H125" t="str">
        <x:v>Client 48</x:v>
      </x:c>
      <x:c r="I125" s="16" t="n">
        <x:v>45733</x:v>
      </x:c>
      <x:c r="J125" t="n">
        <x:f>YEAR(B125)</x:f>
        <x:v>2025</x:v>
      </x:c>
      <x:c r="K125" s="20" t="n">
        <x:f>DATE(YEAR(B125),MONTH(B125),1)</x:f>
        <x:v>45689</x:v>
      </x:c>
      <x:c r="L125" s="18" t="n">
        <x:f>F125-G125</x:f>
        <x:v>0</x:v>
      </x:c>
      <x:c r="M125" t="str">
        <x:f>IF(L125&lt;=0,"Payée",IF(G125=0,"Impayée","Partielle"))</x:f>
        <x:v>Payée</x:v>
      </x:c>
      <x:c r="N125" t="n">
        <x:f>IF(I125="","",I125-B125)</x:f>
        <x:v>43</x:v>
      </x:c>
      <x:c r="O125" t="str">
        <x:f>IF(TRIM(C125)&lt;&gt;TRIM(H125),"Oui","Non")</x:f>
        <x:v>Non</x:v>
      </x:c>
      <x:c r="P125" t="str">
        <x:f>IFERROR(INDEX('02_REFERENTIEL_CLIENTS'!$B$2:$B$51,MATCH(TRIM(C125),'02_REFERENTIEL_CLIENTS'!$A$2:$A$51,0)),"Non trouvé")</x:f>
        <x:v>Particuliers</x:v>
      </x:c>
      <x:c r="Q125" t="str">
        <x:f>IFERROR(INDEX('02_REFERENTIEL_CLIENTS'!$C$2:$C$51,MATCH(TRIM(C125),'02_REFERENTIEL_CLIENTS'!$A$2:$A$51,0)),"Non trouvé")</x:f>
        <x:v>International</x:v>
      </x:c>
      <x:c r="R125" t="str">
        <x:f>IF(OR(F125&lt;=0,G125&lt;0,G125&gt;F125,N125&lt;0,P125="Non trouvé"),"À vérifier","OK")</x:f>
        <x:v>OK</x:v>
      </x:c>
    </x:row>
    <x:row r="126">
      <x:c r="A126" t="str">
        <x:v>DV-2025-00125</x:v>
      </x:c>
      <x:c r="B126" s="16" t="n">
        <x:v>45715</x:v>
      </x:c>
      <x:c r="C126" t="str">
        <x:v>Client 02</x:v>
      </x:c>
      <x:c r="D126" t="str">
        <x:v>Express</x:v>
      </x:c>
      <x:c r="E126" t="str">
        <x:v>Pôle E</x:v>
      </x:c>
      <x:c r="F126" s="18" t="n">
        <x:v>22303.37</x:v>
      </x:c>
      <x:c r="G126" s="18" t="n">
        <x:v>8692.71</x:v>
      </x:c>
      <x:c r="H126" t="str">
        <x:v>Client 02</x:v>
      </x:c>
      <x:c r="I126" s="16" t="n">
        <x:v>45741</x:v>
      </x:c>
      <x:c r="J126" t="n">
        <x:f>YEAR(B126)</x:f>
        <x:v>2025</x:v>
      </x:c>
      <x:c r="K126" s="20" t="n">
        <x:f>DATE(YEAR(B126),MONTH(B126),1)</x:f>
        <x:v>45689</x:v>
      </x:c>
      <x:c r="L126" s="18" t="n">
        <x:f>F126-G126</x:f>
        <x:v>13610.66</x:v>
      </x:c>
      <x:c r="M126" t="str">
        <x:f>IF(L126&lt;=0,"Payée",IF(G126=0,"Impayée","Partielle"))</x:f>
        <x:v>Partielle</x:v>
      </x:c>
      <x:c r="N126" t="n">
        <x:f>IF(I126="","",I126-B126)</x:f>
        <x:v>26</x:v>
      </x:c>
      <x:c r="O126" t="str">
        <x:f>IF(TRIM(C126)&lt;&gt;TRIM(H126),"Oui","Non")</x:f>
        <x:v>Non</x:v>
      </x:c>
      <x:c r="P126" t="str">
        <x:f>IFERROR(INDEX('02_REFERENTIEL_CLIENTS'!$B$2:$B$51,MATCH(TRIM(C126),'02_REFERENTIEL_CLIENTS'!$A$2:$A$51,0)),"Non trouvé")</x:f>
        <x:v>PME</x:v>
      </x:c>
      <x:c r="Q126" t="str">
        <x:f>IFERROR(INDEX('02_REFERENTIEL_CLIENTS'!$C$2:$C$51,MATCH(TRIM(C126),'02_REFERENTIEL_CLIENTS'!$A$2:$A$51,0)),"Non trouvé")</x:f>
        <x:v>Europe</x:v>
      </x:c>
      <x:c r="R126" t="str">
        <x:f>IF(OR(F126&lt;=0,G126&lt;0,G126&gt;F126,N126&lt;0,P126="Non trouvé"),"À vérifier","OK")</x:f>
        <x:v>OK</x:v>
      </x:c>
    </x:row>
    <x:row r="127">
      <x:c r="A127" t="str">
        <x:v>DV-2024-00126</x:v>
      </x:c>
      <x:c r="B127" s="16" t="n">
        <x:v>45560</x:v>
      </x:c>
      <x:c r="C127" t="str">
        <x:v>Client 08</x:v>
      </x:c>
      <x:c r="D127" t="str">
        <x:v>Logistique</x:v>
      </x:c>
      <x:c r="E127" t="str">
        <x:v>Pôle D</x:v>
      </x:c>
      <x:c r="F127" s="18" t="n">
        <x:v>17390.68</x:v>
      </x:c>
      <x:c r="G127" s="18" t="n">
        <x:v>17390.68</x:v>
      </x:c>
      <x:c r="H127" t="str">
        <x:v>Client 10</x:v>
      </x:c>
      <x:c r="I127" s="16" t="n">
        <x:v>45584</x:v>
      </x:c>
      <x:c r="J127" t="n">
        <x:f>YEAR(B127)</x:f>
        <x:v>2024</x:v>
      </x:c>
      <x:c r="K127" s="20" t="n">
        <x:f>DATE(YEAR(B127),MONTH(B127),1)</x:f>
        <x:v>45536</x:v>
      </x:c>
      <x:c r="L127" s="18" t="n">
        <x:f>F127-G127</x:f>
        <x:v>0</x:v>
      </x:c>
      <x:c r="M127" t="str">
        <x:f>IF(L127&lt;=0,"Payée",IF(G127=0,"Impayée","Partielle"))</x:f>
        <x:v>Payée</x:v>
      </x:c>
      <x:c r="N127" t="n">
        <x:f>IF(I127="","",I127-B127)</x:f>
        <x:v>24</x:v>
      </x:c>
      <x:c r="O127" t="str">
        <x:f>IF(TRIM(C127)&lt;&gt;TRIM(H127),"Oui","Non")</x:f>
        <x:v>Oui</x:v>
      </x:c>
      <x:c r="P127" t="str">
        <x:f>IFERROR(INDEX('02_REFERENTIEL_CLIENTS'!$B$2:$B$51,MATCH(TRIM(C127),'02_REFERENTIEL_CLIENTS'!$A$2:$A$51,0)),"Non trouvé")</x:f>
        <x:v>PME</x:v>
      </x:c>
      <x:c r="Q127" t="str">
        <x:f>IFERROR(INDEX('02_REFERENTIEL_CLIENTS'!$C$2:$C$51,MATCH(TRIM(C127),'02_REFERENTIEL_CLIENTS'!$A$2:$A$51,0)),"Non trouvé")</x:f>
        <x:v>Europe</x:v>
      </x:c>
      <x:c r="R127" t="str">
        <x:f>IF(OR(F127&lt;=0,G127&lt;0,G127&gt;F127,N127&lt;0,P127="Non trouvé"),"À vérifier","OK")</x:f>
        <x:v>OK</x:v>
      </x:c>
    </x:row>
    <x:row r="128">
      <x:c r="A128" t="str">
        <x:v>DV-2024-00127</x:v>
      </x:c>
      <x:c r="B128" s="16" t="n">
        <x:v>45569</x:v>
      </x:c>
      <x:c r="C128" t="str">
        <x:v>Client 22</x:v>
      </x:c>
      <x:c r="D128" t="str">
        <x:v>Fret maritime</x:v>
      </x:c>
      <x:c r="E128" t="str">
        <x:v>Pôle A</x:v>
      </x:c>
      <x:c r="F128" s="18" t="n">
        <x:v>12448.12</x:v>
      </x:c>
      <x:c r="G128" s="18" t="n">
        <x:v>12448.12</x:v>
      </x:c>
      <x:c r="H128" t="str">
        <x:v>Client 25</x:v>
      </x:c>
      <x:c r="I128" s="16" t="n">
        <x:v>45610</x:v>
      </x:c>
      <x:c r="J128" t="n">
        <x:f>YEAR(B128)</x:f>
        <x:v>2024</x:v>
      </x:c>
      <x:c r="K128" s="20" t="n">
        <x:f>DATE(YEAR(B128),MONTH(B128),1)</x:f>
        <x:v>45566</x:v>
      </x:c>
      <x:c r="L128" s="18" t="n">
        <x:f>F128-G128</x:f>
        <x:v>0</x:v>
      </x:c>
      <x:c r="M128" t="str">
        <x:f>IF(L128&lt;=0,"Payée",IF(G128=0,"Impayée","Partielle"))</x:f>
        <x:v>Payée</x:v>
      </x:c>
      <x:c r="N128" t="n">
        <x:f>IF(I128="","",I128-B128)</x:f>
        <x:v>41</x:v>
      </x:c>
      <x:c r="O128" t="str">
        <x:f>IF(TRIM(C128)&lt;&gt;TRIM(H128),"Oui","Non")</x:f>
        <x:v>Oui</x:v>
      </x:c>
      <x:c r="P128" t="str">
        <x:f>IFERROR(INDEX('02_REFERENTIEL_CLIENTS'!$B$2:$B$51,MATCH(TRIM(C128),'02_REFERENTIEL_CLIENTS'!$A$2:$A$51,0)),"Non trouvé")</x:f>
        <x:v>Grands comptes</x:v>
      </x:c>
      <x:c r="Q128" t="str">
        <x:f>IFERROR(INDEX('02_REFERENTIEL_CLIENTS'!$C$2:$C$51,MATCH(TRIM(C128),'02_REFERENTIEL_CLIENTS'!$A$2:$A$51,0)),"Non trouvé")</x:f>
        <x:v>France</x:v>
      </x:c>
      <x:c r="R128" t="str">
        <x:f>IF(OR(F128&lt;=0,G128&lt;0,G128&gt;F128,N128&lt;0,P128="Non trouvé"),"À vérifier","OK")</x:f>
        <x:v>OK</x:v>
      </x:c>
    </x:row>
    <x:row r="129">
      <x:c r="A129" t="str">
        <x:v>DV-2026-00128</x:v>
      </x:c>
      <x:c r="B129" s="16" t="n">
        <x:v>46242</x:v>
      </x:c>
      <x:c r="C129" t="str">
        <x:v>Client 45</x:v>
      </x:c>
      <x:c r="D129" t="str">
        <x:v>Fret maritime</x:v>
      </x:c>
      <x:c r="E129" t="str">
        <x:v>Pôle A</x:v>
      </x:c>
      <x:c r="F129" s="18" t="n">
        <x:v>13558.77</x:v>
      </x:c>
      <x:c r="G129" s="18" t="n">
        <x:v>13558.77</x:v>
      </x:c>
      <x:c r="H129" t="str">
        <x:v>Client 45</x:v>
      </x:c>
      <x:c r="I129" s="16" t="n">
        <x:v>46259</x:v>
      </x:c>
      <x:c r="J129" t="n">
        <x:f>YEAR(B129)</x:f>
        <x:v>2026</x:v>
      </x:c>
      <x:c r="K129" s="20" t="n">
        <x:f>DATE(YEAR(B129),MONTH(B129),1)</x:f>
        <x:v>46235</x:v>
      </x:c>
      <x:c r="L129" s="18" t="n">
        <x:f>F129-G129</x:f>
        <x:v>0</x:v>
      </x:c>
      <x:c r="M129" t="str">
        <x:f>IF(L129&lt;=0,"Payée",IF(G129=0,"Impayée","Partielle"))</x:f>
        <x:v>Payée</x:v>
      </x:c>
      <x:c r="N129" t="n">
        <x:f>IF(I129="","",I129-B129)</x:f>
        <x:v>17</x:v>
      </x:c>
      <x:c r="O129" t="str">
        <x:f>IF(TRIM(C129)&lt;&gt;TRIM(H129),"Oui","Non")</x:f>
        <x:v>Non</x:v>
      </x:c>
      <x:c r="P129" t="str">
        <x:f>IFERROR(INDEX('02_REFERENTIEL_CLIENTS'!$B$2:$B$51,MATCH(TRIM(C129),'02_REFERENTIEL_CLIENTS'!$A$2:$A$51,0)),"Non trouvé")</x:f>
        <x:v>Particuliers</x:v>
      </x:c>
      <x:c r="Q129" t="str">
        <x:f>IFERROR(INDEX('02_REFERENTIEL_CLIENTS'!$C$2:$C$51,MATCH(TRIM(C129),'02_REFERENTIEL_CLIENTS'!$A$2:$A$51,0)),"Non trouvé")</x:f>
        <x:v>International</x:v>
      </x:c>
      <x:c r="R129" t="str">
        <x:f>IF(OR(F129&lt;=0,G129&lt;0,G129&gt;F129,N129&lt;0,P129="Non trouvé"),"À vérifier","OK")</x:f>
        <x:v>OK</x:v>
      </x:c>
    </x:row>
    <x:row r="130">
      <x:c r="A130" t="str">
        <x:v>DV-2025-00129</x:v>
      </x:c>
      <x:c r="B130" s="16" t="n">
        <x:v>45984</x:v>
      </x:c>
      <x:c r="C130" t="str">
        <x:v>Client 02</x:v>
      </x:c>
      <x:c r="D130" t="str">
        <x:v>Fret maritime</x:v>
      </x:c>
      <x:c r="E130" t="str">
        <x:v>Pôle E</x:v>
      </x:c>
      <x:c r="F130" s="18" t="n">
        <x:v>17434.28</x:v>
      </x:c>
      <x:c r="G130" s="18" t="n">
        <x:v>17434.28</x:v>
      </x:c>
      <x:c r="H130" t="str">
        <x:v>Client 02</x:v>
      </x:c>
      <x:c r="I130" s="16" t="n">
        <x:v>46041</x:v>
      </x:c>
      <x:c r="J130" t="n">
        <x:f>YEAR(B130)</x:f>
        <x:v>2025</x:v>
      </x:c>
      <x:c r="K130" s="20" t="n">
        <x:f>DATE(YEAR(B130),MONTH(B130),1)</x:f>
        <x:v>45962</x:v>
      </x:c>
      <x:c r="L130" s="18" t="n">
        <x:f>F130-G130</x:f>
        <x:v>0</x:v>
      </x:c>
      <x:c r="M130" t="str">
        <x:f>IF(L130&lt;=0,"Payée",IF(G130=0,"Impayée","Partielle"))</x:f>
        <x:v>Payée</x:v>
      </x:c>
      <x:c r="N130" t="n">
        <x:f>IF(I130="","",I130-B130)</x:f>
        <x:v>57</x:v>
      </x:c>
      <x:c r="O130" t="str">
        <x:f>IF(TRIM(C130)&lt;&gt;TRIM(H130),"Oui","Non")</x:f>
        <x:v>Non</x:v>
      </x:c>
      <x:c r="P130" t="str">
        <x:f>IFERROR(INDEX('02_REFERENTIEL_CLIENTS'!$B$2:$B$51,MATCH(TRIM(C130),'02_REFERENTIEL_CLIENTS'!$A$2:$A$51,0)),"Non trouvé")</x:f>
        <x:v>PME</x:v>
      </x:c>
      <x:c r="Q130" t="str">
        <x:f>IFERROR(INDEX('02_REFERENTIEL_CLIENTS'!$C$2:$C$51,MATCH(TRIM(C130),'02_REFERENTIEL_CLIENTS'!$A$2:$A$51,0)),"Non trouvé")</x:f>
        <x:v>Europe</x:v>
      </x:c>
      <x:c r="R130" t="str">
        <x:f>IF(OR(F130&lt;=0,G130&lt;0,G130&gt;F130,N130&lt;0,P130="Non trouvé"),"À vérifier","OK")</x:f>
        <x:v>OK</x:v>
      </x:c>
    </x:row>
    <x:row r="131">
      <x:c r="A131" t="str">
        <x:v>DV-2025-00130</x:v>
      </x:c>
      <x:c r="B131" s="16" t="n">
        <x:v>45721</x:v>
      </x:c>
      <x:c r="C131" t="str">
        <x:v>Client 28</x:v>
      </x:c>
      <x:c r="D131" t="str">
        <x:v>Express</x:v>
      </x:c>
      <x:c r="E131" t="str">
        <x:v>Pôle E</x:v>
      </x:c>
      <x:c r="F131" s="18" t="n">
        <x:v>8443.03</x:v>
      </x:c>
      <x:c r="G131" s="18" t="n">
        <x:v>8443.03</x:v>
      </x:c>
      <x:c r="H131" t="str">
        <x:v>Client 02</x:v>
      </x:c>
      <x:c r="I131" s="16" t="n">
        <x:v>45796</x:v>
      </x:c>
      <x:c r="J131" t="n">
        <x:f>YEAR(B131)</x:f>
        <x:v>2025</x:v>
      </x:c>
      <x:c r="K131" s="20" t="n">
        <x:f>DATE(YEAR(B131),MONTH(B131),1)</x:f>
        <x:v>45717</x:v>
      </x:c>
      <x:c r="L131" s="18" t="n">
        <x:f>F131-G131</x:f>
        <x:v>0</x:v>
      </x:c>
      <x:c r="M131" t="str">
        <x:f>IF(L131&lt;=0,"Payée",IF(G131=0,"Impayée","Partielle"))</x:f>
        <x:v>Payée</x:v>
      </x:c>
      <x:c r="N131" t="n">
        <x:f>IF(I131="","",I131-B131)</x:f>
        <x:v>75</x:v>
      </x:c>
      <x:c r="O131" t="str">
        <x:f>IF(TRIM(C131)&lt;&gt;TRIM(H131),"Oui","Non")</x:f>
        <x:v>Oui</x:v>
      </x:c>
      <x:c r="P131" t="str">
        <x:f>IFERROR(INDEX('02_REFERENTIEL_CLIENTS'!$B$2:$B$51,MATCH(TRIM(C131),'02_REFERENTIEL_CLIENTS'!$A$2:$A$51,0)),"Non trouvé")</x:f>
        <x:v>Grands comptes</x:v>
      </x:c>
      <x:c r="Q131" t="str">
        <x:f>IFERROR(INDEX('02_REFERENTIEL_CLIENTS'!$C$2:$C$51,MATCH(TRIM(C131),'02_REFERENTIEL_CLIENTS'!$A$2:$A$51,0)),"Non trouvé")</x:f>
        <x:v>France</x:v>
      </x:c>
      <x:c r="R131" t="str">
        <x:f>IF(OR(F131&lt;=0,G131&lt;0,G131&gt;F131,N131&lt;0,P131="Non trouvé"),"À vérifier","OK")</x:f>
        <x:v>OK</x:v>
      </x:c>
    </x:row>
    <x:row r="132">
      <x:c r="A132" t="str">
        <x:v>DV-2026-00131</x:v>
      </x:c>
      <x:c r="B132" s="16" t="n">
        <x:v>46085</x:v>
      </x:c>
      <x:c r="C132" t="str">
        <x:v>Client 25</x:v>
      </x:c>
      <x:c r="D132" t="str">
        <x:v>Logistique</x:v>
      </x:c>
      <x:c r="E132" t="str">
        <x:v>Pôle D</x:v>
      </x:c>
      <x:c r="F132" s="18" t="n">
        <x:v>12538.59</x:v>
      </x:c>
      <x:c r="G132" s="18" t="n">
        <x:v>12538.59</x:v>
      </x:c>
      <x:c r="H132" t="str">
        <x:v>Client 25</x:v>
      </x:c>
      <x:c r="I132" s="16" t="n">
        <x:v>46104</x:v>
      </x:c>
      <x:c r="J132" t="n">
        <x:f>YEAR(B132)</x:f>
        <x:v>2026</x:v>
      </x:c>
      <x:c r="K132" s="20" t="n">
        <x:f>DATE(YEAR(B132),MONTH(B132),1)</x:f>
        <x:v>46082</x:v>
      </x:c>
      <x:c r="L132" s="18" t="n">
        <x:f>F132-G132</x:f>
        <x:v>0</x:v>
      </x:c>
      <x:c r="M132" t="str">
        <x:f>IF(L132&lt;=0,"Payée",IF(G132=0,"Impayée","Partielle"))</x:f>
        <x:v>Payée</x:v>
      </x:c>
      <x:c r="N132" t="n">
        <x:f>IF(I132="","",I132-B132)</x:f>
        <x:v>19</x:v>
      </x:c>
      <x:c r="O132" t="str">
        <x:f>IF(TRIM(C132)&lt;&gt;TRIM(H132),"Oui","Non")</x:f>
        <x:v>Non</x:v>
      </x:c>
      <x:c r="P132" t="str">
        <x:f>IFERROR(INDEX('02_REFERENTIEL_CLIENTS'!$B$2:$B$51,MATCH(TRIM(C132),'02_REFERENTIEL_CLIENTS'!$A$2:$A$51,0)),"Non trouvé")</x:f>
        <x:v>Grands comptes</x:v>
      </x:c>
      <x:c r="Q132" t="str">
        <x:f>IFERROR(INDEX('02_REFERENTIEL_CLIENTS'!$C$2:$C$51,MATCH(TRIM(C132),'02_REFERENTIEL_CLIENTS'!$A$2:$A$51,0)),"Non trouvé")</x:f>
        <x:v>France</x:v>
      </x:c>
      <x:c r="R132" t="str">
        <x:f>IF(OR(F132&lt;=0,G132&lt;0,G132&gt;F132,N132&lt;0,P132="Non trouvé"),"À vérifier","OK")</x:f>
        <x:v>OK</x:v>
      </x:c>
    </x:row>
    <x:row r="133">
      <x:c r="A133" t="str">
        <x:v>DV-2026-00132</x:v>
      </x:c>
      <x:c r="B133" s="16" t="n">
        <x:v>46204</x:v>
      </x:c>
      <x:c r="C133" t="str">
        <x:v>Client 38</x:v>
      </x:c>
      <x:c r="D133" t="str">
        <x:v>Express</x:v>
      </x:c>
      <x:c r="E133" t="str">
        <x:v>Pôle C</x:v>
      </x:c>
      <x:c r="F133" s="18" t="n">
        <x:v>16245.17</x:v>
      </x:c>
      <x:c r="G133" s="18" t="n">
        <x:v>16245.17</x:v>
      </x:c>
      <x:c r="H133" t="str">
        <x:v>Client 38</x:v>
      </x:c>
      <x:c r="I133" s="16" t="n">
        <x:v>46281</x:v>
      </x:c>
      <x:c r="J133" t="n">
        <x:f>YEAR(B133)</x:f>
        <x:v>2026</x:v>
      </x:c>
      <x:c r="K133" s="20" t="n">
        <x:f>DATE(YEAR(B133),MONTH(B133),1)</x:f>
        <x:v>46204</x:v>
      </x:c>
      <x:c r="L133" s="18" t="n">
        <x:f>F133-G133</x:f>
        <x:v>0</x:v>
      </x:c>
      <x:c r="M133" t="str">
        <x:f>IF(L133&lt;=0,"Payée",IF(G133=0,"Impayée","Partielle"))</x:f>
        <x:v>Payée</x:v>
      </x:c>
      <x:c r="N133" t="n">
        <x:f>IF(I133="","",I133-B133)</x:f>
        <x:v>77</x:v>
      </x:c>
      <x:c r="O133" t="str">
        <x:f>IF(TRIM(C133)&lt;&gt;TRIM(H133),"Oui","Non")</x:f>
        <x:v>Non</x:v>
      </x:c>
      <x:c r="P133" t="str">
        <x:f>IFERROR(INDEX('02_REFERENTIEL_CLIENTS'!$B$2:$B$51,MATCH(TRIM(C133),'02_REFERENTIEL_CLIENTS'!$A$2:$A$51,0)),"Non trouvé")</x:f>
        <x:v>PME</x:v>
      </x:c>
      <x:c r="Q133" t="str">
        <x:f>IFERROR(INDEX('02_REFERENTIEL_CLIENTS'!$C$2:$C$51,MATCH(TRIM(C133),'02_REFERENTIEL_CLIENTS'!$A$2:$A$51,0)),"Non trouvé")</x:f>
        <x:v>Europe</x:v>
      </x:c>
      <x:c r="R133" t="str">
        <x:f>IF(OR(F133&lt;=0,G133&lt;0,G133&gt;F133,N133&lt;0,P133="Non trouvé"),"À vérifier","OK")</x:f>
        <x:v>OK</x:v>
      </x:c>
    </x:row>
    <x:row r="134">
      <x:c r="A134" t="str">
        <x:v>DV-2024-00133</x:v>
      </x:c>
      <x:c r="B134" s="16" t="n">
        <x:v>45656</x:v>
      </x:c>
      <x:c r="C134" t="str">
        <x:v>Client 39</x:v>
      </x:c>
      <x:c r="D134" t="str">
        <x:v>Douane</x:v>
      </x:c>
      <x:c r="E134" t="str">
        <x:v>Pôle B</x:v>
      </x:c>
      <x:c r="F134" s="18" t="n">
        <x:v>357.54</x:v>
      </x:c>
      <x:c r="G134" s="18" t="n">
        <x:v>357.54</x:v>
      </x:c>
      <x:c r="H134" t="str">
        <x:v>Client 39</x:v>
      </x:c>
      <x:c r="I134" s="16" t="n">
        <x:v>45744</x:v>
      </x:c>
      <x:c r="J134" t="n">
        <x:f>YEAR(B134)</x:f>
        <x:v>2024</x:v>
      </x:c>
      <x:c r="K134" s="20" t="n">
        <x:f>DATE(YEAR(B134),MONTH(B134),1)</x:f>
        <x:v>45627</x:v>
      </x:c>
      <x:c r="L134" s="18" t="n">
        <x:f>F134-G134</x:f>
        <x:v>0</x:v>
      </x:c>
      <x:c r="M134" t="str">
        <x:f>IF(L134&lt;=0,"Payée",IF(G134=0,"Impayée","Partielle"))</x:f>
        <x:v>Payée</x:v>
      </x:c>
      <x:c r="N134" t="n">
        <x:f>IF(I134="","",I134-B134)</x:f>
        <x:v>88</x:v>
      </x:c>
      <x:c r="O134" t="str">
        <x:f>IF(TRIM(C134)&lt;&gt;TRIM(H134),"Oui","Non")</x:f>
        <x:v>Non</x:v>
      </x:c>
      <x:c r="P134" t="str">
        <x:f>IFERROR(INDEX('02_REFERENTIEL_CLIENTS'!$B$2:$B$51,MATCH(TRIM(C134),'02_REFERENTIEL_CLIENTS'!$A$2:$A$51,0)),"Non trouvé")</x:f>
        <x:v>Particuliers</x:v>
      </x:c>
      <x:c r="Q134" t="str">
        <x:f>IFERROR(INDEX('02_REFERENTIEL_CLIENTS'!$C$2:$C$51,MATCH(TRIM(C134),'02_REFERENTIEL_CLIENTS'!$A$2:$A$51,0)),"Non trouvé")</x:f>
        <x:v>International</x:v>
      </x:c>
      <x:c r="R134" t="str">
        <x:f>IF(OR(F134&lt;=0,G134&lt;0,G134&gt;F134,N134&lt;0,P134="Non trouvé"),"À vérifier","OK")</x:f>
        <x:v>OK</x:v>
      </x:c>
    </x:row>
    <x:row r="135">
      <x:c r="A135" t="str">
        <x:v>DV-2026-00134</x:v>
      </x:c>
      <x:c r="B135" s="16" t="n">
        <x:v>46235</x:v>
      </x:c>
      <x:c r="C135" t="str">
        <x:v>Client 08</x:v>
      </x:c>
      <x:c r="D135" t="str">
        <x:v>Fret maritime</x:v>
      </x:c>
      <x:c r="E135" t="str">
        <x:v>Pôle A</x:v>
      </x:c>
      <x:c r="F135" s="18" t="n">
        <x:v>14615.19</x:v>
      </x:c>
      <x:c r="G135" s="18" t="n">
        <x:v>14615.19</x:v>
      </x:c>
      <x:c r="H135" t="str">
        <x:v>Client 21</x:v>
      </x:c>
      <x:c r="I135" s="16" t="n">
        <x:v>46323</x:v>
      </x:c>
      <x:c r="J135" t="n">
        <x:f>YEAR(B135)</x:f>
        <x:v>2026</x:v>
      </x:c>
      <x:c r="K135" s="20" t="n">
        <x:f>DATE(YEAR(B135),MONTH(B135),1)</x:f>
        <x:v>46235</x:v>
      </x:c>
      <x:c r="L135" s="18" t="n">
        <x:f>F135-G135</x:f>
        <x:v>0</x:v>
      </x:c>
      <x:c r="M135" t="str">
        <x:f>IF(L135&lt;=0,"Payée",IF(G135=0,"Impayée","Partielle"))</x:f>
        <x:v>Payée</x:v>
      </x:c>
      <x:c r="N135" t="n">
        <x:f>IF(I135="","",I135-B135)</x:f>
        <x:v>88</x:v>
      </x:c>
      <x:c r="O135" t="str">
        <x:f>IF(TRIM(C135)&lt;&gt;TRIM(H135),"Oui","Non")</x:f>
        <x:v>Oui</x:v>
      </x:c>
      <x:c r="P135" t="str">
        <x:f>IFERROR(INDEX('02_REFERENTIEL_CLIENTS'!$B$2:$B$51,MATCH(TRIM(C135),'02_REFERENTIEL_CLIENTS'!$A$2:$A$51,0)),"Non trouvé")</x:f>
        <x:v>PME</x:v>
      </x:c>
      <x:c r="Q135" t="str">
        <x:f>IFERROR(INDEX('02_REFERENTIEL_CLIENTS'!$C$2:$C$51,MATCH(TRIM(C135),'02_REFERENTIEL_CLIENTS'!$A$2:$A$51,0)),"Non trouvé")</x:f>
        <x:v>Europe</x:v>
      </x:c>
      <x:c r="R135" t="str">
        <x:f>IF(OR(F135&lt;=0,G135&lt;0,G135&gt;F135,N135&lt;0,P135="Non trouvé"),"À vérifier","OK")</x:f>
        <x:v>OK</x:v>
      </x:c>
    </x:row>
    <x:row r="136">
      <x:c r="A136" t="str">
        <x:v>DV-2026-00135</x:v>
      </x:c>
      <x:c r="B136" s="16" t="n">
        <x:v>46210</x:v>
      </x:c>
      <x:c r="C136" t="str">
        <x:v>Client 31</x:v>
      </x:c>
      <x:c r="D136" t="str">
        <x:v>Express</x:v>
      </x:c>
      <x:c r="E136" t="str">
        <x:v>Pôle C</x:v>
      </x:c>
      <x:c r="F136" s="18" t="n">
        <x:v>8766.63</x:v>
      </x:c>
      <x:c r="G136" s="18" t="n">
        <x:v>8766.63</x:v>
      </x:c>
      <x:c r="H136" t="str">
        <x:v>Client 31</x:v>
      </x:c>
      <x:c r="I136" s="16" t="n">
        <x:v>46225</x:v>
      </x:c>
      <x:c r="J136" t="n">
        <x:f>YEAR(B136)</x:f>
        <x:v>2026</x:v>
      </x:c>
      <x:c r="K136" s="20" t="n">
        <x:f>DATE(YEAR(B136),MONTH(B136),1)</x:f>
        <x:v>46204</x:v>
      </x:c>
      <x:c r="L136" s="18" t="n">
        <x:f>F136-G136</x:f>
        <x:v>0</x:v>
      </x:c>
      <x:c r="M136" t="str">
        <x:f>IF(L136&lt;=0,"Payée",IF(G136=0,"Impayée","Partielle"))</x:f>
        <x:v>Payée</x:v>
      </x:c>
      <x:c r="N136" t="n">
        <x:f>IF(I136="","",I136-B136)</x:f>
        <x:v>15</x:v>
      </x:c>
      <x:c r="O136" t="str">
        <x:f>IF(TRIM(C136)&lt;&gt;TRIM(H136),"Oui","Non")</x:f>
        <x:v>Non</x:v>
      </x:c>
      <x:c r="P136" t="str">
        <x:f>IFERROR(INDEX('02_REFERENTIEL_CLIENTS'!$B$2:$B$51,MATCH(TRIM(C136),'02_REFERENTIEL_CLIENTS'!$A$2:$A$51,0)),"Non trouvé")</x:f>
        <x:v>Grands comptes</x:v>
      </x:c>
      <x:c r="Q136" t="str">
        <x:f>IFERROR(INDEX('02_REFERENTIEL_CLIENTS'!$C$2:$C$51,MATCH(TRIM(C136),'02_REFERENTIEL_CLIENTS'!$A$2:$A$51,0)),"Non trouvé")</x:f>
        <x:v>France</x:v>
      </x:c>
      <x:c r="R136" t="str">
        <x:f>IF(OR(F136&lt;=0,G136&lt;0,G136&gt;F136,N136&lt;0,P136="Non trouvé"),"À vérifier","OK")</x:f>
        <x:v>OK</x:v>
      </x:c>
    </x:row>
    <x:row r="137">
      <x:c r="A137" t="str">
        <x:v>DV-2026-00136</x:v>
      </x:c>
      <x:c r="B137" s="16" t="n">
        <x:v>46057</x:v>
      </x:c>
      <x:c r="C137" t="str">
        <x:v>Client 38</x:v>
      </x:c>
      <x:c r="D137" t="str">
        <x:v>Fret aérien</x:v>
      </x:c>
      <x:c r="E137" t="str">
        <x:v>Pôle A</x:v>
      </x:c>
      <x:c r="F137" s="18" t="n">
        <x:v>22234.28</x:v>
      </x:c>
      <x:c r="G137" s="18" t="n">
        <x:v>22234.28</x:v>
      </x:c>
      <x:c r="H137" t="str">
        <x:v>Client 38</x:v>
      </x:c>
      <x:c r="I137" s="16" t="n">
        <x:v>46098</x:v>
      </x:c>
      <x:c r="J137" t="n">
        <x:f>YEAR(B137)</x:f>
        <x:v>2026</x:v>
      </x:c>
      <x:c r="K137" s="20" t="n">
        <x:f>DATE(YEAR(B137),MONTH(B137),1)</x:f>
        <x:v>46054</x:v>
      </x:c>
      <x:c r="L137" s="18" t="n">
        <x:f>F137-G137</x:f>
        <x:v>0</x:v>
      </x:c>
      <x:c r="M137" t="str">
        <x:f>IF(L137&lt;=0,"Payée",IF(G137=0,"Impayée","Partielle"))</x:f>
        <x:v>Payée</x:v>
      </x:c>
      <x:c r="N137" t="n">
        <x:f>IF(I137="","",I137-B137)</x:f>
        <x:v>41</x:v>
      </x:c>
      <x:c r="O137" t="str">
        <x:f>IF(TRIM(C137)&lt;&gt;TRIM(H137),"Oui","Non")</x:f>
        <x:v>Non</x:v>
      </x:c>
      <x:c r="P137" t="str">
        <x:f>IFERROR(INDEX('02_REFERENTIEL_CLIENTS'!$B$2:$B$51,MATCH(TRIM(C137),'02_REFERENTIEL_CLIENTS'!$A$2:$A$51,0)),"Non trouvé")</x:f>
        <x:v>PME</x:v>
      </x:c>
      <x:c r="Q137" t="str">
        <x:f>IFERROR(INDEX('02_REFERENTIEL_CLIENTS'!$C$2:$C$51,MATCH(TRIM(C137),'02_REFERENTIEL_CLIENTS'!$A$2:$A$51,0)),"Non trouvé")</x:f>
        <x:v>Europe</x:v>
      </x:c>
      <x:c r="R137" t="str">
        <x:f>IF(OR(F137&lt;=0,G137&lt;0,G137&gt;F137,N137&lt;0,P137="Non trouvé"),"À vérifier","OK")</x:f>
        <x:v>OK</x:v>
      </x:c>
    </x:row>
    <x:row r="138">
      <x:c r="A138" t="str">
        <x:v>DV-2025-00137</x:v>
      </x:c>
      <x:c r="B138" s="16" t="n">
        <x:v>45824</x:v>
      </x:c>
      <x:c r="C138" t="str">
        <x:v>Client 43</x:v>
      </x:c>
      <x:c r="D138" t="str">
        <x:v>Fret maritime</x:v>
      </x:c>
      <x:c r="E138" t="str">
        <x:v>Pôle A</x:v>
      </x:c>
      <x:c r="F138" s="18" t="n">
        <x:v>9339.32</x:v>
      </x:c>
      <x:c r="G138" s="18" t="n">
        <x:v>0</x:v>
      </x:c>
      <x:c r="H138" t="str">
        <x:v>Client 43</x:v>
      </x:c>
      <x:c r="I138" s="16"/>
      <x:c r="J138" t="n">
        <x:f>YEAR(B138)</x:f>
        <x:v>2025</x:v>
      </x:c>
      <x:c r="K138" s="20" t="n">
        <x:f>DATE(YEAR(B138),MONTH(B138),1)</x:f>
        <x:v>45809</x:v>
      </x:c>
      <x:c r="L138" s="18" t="n">
        <x:f>F138-G138</x:f>
        <x:v>9339.32</x:v>
      </x:c>
      <x:c r="M138" t="str">
        <x:f>IF(L138&lt;=0,"Payée",IF(G138=0,"Impayée","Partielle"))</x:f>
        <x:v>Impayée</x:v>
      </x:c>
      <x:c r="N138" t="str">
        <x:f>IF(I138="","",I138-B138)</x:f>
      </x:c>
      <x:c r="O138" t="str">
        <x:f>IF(TRIM(C138)&lt;&gt;TRIM(H138),"Oui","Non")</x:f>
        <x:v>Non</x:v>
      </x:c>
      <x:c r="P138" t="str">
        <x:f>IFERROR(INDEX('02_REFERENTIEL_CLIENTS'!$B$2:$B$51,MATCH(TRIM(C138),'02_REFERENTIEL_CLIENTS'!$A$2:$A$51,0)),"Non trouvé")</x:f>
        <x:v>Grands comptes</x:v>
      </x:c>
      <x:c r="Q138" t="str">
        <x:f>IFERROR(INDEX('02_REFERENTIEL_CLIENTS'!$C$2:$C$51,MATCH(TRIM(C138),'02_REFERENTIEL_CLIENTS'!$A$2:$A$51,0)),"Non trouvé")</x:f>
        <x:v>France</x:v>
      </x:c>
      <x:c r="R138" t="str">
        <x:f>IF(OR(F138&lt;=0,G138&lt;0,G138&gt;F138,N138&lt;0,P138="Non trouvé"),"À vérifier","OK")</x:f>
        <x:v>OK</x:v>
      </x:c>
    </x:row>
    <x:row r="139">
      <x:c r="A139" t="str">
        <x:v>DV-2024-00138</x:v>
      </x:c>
      <x:c r="B139" s="16" t="n">
        <x:v>45439</x:v>
      </x:c>
      <x:c r="C139" t="str">
        <x:v>Client 01 </x:v>
      </x:c>
      <x:c r="D139" t="str">
        <x:v>Fret aérien</x:v>
      </x:c>
      <x:c r="E139" t="str">
        <x:v>Pôle A</x:v>
      </x:c>
      <x:c r="F139" s="18" t="n">
        <x:v>21361.73</x:v>
      </x:c>
      <x:c r="G139" s="18" t="n">
        <x:v>21361.73</x:v>
      </x:c>
      <x:c r="H139" t="str">
        <x:v>Client 01</x:v>
      </x:c>
      <x:c r="I139" s="16" t="n">
        <x:v>45510</x:v>
      </x:c>
      <x:c r="J139" t="n">
        <x:f>YEAR(B139)</x:f>
        <x:v>2024</x:v>
      </x:c>
      <x:c r="K139" s="20" t="n">
        <x:f>DATE(YEAR(B139),MONTH(B139),1)</x:f>
        <x:v>45413</x:v>
      </x:c>
      <x:c r="L139" s="18" t="n">
        <x:f>F139-G139</x:f>
        <x:v>0</x:v>
      </x:c>
      <x:c r="M139" t="str">
        <x:f>IF(L139&lt;=0,"Payée",IF(G139=0,"Impayée","Partielle"))</x:f>
        <x:v>Payée</x:v>
      </x:c>
      <x:c r="N139" t="n">
        <x:f>IF(I139="","",I139-B139)</x:f>
        <x:v>71</x:v>
      </x:c>
      <x:c r="O139" t="str">
        <x:f>IF(TRIM(C139)&lt;&gt;TRIM(H139),"Oui","Non")</x:f>
        <x:v>Non</x:v>
      </x:c>
      <x:c r="P139" t="str">
        <x:f>IFERROR(INDEX('02_REFERENTIEL_CLIENTS'!$B$2:$B$51,MATCH(TRIM(C139),'02_REFERENTIEL_CLIENTS'!$A$2:$A$51,0)),"Non trouvé")</x:f>
        <x:v>Grands comptes</x:v>
      </x:c>
      <x:c r="Q139" t="str">
        <x:f>IFERROR(INDEX('02_REFERENTIEL_CLIENTS'!$C$2:$C$51,MATCH(TRIM(C139),'02_REFERENTIEL_CLIENTS'!$A$2:$A$51,0)),"Non trouvé")</x:f>
        <x:v>France</x:v>
      </x:c>
      <x:c r="R139" t="str">
        <x:f>IF(OR(F139&lt;=0,G139&lt;0,G139&gt;F139,N139&lt;0,P139="Non trouvé"),"À vérifier","OK")</x:f>
        <x:v>OK</x:v>
      </x:c>
    </x:row>
    <x:row r="140">
      <x:c r="A140" t="str">
        <x:v>DV-2024-00139</x:v>
      </x:c>
      <x:c r="B140" s="16" t="n">
        <x:v>45314</x:v>
      </x:c>
      <x:c r="C140" t="str">
        <x:v>Client 39</x:v>
      </x:c>
      <x:c r="D140" t="str">
        <x:v>Fret maritime</x:v>
      </x:c>
      <x:c r="E140" t="str">
        <x:v>Pôle A</x:v>
      </x:c>
      <x:c r="F140" s="18" t="n">
        <x:v>19571.57</x:v>
      </x:c>
      <x:c r="G140" s="18" t="n">
        <x:v>8226.03</x:v>
      </x:c>
      <x:c r="H140" t="str">
        <x:v>Client 39</x:v>
      </x:c>
      <x:c r="I140" s="16" t="n">
        <x:v>45362</x:v>
      </x:c>
      <x:c r="J140" t="n">
        <x:f>YEAR(B140)</x:f>
        <x:v>2024</x:v>
      </x:c>
      <x:c r="K140" s="20" t="n">
        <x:f>DATE(YEAR(B140),MONTH(B140),1)</x:f>
        <x:v>45292</x:v>
      </x:c>
      <x:c r="L140" s="18" t="n">
        <x:f>F140-G140</x:f>
        <x:v>11345.539999999999</x:v>
      </x:c>
      <x:c r="M140" t="str">
        <x:f>IF(L140&lt;=0,"Payée",IF(G140=0,"Impayée","Partielle"))</x:f>
        <x:v>Partielle</x:v>
      </x:c>
      <x:c r="N140" t="n">
        <x:f>IF(I140="","",I140-B140)</x:f>
        <x:v>48</x:v>
      </x:c>
      <x:c r="O140" t="str">
        <x:f>IF(TRIM(C140)&lt;&gt;TRIM(H140),"Oui","Non")</x:f>
        <x:v>Non</x:v>
      </x:c>
      <x:c r="P140" t="str">
        <x:f>IFERROR(INDEX('02_REFERENTIEL_CLIENTS'!$B$2:$B$51,MATCH(TRIM(C140),'02_REFERENTIEL_CLIENTS'!$A$2:$A$51,0)),"Non trouvé")</x:f>
        <x:v>Particuliers</x:v>
      </x:c>
      <x:c r="Q140" t="str">
        <x:f>IFERROR(INDEX('02_REFERENTIEL_CLIENTS'!$C$2:$C$51,MATCH(TRIM(C140),'02_REFERENTIEL_CLIENTS'!$A$2:$A$51,0)),"Non trouvé")</x:f>
        <x:v>International</x:v>
      </x:c>
      <x:c r="R140" t="str">
        <x:f>IF(OR(F140&lt;=0,G140&lt;0,G140&gt;F140,N140&lt;0,P140="Non trouvé"),"À vérifier","OK")</x:f>
        <x:v>OK</x:v>
      </x:c>
    </x:row>
    <x:row r="141">
      <x:c r="A141" t="str">
        <x:v>DV-2025-00140</x:v>
      </x:c>
      <x:c r="B141" s="16" t="n">
        <x:v>45727</x:v>
      </x:c>
      <x:c r="C141" t="str">
        <x:v>Client 16</x:v>
      </x:c>
      <x:c r="D141" t="str">
        <x:v>Fret maritime</x:v>
      </x:c>
      <x:c r="E141" t="str">
        <x:v>Pôle B</x:v>
      </x:c>
      <x:c r="F141" s="18" t="n">
        <x:v>2534.35</x:v>
      </x:c>
      <x:c r="G141" s="18" t="n">
        <x:v>1150.73</x:v>
      </x:c>
      <x:c r="H141" t="str">
        <x:v>Client 16</x:v>
      </x:c>
      <x:c r="I141" s="16" t="n">
        <x:v>45768</x:v>
      </x:c>
      <x:c r="J141" t="n">
        <x:f>YEAR(B141)</x:f>
        <x:v>2025</x:v>
      </x:c>
      <x:c r="K141" s="20" t="n">
        <x:f>DATE(YEAR(B141),MONTH(B141),1)</x:f>
        <x:v>45717</x:v>
      </x:c>
      <x:c r="L141" s="18" t="n">
        <x:f>F141-G141</x:f>
        <x:v>1383.62</x:v>
      </x:c>
      <x:c r="M141" t="str">
        <x:f>IF(L141&lt;=0,"Payée",IF(G141=0,"Impayée","Partielle"))</x:f>
        <x:v>Partielle</x:v>
      </x:c>
      <x:c r="N141" t="n">
        <x:f>IF(I141="","",I141-B141)</x:f>
        <x:v>41</x:v>
      </x:c>
      <x:c r="O141" t="str">
        <x:f>IF(TRIM(C141)&lt;&gt;TRIM(H141),"Oui","Non")</x:f>
        <x:v>Non</x:v>
      </x:c>
      <x:c r="P141" t="str">
        <x:f>IFERROR(INDEX('02_REFERENTIEL_CLIENTS'!$B$2:$B$51,MATCH(TRIM(C141),'02_REFERENTIEL_CLIENTS'!$A$2:$A$51,0)),"Non trouvé")</x:f>
        <x:v>Grands comptes</x:v>
      </x:c>
      <x:c r="Q141" t="str">
        <x:f>IFERROR(INDEX('02_REFERENTIEL_CLIENTS'!$C$2:$C$51,MATCH(TRIM(C141),'02_REFERENTIEL_CLIENTS'!$A$2:$A$51,0)),"Non trouvé")</x:f>
        <x:v>France</x:v>
      </x:c>
      <x:c r="R141" t="str">
        <x:f>IF(OR(F141&lt;=0,G141&lt;0,G141&gt;F141,N141&lt;0,P141="Non trouvé"),"À vérifier","OK")</x:f>
        <x:v>OK</x:v>
      </x:c>
    </x:row>
    <x:row r="142">
      <x:c r="A142" t="str">
        <x:v>DV-2026-00141</x:v>
      </x:c>
      <x:c r="B142" s="16" t="n">
        <x:v>46183</x:v>
      </x:c>
      <x:c r="C142" t="str">
        <x:v>Client 18</x:v>
      </x:c>
      <x:c r="D142" t="str">
        <x:v>Express</x:v>
      </x:c>
      <x:c r="E142" t="str">
        <x:v>Pôle D</x:v>
      </x:c>
      <x:c r="F142" s="18" t="n">
        <x:v>16320</x:v>
      </x:c>
      <x:c r="G142" s="18" t="n">
        <x:v>16320</x:v>
      </x:c>
      <x:c r="H142" t="str">
        <x:v>Client 18</x:v>
      </x:c>
      <x:c r="I142" s="16" t="n">
        <x:v>46241</x:v>
      </x:c>
      <x:c r="J142" t="n">
        <x:f>YEAR(B142)</x:f>
        <x:v>2026</x:v>
      </x:c>
      <x:c r="K142" s="20" t="n">
        <x:f>DATE(YEAR(B142),MONTH(B142),1)</x:f>
        <x:v>46174</x:v>
      </x:c>
      <x:c r="L142" s="18" t="n">
        <x:f>F142-G142</x:f>
        <x:v>0</x:v>
      </x:c>
      <x:c r="M142" t="str">
        <x:f>IF(L142&lt;=0,"Payée",IF(G142=0,"Impayée","Partielle"))</x:f>
        <x:v>Payée</x:v>
      </x:c>
      <x:c r="N142" t="n">
        <x:f>IF(I142="","",I142-B142)</x:f>
        <x:v>58</x:v>
      </x:c>
      <x:c r="O142" t="str">
        <x:f>IF(TRIM(C142)&lt;&gt;TRIM(H142),"Oui","Non")</x:f>
        <x:v>Non</x:v>
      </x:c>
      <x:c r="P142" t="str">
        <x:f>IFERROR(INDEX('02_REFERENTIEL_CLIENTS'!$B$2:$B$51,MATCH(TRIM(C142),'02_REFERENTIEL_CLIENTS'!$A$2:$A$51,0)),"Non trouvé")</x:f>
        <x:v>Particuliers</x:v>
      </x:c>
      <x:c r="Q142" t="str">
        <x:f>IFERROR(INDEX('02_REFERENTIEL_CLIENTS'!$C$2:$C$51,MATCH(TRIM(C142),'02_REFERENTIEL_CLIENTS'!$A$2:$A$51,0)),"Non trouvé")</x:f>
        <x:v>International</x:v>
      </x:c>
      <x:c r="R142" t="str">
        <x:f>IF(OR(F142&lt;=0,G142&lt;0,G142&gt;F142,N142&lt;0,P142="Non trouvé"),"À vérifier","OK")</x:f>
        <x:v>OK</x:v>
      </x:c>
    </x:row>
    <x:row r="143">
      <x:c r="A143" t="str">
        <x:v>DV-2024-00142</x:v>
      </x:c>
      <x:c r="B143" s="16" t="n">
        <x:v>45499</x:v>
      </x:c>
      <x:c r="C143" t="str">
        <x:v>Client 20</x:v>
      </x:c>
      <x:c r="D143" t="str">
        <x:v>Logistique</x:v>
      </x:c>
      <x:c r="E143" t="str">
        <x:v>Pôle A</x:v>
      </x:c>
      <x:c r="F143" s="18" t="n">
        <x:v>10309.7</x:v>
      </x:c>
      <x:c r="G143" s="18" t="n">
        <x:v>3166.07</x:v>
      </x:c>
      <x:c r="H143" t="str">
        <x:v>Client 20</x:v>
      </x:c>
      <x:c r="I143" s="16" t="n">
        <x:v>45546</x:v>
      </x:c>
      <x:c r="J143" t="n">
        <x:f>YEAR(B143)</x:f>
        <x:v>2024</x:v>
      </x:c>
      <x:c r="K143" s="20" t="n">
        <x:f>DATE(YEAR(B143),MONTH(B143),1)</x:f>
        <x:v>45474</x:v>
      </x:c>
      <x:c r="L143" s="18" t="n">
        <x:f>F143-G143</x:f>
        <x:v>7143.630000000001</x:v>
      </x:c>
      <x:c r="M143" t="str">
        <x:f>IF(L143&lt;=0,"Payée",IF(G143=0,"Impayée","Partielle"))</x:f>
        <x:v>Partielle</x:v>
      </x:c>
      <x:c r="N143" t="n">
        <x:f>IF(I143="","",I143-B143)</x:f>
        <x:v>47</x:v>
      </x:c>
      <x:c r="O143" t="str">
        <x:f>IF(TRIM(C143)&lt;&gt;TRIM(H143),"Oui","Non")</x:f>
        <x:v>Non</x:v>
      </x:c>
      <x:c r="P143" t="str">
        <x:f>IFERROR(INDEX('02_REFERENTIEL_CLIENTS'!$B$2:$B$51,MATCH(TRIM(C143),'02_REFERENTIEL_CLIENTS'!$A$2:$A$51,0)),"Non trouvé")</x:f>
        <x:v>PME</x:v>
      </x:c>
      <x:c r="Q143" t="str">
        <x:f>IFERROR(INDEX('02_REFERENTIEL_CLIENTS'!$C$2:$C$51,MATCH(TRIM(C143),'02_REFERENTIEL_CLIENTS'!$A$2:$A$51,0)),"Non trouvé")</x:f>
        <x:v>Europe</x:v>
      </x:c>
      <x:c r="R143" t="str">
        <x:f>IF(OR(F143&lt;=0,G143&lt;0,G143&gt;F143,N143&lt;0,P143="Non trouvé"),"À vérifier","OK")</x:f>
        <x:v>OK</x:v>
      </x:c>
    </x:row>
    <x:row r="144">
      <x:c r="A144" t="str">
        <x:v>DV-2026-00143</x:v>
      </x:c>
      <x:c r="B144" s="16" t="n">
        <x:v>46235</x:v>
      </x:c>
      <x:c r="C144" t="str">
        <x:v>Client 18</x:v>
      </x:c>
      <x:c r="D144" t="str">
        <x:v>Fret maritime</x:v>
      </x:c>
      <x:c r="E144" t="str">
        <x:v>Pôle B</x:v>
      </x:c>
      <x:c r="F144" s="18" t="n">
        <x:v>20047.68</x:v>
      </x:c>
      <x:c r="G144" s="18" t="n">
        <x:v>20047.68</x:v>
      </x:c>
      <x:c r="H144" t="str">
        <x:v>Client 18</x:v>
      </x:c>
      <x:c r="I144" s="16" t="n">
        <x:v>46266</x:v>
      </x:c>
      <x:c r="J144" t="n">
        <x:f>YEAR(B144)</x:f>
        <x:v>2026</x:v>
      </x:c>
      <x:c r="K144" s="20" t="n">
        <x:f>DATE(YEAR(B144),MONTH(B144),1)</x:f>
        <x:v>46235</x:v>
      </x:c>
      <x:c r="L144" s="18" t="n">
        <x:f>F144-G144</x:f>
        <x:v>0</x:v>
      </x:c>
      <x:c r="M144" t="str">
        <x:f>IF(L144&lt;=0,"Payée",IF(G144=0,"Impayée","Partielle"))</x:f>
        <x:v>Payée</x:v>
      </x:c>
      <x:c r="N144" t="n">
        <x:f>IF(I144="","",I144-B144)</x:f>
        <x:v>31</x:v>
      </x:c>
      <x:c r="O144" t="str">
        <x:f>IF(TRIM(C144)&lt;&gt;TRIM(H144),"Oui","Non")</x:f>
        <x:v>Non</x:v>
      </x:c>
      <x:c r="P144" t="str">
        <x:f>IFERROR(INDEX('02_REFERENTIEL_CLIENTS'!$B$2:$B$51,MATCH(TRIM(C144),'02_REFERENTIEL_CLIENTS'!$A$2:$A$51,0)),"Non trouvé")</x:f>
        <x:v>Particuliers</x:v>
      </x:c>
      <x:c r="Q144" t="str">
        <x:f>IFERROR(INDEX('02_REFERENTIEL_CLIENTS'!$C$2:$C$51,MATCH(TRIM(C144),'02_REFERENTIEL_CLIENTS'!$A$2:$A$51,0)),"Non trouvé")</x:f>
        <x:v>International</x:v>
      </x:c>
      <x:c r="R144" t="str">
        <x:f>IF(OR(F144&lt;=0,G144&lt;0,G144&gt;F144,N144&lt;0,P144="Non trouvé"),"À vérifier","OK")</x:f>
        <x:v>OK</x:v>
      </x:c>
    </x:row>
    <x:row r="145">
      <x:c r="A145" t="str">
        <x:v>DV-2024-00144</x:v>
      </x:c>
      <x:c r="B145" s="16" t="n">
        <x:v>45553</x:v>
      </x:c>
      <x:c r="C145" t="str">
        <x:v>Client 29</x:v>
      </x:c>
      <x:c r="D145" t="str">
        <x:v>Fret aérien</x:v>
      </x:c>
      <x:c r="E145" t="str">
        <x:v>Pôle A</x:v>
      </x:c>
      <x:c r="F145" s="18" t="n">
        <x:v>15502.55</x:v>
      </x:c>
      <x:c r="G145" s="18" t="n">
        <x:v>15502.55</x:v>
      </x:c>
      <x:c r="H145" t="str">
        <x:v>Client 31</x:v>
      </x:c>
      <x:c r="I145" s="16" t="n">
        <x:v>45560</x:v>
      </x:c>
      <x:c r="J145" t="n">
        <x:f>YEAR(B145)</x:f>
        <x:v>2024</x:v>
      </x:c>
      <x:c r="K145" s="20" t="n">
        <x:f>DATE(YEAR(B145),MONTH(B145),1)</x:f>
        <x:v>45536</x:v>
      </x:c>
      <x:c r="L145" s="18" t="n">
        <x:f>F145-G145</x:f>
        <x:v>0</x:v>
      </x:c>
      <x:c r="M145" t="str">
        <x:f>IF(L145&lt;=0,"Payée",IF(G145=0,"Impayée","Partielle"))</x:f>
        <x:v>Payée</x:v>
      </x:c>
      <x:c r="N145" t="n">
        <x:f>IF(I145="","",I145-B145)</x:f>
        <x:v>7</x:v>
      </x:c>
      <x:c r="O145" t="str">
        <x:f>IF(TRIM(C145)&lt;&gt;TRIM(H145),"Oui","Non")</x:f>
        <x:v>Oui</x:v>
      </x:c>
      <x:c r="P145" t="str">
        <x:f>IFERROR(INDEX('02_REFERENTIEL_CLIENTS'!$B$2:$B$51,MATCH(TRIM(C145),'02_REFERENTIEL_CLIENTS'!$A$2:$A$51,0)),"Non trouvé")</x:f>
        <x:v>PME</x:v>
      </x:c>
      <x:c r="Q145" t="str">
        <x:f>IFERROR(INDEX('02_REFERENTIEL_CLIENTS'!$C$2:$C$51,MATCH(TRIM(C145),'02_REFERENTIEL_CLIENTS'!$A$2:$A$51,0)),"Non trouvé")</x:f>
        <x:v>Europe</x:v>
      </x:c>
      <x:c r="R145" t="str">
        <x:f>IF(OR(F145&lt;=0,G145&lt;0,G145&gt;F145,N145&lt;0,P145="Non trouvé"),"À vérifier","OK")</x:f>
        <x:v>OK</x:v>
      </x:c>
    </x:row>
    <x:row r="146">
      <x:c r="A146" t="str">
        <x:v>DV-2024-00145</x:v>
      </x:c>
      <x:c r="B146" s="16" t="n">
        <x:v>45465</x:v>
      </x:c>
      <x:c r="C146" t="str">
        <x:v>Client 38</x:v>
      </x:c>
      <x:c r="D146" t="str">
        <x:v>Express</x:v>
      </x:c>
      <x:c r="E146" t="str">
        <x:v>Pôle E</x:v>
      </x:c>
      <x:c r="F146" s="18" t="n">
        <x:v>1931.15</x:v>
      </x:c>
      <x:c r="G146" s="18" t="n">
        <x:v>963.64</x:v>
      </x:c>
      <x:c r="H146" t="str">
        <x:v>Client 38</x:v>
      </x:c>
      <x:c r="I146" s="16" t="n">
        <x:v>45490</x:v>
      </x:c>
      <x:c r="J146" t="n">
        <x:f>YEAR(B146)</x:f>
        <x:v>2024</x:v>
      </x:c>
      <x:c r="K146" s="20" t="n">
        <x:f>DATE(YEAR(B146),MONTH(B146),1)</x:f>
        <x:v>45444</x:v>
      </x:c>
      <x:c r="L146" s="18" t="n">
        <x:f>F146-G146</x:f>
        <x:v>967.5100000000001</x:v>
      </x:c>
      <x:c r="M146" t="str">
        <x:f>IF(L146&lt;=0,"Payée",IF(G146=0,"Impayée","Partielle"))</x:f>
        <x:v>Partielle</x:v>
      </x:c>
      <x:c r="N146" t="n">
        <x:f>IF(I146="","",I146-B146)</x:f>
        <x:v>25</x:v>
      </x:c>
      <x:c r="O146" t="str">
        <x:f>IF(TRIM(C146)&lt;&gt;TRIM(H146),"Oui","Non")</x:f>
        <x:v>Non</x:v>
      </x:c>
      <x:c r="P146" t="str">
        <x:f>IFERROR(INDEX('02_REFERENTIEL_CLIENTS'!$B$2:$B$51,MATCH(TRIM(C146),'02_REFERENTIEL_CLIENTS'!$A$2:$A$51,0)),"Non trouvé")</x:f>
        <x:v>PME</x:v>
      </x:c>
      <x:c r="Q146" t="str">
        <x:f>IFERROR(INDEX('02_REFERENTIEL_CLIENTS'!$C$2:$C$51,MATCH(TRIM(C146),'02_REFERENTIEL_CLIENTS'!$A$2:$A$51,0)),"Non trouvé")</x:f>
        <x:v>Europe</x:v>
      </x:c>
      <x:c r="R146" t="str">
        <x:f>IF(OR(F146&lt;=0,G146&lt;0,G146&gt;F146,N146&lt;0,P146="Non trouvé"),"À vérifier","OK")</x:f>
        <x:v>OK</x:v>
      </x:c>
    </x:row>
    <x:row r="147">
      <x:c r="A147" t="str">
        <x:v>DV-2026-00146</x:v>
      </x:c>
      <x:c r="B147" s="16" t="n">
        <x:v>46252</x:v>
      </x:c>
      <x:c r="C147" t="str">
        <x:v>Client 50</x:v>
      </x:c>
      <x:c r="D147" t="str">
        <x:v>Fret aérien</x:v>
      </x:c>
      <x:c r="E147" t="str">
        <x:v>Pôle B</x:v>
      </x:c>
      <x:c r="F147" s="18" t="n">
        <x:v>6551.63</x:v>
      </x:c>
      <x:c r="G147" s="18" t="n">
        <x:v>6551.63</x:v>
      </x:c>
      <x:c r="H147" t="str">
        <x:v>Client 50</x:v>
      </x:c>
      <x:c r="I147" s="16" t="n">
        <x:v>46312</x:v>
      </x:c>
      <x:c r="J147" t="n">
        <x:f>YEAR(B147)</x:f>
        <x:v>2026</x:v>
      </x:c>
      <x:c r="K147" s="20" t="n">
        <x:f>DATE(YEAR(B147),MONTH(B147),1)</x:f>
        <x:v>46235</x:v>
      </x:c>
      <x:c r="L147" s="18" t="n">
        <x:f>F147-G147</x:f>
        <x:v>0</x:v>
      </x:c>
      <x:c r="M147" t="str">
        <x:f>IF(L147&lt;=0,"Payée",IF(G147=0,"Impayée","Partielle"))</x:f>
        <x:v>Payée</x:v>
      </x:c>
      <x:c r="N147" t="n">
        <x:f>IF(I147="","",I147-B147)</x:f>
        <x:v>60</x:v>
      </x:c>
      <x:c r="O147" t="str">
        <x:f>IF(TRIM(C147)&lt;&gt;TRIM(H147),"Oui","Non")</x:f>
        <x:v>Non</x:v>
      </x:c>
      <x:c r="P147" t="str">
        <x:f>IFERROR(INDEX('02_REFERENTIEL_CLIENTS'!$B$2:$B$51,MATCH(TRIM(C147),'02_REFERENTIEL_CLIENTS'!$A$2:$A$51,0)),"Non trouvé")</x:f>
        <x:v>PME</x:v>
      </x:c>
      <x:c r="Q147" t="str">
        <x:f>IFERROR(INDEX('02_REFERENTIEL_CLIENTS'!$C$2:$C$51,MATCH(TRIM(C147),'02_REFERENTIEL_CLIENTS'!$A$2:$A$51,0)),"Non trouvé")</x:f>
        <x:v>Europe</x:v>
      </x:c>
      <x:c r="R147" t="str">
        <x:f>IF(OR(F147&lt;=0,G147&lt;0,G147&gt;F147,N147&lt;0,P147="Non trouvé"),"À vérifier","OK")</x:f>
        <x:v>OK</x:v>
      </x:c>
    </x:row>
    <x:row r="148">
      <x:c r="A148" t="str">
        <x:v>DV-2025-00147</x:v>
      </x:c>
      <x:c r="B148" s="16" t="n">
        <x:v>45933</x:v>
      </x:c>
      <x:c r="C148" t="str">
        <x:v>Client 10</x:v>
      </x:c>
      <x:c r="D148" t="str">
        <x:v>Fret maritime</x:v>
      </x:c>
      <x:c r="E148" t="str">
        <x:v>Pôle A</x:v>
      </x:c>
      <x:c r="F148" s="18" t="n">
        <x:v>11843.83</x:v>
      </x:c>
      <x:c r="G148" s="18" t="n">
        <x:v>11843.83</x:v>
      </x:c>
      <x:c r="H148" t="str">
        <x:v>Client 10</x:v>
      </x:c>
      <x:c r="I148" s="16" t="n">
        <x:v>45952</x:v>
      </x:c>
      <x:c r="J148" t="n">
        <x:f>YEAR(B148)</x:f>
        <x:v>2025</x:v>
      </x:c>
      <x:c r="K148" s="20" t="n">
        <x:f>DATE(YEAR(B148),MONTH(B148),1)</x:f>
        <x:v>45931</x:v>
      </x:c>
      <x:c r="L148" s="18" t="n">
        <x:f>F148-G148</x:f>
        <x:v>0</x:v>
      </x:c>
      <x:c r="M148" t="str">
        <x:f>IF(L148&lt;=0,"Payée",IF(G148=0,"Impayée","Partielle"))</x:f>
        <x:v>Payée</x:v>
      </x:c>
      <x:c r="N148" t="n">
        <x:f>IF(I148="","",I148-B148)</x:f>
        <x:v>19</x:v>
      </x:c>
      <x:c r="O148" t="str">
        <x:f>IF(TRIM(C148)&lt;&gt;TRIM(H148),"Oui","Non")</x:f>
        <x:v>Non</x:v>
      </x:c>
      <x:c r="P148" t="str">
        <x:f>IFERROR(INDEX('02_REFERENTIEL_CLIENTS'!$B$2:$B$51,MATCH(TRIM(C148),'02_REFERENTIEL_CLIENTS'!$A$2:$A$51,0)),"Non trouvé")</x:f>
        <x:v>Grands comptes</x:v>
      </x:c>
      <x:c r="Q148" t="str">
        <x:f>IFERROR(INDEX('02_REFERENTIEL_CLIENTS'!$C$2:$C$51,MATCH(TRIM(C148),'02_REFERENTIEL_CLIENTS'!$A$2:$A$51,0)),"Non trouvé")</x:f>
        <x:v>France</x:v>
      </x:c>
      <x:c r="R148" t="str">
        <x:f>IF(OR(F148&lt;=0,G148&lt;0,G148&gt;F148,N148&lt;0,P148="Non trouvé"),"À vérifier","OK")</x:f>
        <x:v>OK</x:v>
      </x:c>
    </x:row>
    <x:row r="149">
      <x:c r="A149" t="str">
        <x:v>DV-2026-00148</x:v>
      </x:c>
      <x:c r="B149" s="16" t="n">
        <x:v>46106</x:v>
      </x:c>
      <x:c r="C149" t="str">
        <x:v>Client 43</x:v>
      </x:c>
      <x:c r="D149" t="str">
        <x:v>Fret maritime</x:v>
      </x:c>
      <x:c r="E149" t="str">
        <x:v>Pôle E</x:v>
      </x:c>
      <x:c r="F149" s="18" t="n">
        <x:v>5777.38</x:v>
      </x:c>
      <x:c r="G149" s="18" t="n">
        <x:v>5777.38</x:v>
      </x:c>
      <x:c r="H149" t="str">
        <x:v>Client 43</x:v>
      </x:c>
      <x:c r="I149" s="16" t="n">
        <x:v>46200</x:v>
      </x:c>
      <x:c r="J149" t="n">
        <x:f>YEAR(B149)</x:f>
        <x:v>2026</x:v>
      </x:c>
      <x:c r="K149" s="20" t="n">
        <x:f>DATE(YEAR(B149),MONTH(B149),1)</x:f>
        <x:v>46082</x:v>
      </x:c>
      <x:c r="L149" s="18" t="n">
        <x:f>F149-G149</x:f>
        <x:v>0</x:v>
      </x:c>
      <x:c r="M149" t="str">
        <x:f>IF(L149&lt;=0,"Payée",IF(G149=0,"Impayée","Partielle"))</x:f>
        <x:v>Payée</x:v>
      </x:c>
      <x:c r="N149" t="n">
        <x:f>IF(I149="","",I149-B149)</x:f>
        <x:v>94</x:v>
      </x:c>
      <x:c r="O149" t="str">
        <x:f>IF(TRIM(C149)&lt;&gt;TRIM(H149),"Oui","Non")</x:f>
        <x:v>Non</x:v>
      </x:c>
      <x:c r="P149" t="str">
        <x:f>IFERROR(INDEX('02_REFERENTIEL_CLIENTS'!$B$2:$B$51,MATCH(TRIM(C149),'02_REFERENTIEL_CLIENTS'!$A$2:$A$51,0)),"Non trouvé")</x:f>
        <x:v>Grands comptes</x:v>
      </x:c>
      <x:c r="Q149" t="str">
        <x:f>IFERROR(INDEX('02_REFERENTIEL_CLIENTS'!$C$2:$C$51,MATCH(TRIM(C149),'02_REFERENTIEL_CLIENTS'!$A$2:$A$51,0)),"Non trouvé")</x:f>
        <x:v>France</x:v>
      </x:c>
      <x:c r="R149" t="str">
        <x:f>IF(OR(F149&lt;=0,G149&lt;0,G149&gt;F149,N149&lt;0,P149="Non trouvé"),"À vérifier","OK")</x:f>
        <x:v>OK</x:v>
      </x:c>
    </x:row>
    <x:row r="150">
      <x:c r="A150" t="str">
        <x:v>DV-2025-00149</x:v>
      </x:c>
      <x:c r="B150" s="16" t="n">
        <x:v>45981</x:v>
      </x:c>
      <x:c r="C150" t="str">
        <x:v>Client 12</x:v>
      </x:c>
      <x:c r="D150" t="str">
        <x:v>Express</x:v>
      </x:c>
      <x:c r="E150" t="str">
        <x:v>Pôle A</x:v>
      </x:c>
      <x:c r="F150" s="18" t="n">
        <x:v>17237.14</x:v>
      </x:c>
      <x:c r="G150" s="18" t="n">
        <x:v>17237.14</x:v>
      </x:c>
      <x:c r="H150" t="str">
        <x:v>Client 12</x:v>
      </x:c>
      <x:c r="I150" s="16" t="n">
        <x:v>46053</x:v>
      </x:c>
      <x:c r="J150" t="n">
        <x:f>YEAR(B150)</x:f>
        <x:v>2025</x:v>
      </x:c>
      <x:c r="K150" s="20" t="n">
        <x:f>DATE(YEAR(B150),MONTH(B150),1)</x:f>
        <x:v>45962</x:v>
      </x:c>
      <x:c r="L150" s="18" t="n">
        <x:f>F150-G150</x:f>
        <x:v>0</x:v>
      </x:c>
      <x:c r="M150" t="str">
        <x:f>IF(L150&lt;=0,"Payée",IF(G150=0,"Impayée","Partielle"))</x:f>
        <x:v>Payée</x:v>
      </x:c>
      <x:c r="N150" t="n">
        <x:f>IF(I150="","",I150-B150)</x:f>
        <x:v>72</x:v>
      </x:c>
      <x:c r="O150" t="str">
        <x:f>IF(TRIM(C150)&lt;&gt;TRIM(H150),"Oui","Non")</x:f>
        <x:v>Non</x:v>
      </x:c>
      <x:c r="P150" t="str">
        <x:f>IFERROR(INDEX('02_REFERENTIEL_CLIENTS'!$B$2:$B$51,MATCH(TRIM(C150),'02_REFERENTIEL_CLIENTS'!$A$2:$A$51,0)),"Non trouvé")</x:f>
        <x:v>Particuliers</x:v>
      </x:c>
      <x:c r="Q150" t="str">
        <x:f>IFERROR(INDEX('02_REFERENTIEL_CLIENTS'!$C$2:$C$51,MATCH(TRIM(C150),'02_REFERENTIEL_CLIENTS'!$A$2:$A$51,0)),"Non trouvé")</x:f>
        <x:v>International</x:v>
      </x:c>
      <x:c r="R150" t="str">
        <x:f>IF(OR(F150&lt;=0,G150&lt;0,G150&gt;F150,N150&lt;0,P150="Non trouvé"),"À vérifier","OK")</x:f>
        <x:v>OK</x:v>
      </x:c>
    </x:row>
    <x:row r="151">
      <x:c r="A151" t="str">
        <x:v>DV-2025-00150</x:v>
      </x:c>
      <x:c r="B151" s="16" t="n">
        <x:v>45737</x:v>
      </x:c>
      <x:c r="C151" t="str">
        <x:v>Client 03</x:v>
      </x:c>
      <x:c r="D151" t="str">
        <x:v>Express</x:v>
      </x:c>
      <x:c r="E151" t="str">
        <x:v>Pôle C</x:v>
      </x:c>
      <x:c r="F151" s="18" t="n">
        <x:v>10327.28</x:v>
      </x:c>
      <x:c r="G151" s="18" t="n">
        <x:v>5713.3</x:v>
      </x:c>
      <x:c r="H151" t="str">
        <x:v>Client 03</x:v>
      </x:c>
      <x:c r="I151" s="16" t="n">
        <x:v>45748</x:v>
      </x:c>
      <x:c r="J151" t="n">
        <x:f>YEAR(B151)</x:f>
        <x:v>2025</x:v>
      </x:c>
      <x:c r="K151" s="20" t="n">
        <x:f>DATE(YEAR(B151),MONTH(B151),1)</x:f>
        <x:v>45717</x:v>
      </x:c>
      <x:c r="L151" s="18" t="n">
        <x:f>F151-G151</x:f>
        <x:v>4613.9800000000005</x:v>
      </x:c>
      <x:c r="M151" t="str">
        <x:f>IF(L151&lt;=0,"Payée",IF(G151=0,"Impayée","Partielle"))</x:f>
        <x:v>Partielle</x:v>
      </x:c>
      <x:c r="N151" t="n">
        <x:f>IF(I151="","",I151-B151)</x:f>
        <x:v>11</x:v>
      </x:c>
      <x:c r="O151" t="str">
        <x:f>IF(TRIM(C151)&lt;&gt;TRIM(H151),"Oui","Non")</x:f>
        <x:v>Non</x:v>
      </x:c>
      <x:c r="P151" t="str">
        <x:f>IFERROR(INDEX('02_REFERENTIEL_CLIENTS'!$B$2:$B$51,MATCH(TRIM(C151),'02_REFERENTIEL_CLIENTS'!$A$2:$A$51,0)),"Non trouvé")</x:f>
        <x:v>Particuliers</x:v>
      </x:c>
      <x:c r="Q151" t="str">
        <x:f>IFERROR(INDEX('02_REFERENTIEL_CLIENTS'!$C$2:$C$51,MATCH(TRIM(C151),'02_REFERENTIEL_CLIENTS'!$A$2:$A$51,0)),"Non trouvé")</x:f>
        <x:v>International</x:v>
      </x:c>
      <x:c r="R151" t="str">
        <x:f>IF(OR(F151&lt;=0,G151&lt;0,G151&gt;F151,N151&lt;0,P151="Non trouvé"),"À vérifier","OK")</x:f>
        <x:v>OK</x:v>
      </x:c>
    </x:row>
    <x:row r="152">
      <x:c r="A152" t="str">
        <x:v>DV-2026-00151</x:v>
      </x:c>
      <x:c r="B152" s="16" t="n">
        <x:v>46256</x:v>
      </x:c>
      <x:c r="C152" t="str">
        <x:v>Client 29</x:v>
      </x:c>
      <x:c r="D152" t="str">
        <x:v>Douane</x:v>
      </x:c>
      <x:c r="E152" t="str">
        <x:v>Pôle D</x:v>
      </x:c>
      <x:c r="F152" s="18" t="n">
        <x:v>1491.56</x:v>
      </x:c>
      <x:c r="G152" s="18" t="n">
        <x:v>1491.56</x:v>
      </x:c>
      <x:c r="H152" t="str">
        <x:v>Client 29</x:v>
      </x:c>
      <x:c r="I152" s="16" t="n">
        <x:v>46259</x:v>
      </x:c>
      <x:c r="J152" t="n">
        <x:f>YEAR(B152)</x:f>
        <x:v>2026</x:v>
      </x:c>
      <x:c r="K152" s="20" t="n">
        <x:f>DATE(YEAR(B152),MONTH(B152),1)</x:f>
        <x:v>46235</x:v>
      </x:c>
      <x:c r="L152" s="18" t="n">
        <x:f>F152-G152</x:f>
        <x:v>0</x:v>
      </x:c>
      <x:c r="M152" t="str">
        <x:f>IF(L152&lt;=0,"Payée",IF(G152=0,"Impayée","Partielle"))</x:f>
        <x:v>Payée</x:v>
      </x:c>
      <x:c r="N152" t="n">
        <x:f>IF(I152="","",I152-B152)</x:f>
        <x:v>3</x:v>
      </x:c>
      <x:c r="O152" t="str">
        <x:f>IF(TRIM(C152)&lt;&gt;TRIM(H152),"Oui","Non")</x:f>
        <x:v>Non</x:v>
      </x:c>
      <x:c r="P152" t="str">
        <x:f>IFERROR(INDEX('02_REFERENTIEL_CLIENTS'!$B$2:$B$51,MATCH(TRIM(C152),'02_REFERENTIEL_CLIENTS'!$A$2:$A$51,0)),"Non trouvé")</x:f>
        <x:v>PME</x:v>
      </x:c>
      <x:c r="Q152" t="str">
        <x:f>IFERROR(INDEX('02_REFERENTIEL_CLIENTS'!$C$2:$C$51,MATCH(TRIM(C152),'02_REFERENTIEL_CLIENTS'!$A$2:$A$51,0)),"Non trouvé")</x:f>
        <x:v>Europe</x:v>
      </x:c>
      <x:c r="R152" t="str">
        <x:f>IF(OR(F152&lt;=0,G152&lt;0,G152&gt;F152,N152&lt;0,P152="Non trouvé"),"À vérifier","OK")</x:f>
        <x:v>OK</x:v>
      </x:c>
    </x:row>
    <x:row r="153">
      <x:c r="A153" t="str">
        <x:v>DV-2025-00152</x:v>
      </x:c>
      <x:c r="B153" s="16" t="n">
        <x:v>45870</x:v>
      </x:c>
      <x:c r="C153" t="str">
        <x:v>Client 48</x:v>
      </x:c>
      <x:c r="D153" t="str">
        <x:v>Fret aérien</x:v>
      </x:c>
      <x:c r="E153" t="str">
        <x:v>Pôle A</x:v>
      </x:c>
      <x:c r="F153" s="18" t="n">
        <x:v>16416.17</x:v>
      </x:c>
      <x:c r="G153" s="18" t="n">
        <x:v>16416.17</x:v>
      </x:c>
      <x:c r="H153" t="str">
        <x:v>Client 48</x:v>
      </x:c>
      <x:c r="I153" s="16" t="n">
        <x:v>45960</x:v>
      </x:c>
      <x:c r="J153" t="n">
        <x:f>YEAR(B153)</x:f>
        <x:v>2025</x:v>
      </x:c>
      <x:c r="K153" s="20" t="n">
        <x:f>DATE(YEAR(B153),MONTH(B153),1)</x:f>
        <x:v>45870</x:v>
      </x:c>
      <x:c r="L153" s="18" t="n">
        <x:f>F153-G153</x:f>
        <x:v>0</x:v>
      </x:c>
      <x:c r="M153" t="str">
        <x:f>IF(L153&lt;=0,"Payée",IF(G153=0,"Impayée","Partielle"))</x:f>
        <x:v>Payée</x:v>
      </x:c>
      <x:c r="N153" t="n">
        <x:f>IF(I153="","",I153-B153)</x:f>
        <x:v>90</x:v>
      </x:c>
      <x:c r="O153" t="str">
        <x:f>IF(TRIM(C153)&lt;&gt;TRIM(H153),"Oui","Non")</x:f>
        <x:v>Non</x:v>
      </x:c>
      <x:c r="P153" t="str">
        <x:f>IFERROR(INDEX('02_REFERENTIEL_CLIENTS'!$B$2:$B$51,MATCH(TRIM(C153),'02_REFERENTIEL_CLIENTS'!$A$2:$A$51,0)),"Non trouvé")</x:f>
        <x:v>Particuliers</x:v>
      </x:c>
      <x:c r="Q153" t="str">
        <x:f>IFERROR(INDEX('02_REFERENTIEL_CLIENTS'!$C$2:$C$51,MATCH(TRIM(C153),'02_REFERENTIEL_CLIENTS'!$A$2:$A$51,0)),"Non trouvé")</x:f>
        <x:v>International</x:v>
      </x:c>
      <x:c r="R153" t="str">
        <x:f>IF(OR(F153&lt;=0,G153&lt;0,G153&gt;F153,N153&lt;0,P153="Non trouvé"),"À vérifier","OK")</x:f>
        <x:v>OK</x:v>
      </x:c>
    </x:row>
    <x:row r="154">
      <x:c r="A154" t="str">
        <x:v>DV-2024-00153</x:v>
      </x:c>
      <x:c r="B154" s="16" t="n">
        <x:v>45411</x:v>
      </x:c>
      <x:c r="C154" t="str">
        <x:v>Client 32</x:v>
      </x:c>
      <x:c r="D154" t="str">
        <x:v>Douane</x:v>
      </x:c>
      <x:c r="E154" t="str">
        <x:v>Pôle B</x:v>
      </x:c>
      <x:c r="F154" s="18" t="n">
        <x:v>5383.23</x:v>
      </x:c>
      <x:c r="G154" s="18" t="n">
        <x:v>5383.23</x:v>
      </x:c>
      <x:c r="H154" t="str">
        <x:v>Client 32</x:v>
      </x:c>
      <x:c r="I154" s="16" t="n">
        <x:v>45438</x:v>
      </x:c>
      <x:c r="J154" t="n">
        <x:f>YEAR(B154)</x:f>
        <x:v>2024</x:v>
      </x:c>
      <x:c r="K154" s="20" t="n">
        <x:f>DATE(YEAR(B154),MONTH(B154),1)</x:f>
        <x:v>45383</x:v>
      </x:c>
      <x:c r="L154" s="18" t="n">
        <x:f>F154-G154</x:f>
        <x:v>0</x:v>
      </x:c>
      <x:c r="M154" t="str">
        <x:f>IF(L154&lt;=0,"Payée",IF(G154=0,"Impayée","Partielle"))</x:f>
        <x:v>Payée</x:v>
      </x:c>
      <x:c r="N154" t="n">
        <x:f>IF(I154="","",I154-B154)</x:f>
        <x:v>27</x:v>
      </x:c>
      <x:c r="O154" t="str">
        <x:f>IF(TRIM(C154)&lt;&gt;TRIM(H154),"Oui","Non")</x:f>
        <x:v>Non</x:v>
      </x:c>
      <x:c r="P154" t="str">
        <x:f>IFERROR(INDEX('02_REFERENTIEL_CLIENTS'!$B$2:$B$51,MATCH(TRIM(C154),'02_REFERENTIEL_CLIENTS'!$A$2:$A$51,0)),"Non trouvé")</x:f>
        <x:v>PME</x:v>
      </x:c>
      <x:c r="Q154" t="str">
        <x:f>IFERROR(INDEX('02_REFERENTIEL_CLIENTS'!$C$2:$C$51,MATCH(TRIM(C154),'02_REFERENTIEL_CLIENTS'!$A$2:$A$51,0)),"Non trouvé")</x:f>
        <x:v>Europe</x:v>
      </x:c>
      <x:c r="R154" t="str">
        <x:f>IF(OR(F154&lt;=0,G154&lt;0,G154&gt;F154,N154&lt;0,P154="Non trouvé"),"À vérifier","OK")</x:f>
        <x:v>OK</x:v>
      </x:c>
    </x:row>
    <x:row r="155">
      <x:c r="A155" t="str">
        <x:v>DV-2024-00154</x:v>
      </x:c>
      <x:c r="B155" s="16" t="n">
        <x:v>45333</x:v>
      </x:c>
      <x:c r="C155" t="str">
        <x:v>Client 26</x:v>
      </x:c>
      <x:c r="D155" t="str">
        <x:v>Fret maritime</x:v>
      </x:c>
      <x:c r="E155" t="str">
        <x:v>Pôle C</x:v>
      </x:c>
      <x:c r="F155" s="18" t="n">
        <x:v>18275.6</x:v>
      </x:c>
      <x:c r="G155" s="18" t="n">
        <x:v>18275.6</x:v>
      </x:c>
      <x:c r="H155" t="str">
        <x:v>Client 26</x:v>
      </x:c>
      <x:c r="I155" s="16" t="n">
        <x:v>45354</x:v>
      </x:c>
      <x:c r="J155" t="n">
        <x:f>YEAR(B155)</x:f>
        <x:v>2024</x:v>
      </x:c>
      <x:c r="K155" s="20" t="n">
        <x:f>DATE(YEAR(B155),MONTH(B155),1)</x:f>
        <x:v>45323</x:v>
      </x:c>
      <x:c r="L155" s="18" t="n">
        <x:f>F155-G155</x:f>
        <x:v>0</x:v>
      </x:c>
      <x:c r="M155" t="str">
        <x:f>IF(L155&lt;=0,"Payée",IF(G155=0,"Impayée","Partielle"))</x:f>
        <x:v>Payée</x:v>
      </x:c>
      <x:c r="N155" t="n">
        <x:f>IF(I155="","",I155-B155)</x:f>
        <x:v>21</x:v>
      </x:c>
      <x:c r="O155" t="str">
        <x:f>IF(TRIM(C155)&lt;&gt;TRIM(H155),"Oui","Non")</x:f>
        <x:v>Non</x:v>
      </x:c>
      <x:c r="P155" t="str">
        <x:f>IFERROR(INDEX('02_REFERENTIEL_CLIENTS'!$B$2:$B$51,MATCH(TRIM(C155),'02_REFERENTIEL_CLIENTS'!$A$2:$A$51,0)),"Non trouvé")</x:f>
        <x:v>PME</x:v>
      </x:c>
      <x:c r="Q155" t="str">
        <x:f>IFERROR(INDEX('02_REFERENTIEL_CLIENTS'!$C$2:$C$51,MATCH(TRIM(C155),'02_REFERENTIEL_CLIENTS'!$A$2:$A$51,0)),"Non trouvé")</x:f>
        <x:v>Europe</x:v>
      </x:c>
      <x:c r="R155" t="str">
        <x:f>IF(OR(F155&lt;=0,G155&lt;0,G155&gt;F155,N155&lt;0,P155="Non trouvé"),"À vérifier","OK")</x:f>
        <x:v>OK</x:v>
      </x:c>
    </x:row>
    <x:row r="156">
      <x:c r="A156" t="str">
        <x:v>DV-2026-00155</x:v>
      </x:c>
      <x:c r="B156" s="16" t="n">
        <x:v>46263</x:v>
      </x:c>
      <x:c r="C156" t="str">
        <x:v>Client 32</x:v>
      </x:c>
      <x:c r="D156" t="str">
        <x:v>Express</x:v>
      </x:c>
      <x:c r="E156" t="str">
        <x:v>Pôle A</x:v>
      </x:c>
      <x:c r="F156" s="18" t="n">
        <x:v>13062.73</x:v>
      </x:c>
      <x:c r="G156" s="18" t="n">
        <x:v>0</x:v>
      </x:c>
      <x:c r="H156" t="str">
        <x:v>Client 32</x:v>
      </x:c>
      <x:c r="I156" s="16"/>
      <x:c r="J156" t="n">
        <x:f>YEAR(B156)</x:f>
        <x:v>2026</x:v>
      </x:c>
      <x:c r="K156" s="20" t="n">
        <x:f>DATE(YEAR(B156),MONTH(B156),1)</x:f>
        <x:v>46235</x:v>
      </x:c>
      <x:c r="L156" s="18" t="n">
        <x:f>F156-G156</x:f>
        <x:v>13062.73</x:v>
      </x:c>
      <x:c r="M156" t="str">
        <x:f>IF(L156&lt;=0,"Payée",IF(G156=0,"Impayée","Partielle"))</x:f>
        <x:v>Impayée</x:v>
      </x:c>
      <x:c r="N156" t="str">
        <x:f>IF(I156="","",I156-B156)</x:f>
      </x:c>
      <x:c r="O156" t="str">
        <x:f>IF(TRIM(C156)&lt;&gt;TRIM(H156),"Oui","Non")</x:f>
        <x:v>Non</x:v>
      </x:c>
      <x:c r="P156" t="str">
        <x:f>IFERROR(INDEX('02_REFERENTIEL_CLIENTS'!$B$2:$B$51,MATCH(TRIM(C156),'02_REFERENTIEL_CLIENTS'!$A$2:$A$51,0)),"Non trouvé")</x:f>
        <x:v>PME</x:v>
      </x:c>
      <x:c r="Q156" t="str">
        <x:f>IFERROR(INDEX('02_REFERENTIEL_CLIENTS'!$C$2:$C$51,MATCH(TRIM(C156),'02_REFERENTIEL_CLIENTS'!$A$2:$A$51,0)),"Non trouvé")</x:f>
        <x:v>Europe</x:v>
      </x:c>
      <x:c r="R156" t="str">
        <x:f>IF(OR(F156&lt;=0,G156&lt;0,G156&gt;F156,N156&lt;0,P156="Non trouvé"),"À vérifier","OK")</x:f>
        <x:v>OK</x:v>
      </x:c>
    </x:row>
    <x:row r="157">
      <x:c r="A157" t="str">
        <x:v>DV-2026-00156</x:v>
      </x:c>
      <x:c r="B157" s="16" t="n">
        <x:v>46241</x:v>
      </x:c>
      <x:c r="C157" t="str">
        <x:v>Client 23</x:v>
      </x:c>
      <x:c r="D157" t="str">
        <x:v>Express</x:v>
      </x:c>
      <x:c r="E157" t="str">
        <x:v>Pôle D</x:v>
      </x:c>
      <x:c r="F157" s="18" t="n">
        <x:v>23101.86</x:v>
      </x:c>
      <x:c r="G157" s="18" t="n">
        <x:v>23101.86</x:v>
      </x:c>
      <x:c r="H157" t="str">
        <x:v>Client 23</x:v>
      </x:c>
      <x:c r="I157" s="16" t="n">
        <x:v>46281</x:v>
      </x:c>
      <x:c r="J157" t="n">
        <x:f>YEAR(B157)</x:f>
        <x:v>2026</x:v>
      </x:c>
      <x:c r="K157" s="20" t="n">
        <x:f>DATE(YEAR(B157),MONTH(B157),1)</x:f>
        <x:v>46235</x:v>
      </x:c>
      <x:c r="L157" s="18" t="n">
        <x:f>F157-G157</x:f>
        <x:v>0</x:v>
      </x:c>
      <x:c r="M157" t="str">
        <x:f>IF(L157&lt;=0,"Payée",IF(G157=0,"Impayée","Partielle"))</x:f>
        <x:v>Payée</x:v>
      </x:c>
      <x:c r="N157" t="n">
        <x:f>IF(I157="","",I157-B157)</x:f>
        <x:v>40</x:v>
      </x:c>
      <x:c r="O157" t="str">
        <x:f>IF(TRIM(C157)&lt;&gt;TRIM(H157),"Oui","Non")</x:f>
        <x:v>Non</x:v>
      </x:c>
      <x:c r="P157" t="str">
        <x:f>IFERROR(INDEX('02_REFERENTIEL_CLIENTS'!$B$2:$B$51,MATCH(TRIM(C157),'02_REFERENTIEL_CLIENTS'!$A$2:$A$51,0)),"Non trouvé")</x:f>
        <x:v>PME</x:v>
      </x:c>
      <x:c r="Q157" t="str">
        <x:f>IFERROR(INDEX('02_REFERENTIEL_CLIENTS'!$C$2:$C$51,MATCH(TRIM(C157),'02_REFERENTIEL_CLIENTS'!$A$2:$A$51,0)),"Non trouvé")</x:f>
        <x:v>Europe</x:v>
      </x:c>
      <x:c r="R157" t="str">
        <x:f>IF(OR(F157&lt;=0,G157&lt;0,G157&gt;F157,N157&lt;0,P157="Non trouvé"),"À vérifier","OK")</x:f>
        <x:v>OK</x:v>
      </x:c>
    </x:row>
    <x:row r="158">
      <x:c r="A158" t="str">
        <x:v>DV-2024-00157</x:v>
      </x:c>
      <x:c r="B158" s="16" t="n">
        <x:v>45302</x:v>
      </x:c>
      <x:c r="C158" t="str">
        <x:v>Client 06</x:v>
      </x:c>
      <x:c r="D158" t="str">
        <x:v>Fret aérien</x:v>
      </x:c>
      <x:c r="E158" t="str">
        <x:v>Pôle E</x:v>
      </x:c>
      <x:c r="F158" s="18" t="n">
        <x:v>19480.39</x:v>
      </x:c>
      <x:c r="G158" s="18" t="n">
        <x:v>19480.39</x:v>
      </x:c>
      <x:c r="H158" t="str">
        <x:v>Client 38</x:v>
      </x:c>
      <x:c r="I158" s="16" t="n">
        <x:v>45306</x:v>
      </x:c>
      <x:c r="J158" t="n">
        <x:f>YEAR(B158)</x:f>
        <x:v>2024</x:v>
      </x:c>
      <x:c r="K158" s="20" t="n">
        <x:f>DATE(YEAR(B158),MONTH(B158),1)</x:f>
        <x:v>45292</x:v>
      </x:c>
      <x:c r="L158" s="18" t="n">
        <x:f>F158-G158</x:f>
        <x:v>0</x:v>
      </x:c>
      <x:c r="M158" t="str">
        <x:f>IF(L158&lt;=0,"Payée",IF(G158=0,"Impayée","Partielle"))</x:f>
        <x:v>Payée</x:v>
      </x:c>
      <x:c r="N158" t="n">
        <x:f>IF(I158="","",I158-B158)</x:f>
        <x:v>4</x:v>
      </x:c>
      <x:c r="O158" t="str">
        <x:f>IF(TRIM(C158)&lt;&gt;TRIM(H158),"Oui","Non")</x:f>
        <x:v>Oui</x:v>
      </x:c>
      <x:c r="P158" t="str">
        <x:f>IFERROR(INDEX('02_REFERENTIEL_CLIENTS'!$B$2:$B$51,MATCH(TRIM(C158),'02_REFERENTIEL_CLIENTS'!$A$2:$A$51,0)),"Non trouvé")</x:f>
        <x:v>Particuliers</x:v>
      </x:c>
      <x:c r="Q158" t="str">
        <x:f>IFERROR(INDEX('02_REFERENTIEL_CLIENTS'!$C$2:$C$51,MATCH(TRIM(C158),'02_REFERENTIEL_CLIENTS'!$A$2:$A$51,0)),"Non trouvé")</x:f>
        <x:v>International</x:v>
      </x:c>
      <x:c r="R158" t="str">
        <x:f>IF(OR(F158&lt;=0,G158&lt;0,G158&gt;F158,N158&lt;0,P158="Non trouvé"),"À vérifier","OK")</x:f>
        <x:v>OK</x:v>
      </x:c>
    </x:row>
    <x:row r="159">
      <x:c r="A159" t="str">
        <x:v>DV-2026-00158</x:v>
      </x:c>
      <x:c r="B159" s="16" t="n">
        <x:v>46054</x:v>
      </x:c>
      <x:c r="C159" t="str">
        <x:v>Client 04</x:v>
      </x:c>
      <x:c r="D159" t="str">
        <x:v>Fret maritime</x:v>
      </x:c>
      <x:c r="E159" t="str">
        <x:v>Pôle D</x:v>
      </x:c>
      <x:c r="F159" s="18" t="n">
        <x:v>581.36</x:v>
      </x:c>
      <x:c r="G159" s="18" t="n">
        <x:v>0</x:v>
      </x:c>
      <x:c r="H159" t="str">
        <x:v>Client 04</x:v>
      </x:c>
      <x:c r="I159" s="16"/>
      <x:c r="J159" t="n">
        <x:f>YEAR(B159)</x:f>
        <x:v>2026</x:v>
      </x:c>
      <x:c r="K159" s="20" t="n">
        <x:f>DATE(YEAR(B159),MONTH(B159),1)</x:f>
        <x:v>46054</x:v>
      </x:c>
      <x:c r="L159" s="18" t="n">
        <x:f>F159-G159</x:f>
        <x:v>581.36</x:v>
      </x:c>
      <x:c r="M159" t="str">
        <x:f>IF(L159&lt;=0,"Payée",IF(G159=0,"Impayée","Partielle"))</x:f>
        <x:v>Impayée</x:v>
      </x:c>
      <x:c r="N159" t="str">
        <x:f>IF(I159="","",I159-B159)</x:f>
      </x:c>
      <x:c r="O159" t="str">
        <x:f>IF(TRIM(C159)&lt;&gt;TRIM(H159),"Oui","Non")</x:f>
        <x:v>Non</x:v>
      </x:c>
      <x:c r="P159" t="str">
        <x:f>IFERROR(INDEX('02_REFERENTIEL_CLIENTS'!$B$2:$B$51,MATCH(TRIM(C159),'02_REFERENTIEL_CLIENTS'!$A$2:$A$51,0)),"Non trouvé")</x:f>
        <x:v>Grands comptes</x:v>
      </x:c>
      <x:c r="Q159" t="str">
        <x:f>IFERROR(INDEX('02_REFERENTIEL_CLIENTS'!$C$2:$C$51,MATCH(TRIM(C159),'02_REFERENTIEL_CLIENTS'!$A$2:$A$51,0)),"Non trouvé")</x:f>
        <x:v>France</x:v>
      </x:c>
      <x:c r="R159" t="str">
        <x:f>IF(OR(F159&lt;=0,G159&lt;0,G159&gt;F159,N159&lt;0,P159="Non trouvé"),"À vérifier","OK")</x:f>
        <x:v>OK</x:v>
      </x:c>
    </x:row>
    <x:row r="160">
      <x:c r="A160" t="str">
        <x:v>DV-2025-00159</x:v>
      </x:c>
      <x:c r="B160" s="16" t="n">
        <x:v>45766</x:v>
      </x:c>
      <x:c r="C160" t="str">
        <x:v>Client 17</x:v>
      </x:c>
      <x:c r="D160" t="str">
        <x:v>Fret aérien</x:v>
      </x:c>
      <x:c r="E160" t="str">
        <x:v>Pôle D</x:v>
      </x:c>
      <x:c r="F160" s="18" t="n">
        <x:v>23531.48</x:v>
      </x:c>
      <x:c r="G160" s="18" t="n">
        <x:v>23531.48</x:v>
      </x:c>
      <x:c r="H160" t="str">
        <x:v>Client 17</x:v>
      </x:c>
      <x:c r="I160" s="16" t="n">
        <x:v>45846</x:v>
      </x:c>
      <x:c r="J160" t="n">
        <x:f>YEAR(B160)</x:f>
        <x:v>2025</x:v>
      </x:c>
      <x:c r="K160" s="20" t="n">
        <x:f>DATE(YEAR(B160),MONTH(B160),1)</x:f>
        <x:v>45748</x:v>
      </x:c>
      <x:c r="L160" s="18" t="n">
        <x:f>F160-G160</x:f>
        <x:v>0</x:v>
      </x:c>
      <x:c r="M160" t="str">
        <x:f>IF(L160&lt;=0,"Payée",IF(G160=0,"Impayée","Partielle"))</x:f>
        <x:v>Payée</x:v>
      </x:c>
      <x:c r="N160" t="n">
        <x:f>IF(I160="","",I160-B160)</x:f>
        <x:v>80</x:v>
      </x:c>
      <x:c r="O160" t="str">
        <x:f>IF(TRIM(C160)&lt;&gt;TRIM(H160),"Oui","Non")</x:f>
        <x:v>Non</x:v>
      </x:c>
      <x:c r="P160" t="str">
        <x:f>IFERROR(INDEX('02_REFERENTIEL_CLIENTS'!$B$2:$B$51,MATCH(TRIM(C160),'02_REFERENTIEL_CLIENTS'!$A$2:$A$51,0)),"Non trouvé")</x:f>
        <x:v>PME</x:v>
      </x:c>
      <x:c r="Q160" t="str">
        <x:f>IFERROR(INDEX('02_REFERENTIEL_CLIENTS'!$C$2:$C$51,MATCH(TRIM(C160),'02_REFERENTIEL_CLIENTS'!$A$2:$A$51,0)),"Non trouvé")</x:f>
        <x:v>Europe</x:v>
      </x:c>
      <x:c r="R160" t="str">
        <x:f>IF(OR(F160&lt;=0,G160&lt;0,G160&gt;F160,N160&lt;0,P160="Non trouvé"),"À vérifier","OK")</x:f>
        <x:v>OK</x:v>
      </x:c>
    </x:row>
    <x:row r="161">
      <x:c r="A161" t="str">
        <x:v>DV-2024-00160</x:v>
      </x:c>
      <x:c r="B161" s="16" t="n">
        <x:v>45513</x:v>
      </x:c>
      <x:c r="C161" t="str">
        <x:v>Client 12</x:v>
      </x:c>
      <x:c r="D161" t="str">
        <x:v>Fret aérien</x:v>
      </x:c>
      <x:c r="E161" t="str">
        <x:v>Pôle B</x:v>
      </x:c>
      <x:c r="F161" s="18" t="n">
        <x:v>14061.74</x:v>
      </x:c>
      <x:c r="G161" s="18" t="n">
        <x:v>2478.39</x:v>
      </x:c>
      <x:c r="H161" t="str">
        <x:v>Client 12</x:v>
      </x:c>
      <x:c r="I161" s="16" t="n">
        <x:v>45520</x:v>
      </x:c>
      <x:c r="J161" t="n">
        <x:f>YEAR(B161)</x:f>
        <x:v>2024</x:v>
      </x:c>
      <x:c r="K161" s="20" t="n">
        <x:f>DATE(YEAR(B161),MONTH(B161),1)</x:f>
        <x:v>45505</x:v>
      </x:c>
      <x:c r="L161" s="18" t="n">
        <x:f>F161-G161</x:f>
        <x:v>11583.35</x:v>
      </x:c>
      <x:c r="M161" t="str">
        <x:f>IF(L161&lt;=0,"Payée",IF(G161=0,"Impayée","Partielle"))</x:f>
        <x:v>Partielle</x:v>
      </x:c>
      <x:c r="N161" t="n">
        <x:f>IF(I161="","",I161-B161)</x:f>
        <x:v>7</x:v>
      </x:c>
      <x:c r="O161" t="str">
        <x:f>IF(TRIM(C161)&lt;&gt;TRIM(H161),"Oui","Non")</x:f>
        <x:v>Non</x:v>
      </x:c>
      <x:c r="P161" t="str">
        <x:f>IFERROR(INDEX('02_REFERENTIEL_CLIENTS'!$B$2:$B$51,MATCH(TRIM(C161),'02_REFERENTIEL_CLIENTS'!$A$2:$A$51,0)),"Non trouvé")</x:f>
        <x:v>Particuliers</x:v>
      </x:c>
      <x:c r="Q161" t="str">
        <x:f>IFERROR(INDEX('02_REFERENTIEL_CLIENTS'!$C$2:$C$51,MATCH(TRIM(C161),'02_REFERENTIEL_CLIENTS'!$A$2:$A$51,0)),"Non trouvé")</x:f>
        <x:v>International</x:v>
      </x:c>
      <x:c r="R161" t="str">
        <x:f>IF(OR(F161&lt;=0,G161&lt;0,G161&gt;F161,N161&lt;0,P161="Non trouvé"),"À vérifier","OK")</x:f>
        <x:v>OK</x:v>
      </x:c>
    </x:row>
    <x:row r="162">
      <x:c r="A162" t="str">
        <x:v>DV-2025-00161</x:v>
      </x:c>
      <x:c r="B162" s="16" t="n">
        <x:v>45724</x:v>
      </x:c>
      <x:c r="C162" t="str">
        <x:v>Client 21</x:v>
      </x:c>
      <x:c r="D162" t="str">
        <x:v>Logistique</x:v>
      </x:c>
      <x:c r="E162" t="str">
        <x:v>Pôle C</x:v>
      </x:c>
      <x:c r="F162" s="18" t="n">
        <x:v>11420.83</x:v>
      </x:c>
      <x:c r="G162" s="18" t="n">
        <x:v>11420.83</x:v>
      </x:c>
      <x:c r="H162" t="str">
        <x:v>Client 21</x:v>
      </x:c>
      <x:c r="I162" s="16" t="n">
        <x:v>45728</x:v>
      </x:c>
      <x:c r="J162" t="n">
        <x:f>YEAR(B162)</x:f>
        <x:v>2025</x:v>
      </x:c>
      <x:c r="K162" s="20" t="n">
        <x:f>DATE(YEAR(B162),MONTH(B162),1)</x:f>
        <x:v>45717</x:v>
      </x:c>
      <x:c r="L162" s="18" t="n">
        <x:f>F162-G162</x:f>
        <x:v>0</x:v>
      </x:c>
      <x:c r="M162" t="str">
        <x:f>IF(L162&lt;=0,"Payée",IF(G162=0,"Impayée","Partielle"))</x:f>
        <x:v>Payée</x:v>
      </x:c>
      <x:c r="N162" t="n">
        <x:f>IF(I162="","",I162-B162)</x:f>
        <x:v>4</x:v>
      </x:c>
      <x:c r="O162" t="str">
        <x:f>IF(TRIM(C162)&lt;&gt;TRIM(H162),"Oui","Non")</x:f>
        <x:v>Non</x:v>
      </x:c>
      <x:c r="P162" t="str">
        <x:f>IFERROR(INDEX('02_REFERENTIEL_CLIENTS'!$B$2:$B$51,MATCH(TRIM(C162),'02_REFERENTIEL_CLIENTS'!$A$2:$A$51,0)),"Non trouvé")</x:f>
        <x:v>Particuliers</x:v>
      </x:c>
      <x:c r="Q162" t="str">
        <x:f>IFERROR(INDEX('02_REFERENTIEL_CLIENTS'!$C$2:$C$51,MATCH(TRIM(C162),'02_REFERENTIEL_CLIENTS'!$A$2:$A$51,0)),"Non trouvé")</x:f>
        <x:v>International</x:v>
      </x:c>
      <x:c r="R162" t="str">
        <x:f>IF(OR(F162&lt;=0,G162&lt;0,G162&gt;F162,N162&lt;0,P162="Non trouvé"),"À vérifier","OK")</x:f>
        <x:v>OK</x:v>
      </x:c>
    </x:row>
    <x:row r="163">
      <x:c r="A163" t="str">
        <x:v>DV-2025-00162</x:v>
      </x:c>
      <x:c r="B163" s="16" t="n">
        <x:v>45662</x:v>
      </x:c>
      <x:c r="C163" t="str">
        <x:v>Client 08</x:v>
      </x:c>
      <x:c r="D163" t="str">
        <x:v>Express</x:v>
      </x:c>
      <x:c r="E163" t="str">
        <x:v>Pôle C</x:v>
      </x:c>
      <x:c r="F163" s="18" t="n">
        <x:v>22212.65</x:v>
      </x:c>
      <x:c r="G163" s="18" t="n">
        <x:v>22212.65</x:v>
      </x:c>
      <x:c r="H163" t="str">
        <x:v>Client 08</x:v>
      </x:c>
      <x:c r="I163" s="16" t="n">
        <x:v>45663</x:v>
      </x:c>
      <x:c r="J163" t="n">
        <x:f>YEAR(B163)</x:f>
        <x:v>2025</x:v>
      </x:c>
      <x:c r="K163" s="20" t="n">
        <x:f>DATE(YEAR(B163),MONTH(B163),1)</x:f>
        <x:v>45658</x:v>
      </x:c>
      <x:c r="L163" s="18" t="n">
        <x:f>F163-G163</x:f>
        <x:v>0</x:v>
      </x:c>
      <x:c r="M163" t="str">
        <x:f>IF(L163&lt;=0,"Payée",IF(G163=0,"Impayée","Partielle"))</x:f>
        <x:v>Payée</x:v>
      </x:c>
      <x:c r="N163" t="n">
        <x:f>IF(I163="","",I163-B163)</x:f>
        <x:v>1</x:v>
      </x:c>
      <x:c r="O163" t="str">
        <x:f>IF(TRIM(C163)&lt;&gt;TRIM(H163),"Oui","Non")</x:f>
        <x:v>Non</x:v>
      </x:c>
      <x:c r="P163" t="str">
        <x:f>IFERROR(INDEX('02_REFERENTIEL_CLIENTS'!$B$2:$B$51,MATCH(TRIM(C163),'02_REFERENTIEL_CLIENTS'!$A$2:$A$51,0)),"Non trouvé")</x:f>
        <x:v>PME</x:v>
      </x:c>
      <x:c r="Q163" t="str">
        <x:f>IFERROR(INDEX('02_REFERENTIEL_CLIENTS'!$C$2:$C$51,MATCH(TRIM(C163),'02_REFERENTIEL_CLIENTS'!$A$2:$A$51,0)),"Non trouvé")</x:f>
        <x:v>Europe</x:v>
      </x:c>
      <x:c r="R163" t="str">
        <x:f>IF(OR(F163&lt;=0,G163&lt;0,G163&gt;F163,N163&lt;0,P163="Non trouvé"),"À vérifier","OK")</x:f>
        <x:v>OK</x:v>
      </x:c>
    </x:row>
    <x:row r="164">
      <x:c r="A164" t="str">
        <x:v>DV-2024-00163</x:v>
      </x:c>
      <x:c r="B164" s="16" t="n">
        <x:v>45614</x:v>
      </x:c>
      <x:c r="C164" t="str">
        <x:v>Client 37</x:v>
      </x:c>
      <x:c r="D164" t="str">
        <x:v>Logistique</x:v>
      </x:c>
      <x:c r="E164" t="str">
        <x:v>Pôle E</x:v>
      </x:c>
      <x:c r="F164" s="18" t="n">
        <x:v>4856.39</x:v>
      </x:c>
      <x:c r="G164" s="18" t="n">
        <x:v>4856.39</x:v>
      </x:c>
      <x:c r="H164" t="str">
        <x:v>Client 37</x:v>
      </x:c>
      <x:c r="I164" s="16" t="n">
        <x:v>45671</x:v>
      </x:c>
      <x:c r="J164" t="n">
        <x:f>YEAR(B164)</x:f>
        <x:v>2024</x:v>
      </x:c>
      <x:c r="K164" s="20" t="n">
        <x:f>DATE(YEAR(B164),MONTH(B164),1)</x:f>
        <x:v>45597</x:v>
      </x:c>
      <x:c r="L164" s="18" t="n">
        <x:f>F164-G164</x:f>
        <x:v>0</x:v>
      </x:c>
      <x:c r="M164" t="str">
        <x:f>IF(L164&lt;=0,"Payée",IF(G164=0,"Impayée","Partielle"))</x:f>
        <x:v>Payée</x:v>
      </x:c>
      <x:c r="N164" t="n">
        <x:f>IF(I164="","",I164-B164)</x:f>
        <x:v>57</x:v>
      </x:c>
      <x:c r="O164" t="str">
        <x:f>IF(TRIM(C164)&lt;&gt;TRIM(H164),"Oui","Non")</x:f>
        <x:v>Non</x:v>
      </x:c>
      <x:c r="P164" t="str">
        <x:f>IFERROR(INDEX('02_REFERENTIEL_CLIENTS'!$B$2:$B$51,MATCH(TRIM(C164),'02_REFERENTIEL_CLIENTS'!$A$2:$A$51,0)),"Non trouvé")</x:f>
        <x:v>Grands comptes</x:v>
      </x:c>
      <x:c r="Q164" t="str">
        <x:f>IFERROR(INDEX('02_REFERENTIEL_CLIENTS'!$C$2:$C$51,MATCH(TRIM(C164),'02_REFERENTIEL_CLIENTS'!$A$2:$A$51,0)),"Non trouvé")</x:f>
        <x:v>France</x:v>
      </x:c>
      <x:c r="R164" t="str">
        <x:f>IF(OR(F164&lt;=0,G164&lt;0,G164&gt;F164,N164&lt;0,P164="Non trouvé"),"À vérifier","OK")</x:f>
        <x:v>OK</x:v>
      </x:c>
    </x:row>
    <x:row r="165">
      <x:c r="A165" t="str">
        <x:v>DV-2025-00164</x:v>
      </x:c>
      <x:c r="B165" s="16" t="n">
        <x:v>45727</x:v>
      </x:c>
      <x:c r="C165" t="str">
        <x:v>Client 16</x:v>
      </x:c>
      <x:c r="D165" t="str">
        <x:v>Express</x:v>
      </x:c>
      <x:c r="E165" t="str">
        <x:v>Pôle D</x:v>
      </x:c>
      <x:c r="F165" s="18" t="n">
        <x:v>4685.94</x:v>
      </x:c>
      <x:c r="G165" s="18" t="n">
        <x:v>4685.94</x:v>
      </x:c>
      <x:c r="H165" t="str">
        <x:v>Client 16</x:v>
      </x:c>
      <x:c r="I165" s="16" t="n">
        <x:v>45799</x:v>
      </x:c>
      <x:c r="J165" t="n">
        <x:f>YEAR(B165)</x:f>
        <x:v>2025</x:v>
      </x:c>
      <x:c r="K165" s="20" t="n">
        <x:f>DATE(YEAR(B165),MONTH(B165),1)</x:f>
        <x:v>45717</x:v>
      </x:c>
      <x:c r="L165" s="18" t="n">
        <x:f>F165-G165</x:f>
        <x:v>0</x:v>
      </x:c>
      <x:c r="M165" t="str">
        <x:f>IF(L165&lt;=0,"Payée",IF(G165=0,"Impayée","Partielle"))</x:f>
        <x:v>Payée</x:v>
      </x:c>
      <x:c r="N165" t="n">
        <x:f>IF(I165="","",I165-B165)</x:f>
        <x:v>72</x:v>
      </x:c>
      <x:c r="O165" t="str">
        <x:f>IF(TRIM(C165)&lt;&gt;TRIM(H165),"Oui","Non")</x:f>
        <x:v>Non</x:v>
      </x:c>
      <x:c r="P165" t="str">
        <x:f>IFERROR(INDEX('02_REFERENTIEL_CLIENTS'!$B$2:$B$51,MATCH(TRIM(C165),'02_REFERENTIEL_CLIENTS'!$A$2:$A$51,0)),"Non trouvé")</x:f>
        <x:v>Grands comptes</x:v>
      </x:c>
      <x:c r="Q165" t="str">
        <x:f>IFERROR(INDEX('02_REFERENTIEL_CLIENTS'!$C$2:$C$51,MATCH(TRIM(C165),'02_REFERENTIEL_CLIENTS'!$A$2:$A$51,0)),"Non trouvé")</x:f>
        <x:v>France</x:v>
      </x:c>
      <x:c r="R165" t="str">
        <x:f>IF(OR(F165&lt;=0,G165&lt;0,G165&gt;F165,N165&lt;0,P165="Non trouvé"),"À vérifier","OK")</x:f>
        <x:v>OK</x:v>
      </x:c>
    </x:row>
    <x:row r="166">
      <x:c r="A166" t="str">
        <x:v>DV-2024-00165</x:v>
      </x:c>
      <x:c r="B166" s="16" t="n">
        <x:v>45619</x:v>
      </x:c>
      <x:c r="C166" t="str">
        <x:v>Client 02</x:v>
      </x:c>
      <x:c r="D166" t="str">
        <x:v>Fret maritime</x:v>
      </x:c>
      <x:c r="E166" t="str">
        <x:v>Pôle B</x:v>
      </x:c>
      <x:c r="F166" s="18" t="n">
        <x:v>14523.29</x:v>
      </x:c>
      <x:c r="G166" s="18" t="n">
        <x:v>14523.29</x:v>
      </x:c>
      <x:c r="H166" t="str">
        <x:v>Client 02</x:v>
      </x:c>
      <x:c r="I166" s="16" t="n">
        <x:v>45673</x:v>
      </x:c>
      <x:c r="J166" t="n">
        <x:f>YEAR(B166)</x:f>
        <x:v>2024</x:v>
      </x:c>
      <x:c r="K166" s="20" t="n">
        <x:f>DATE(YEAR(B166),MONTH(B166),1)</x:f>
        <x:v>45597</x:v>
      </x:c>
      <x:c r="L166" s="18" t="n">
        <x:f>F166-G166</x:f>
        <x:v>0</x:v>
      </x:c>
      <x:c r="M166" t="str">
        <x:f>IF(L166&lt;=0,"Payée",IF(G166=0,"Impayée","Partielle"))</x:f>
        <x:v>Payée</x:v>
      </x:c>
      <x:c r="N166" t="n">
        <x:f>IF(I166="","",I166-B166)</x:f>
        <x:v>54</x:v>
      </x:c>
      <x:c r="O166" t="str">
        <x:f>IF(TRIM(C166)&lt;&gt;TRIM(H166),"Oui","Non")</x:f>
        <x:v>Non</x:v>
      </x:c>
      <x:c r="P166" t="str">
        <x:f>IFERROR(INDEX('02_REFERENTIEL_CLIENTS'!$B$2:$B$51,MATCH(TRIM(C166),'02_REFERENTIEL_CLIENTS'!$A$2:$A$51,0)),"Non trouvé")</x:f>
        <x:v>PME</x:v>
      </x:c>
      <x:c r="Q166" t="str">
        <x:f>IFERROR(INDEX('02_REFERENTIEL_CLIENTS'!$C$2:$C$51,MATCH(TRIM(C166),'02_REFERENTIEL_CLIENTS'!$A$2:$A$51,0)),"Non trouvé")</x:f>
        <x:v>Europe</x:v>
      </x:c>
      <x:c r="R166" t="str">
        <x:f>IF(OR(F166&lt;=0,G166&lt;0,G166&gt;F166,N166&lt;0,P166="Non trouvé"),"À vérifier","OK")</x:f>
        <x:v>OK</x:v>
      </x:c>
    </x:row>
    <x:row r="167">
      <x:c r="A167" t="str">
        <x:v>DV-2025-00166</x:v>
      </x:c>
      <x:c r="B167" s="16" t="n">
        <x:v>45713</x:v>
      </x:c>
      <x:c r="C167" t="str">
        <x:v>Client 09</x:v>
      </x:c>
      <x:c r="D167" t="str">
        <x:v>Express</x:v>
      </x:c>
      <x:c r="E167" t="str">
        <x:v>Pôle B</x:v>
      </x:c>
      <x:c r="F167" s="18" t="n">
        <x:v>24665.88</x:v>
      </x:c>
      <x:c r="G167" s="18" t="n">
        <x:v>24665.88</x:v>
      </x:c>
      <x:c r="H167" t="str">
        <x:v>Client 09</x:v>
      </x:c>
      <x:c r="I167" s="16" t="n">
        <x:v>45780</x:v>
      </x:c>
      <x:c r="J167" t="n">
        <x:f>YEAR(B167)</x:f>
        <x:v>2025</x:v>
      </x:c>
      <x:c r="K167" s="20" t="n">
        <x:f>DATE(YEAR(B167),MONTH(B167),1)</x:f>
        <x:v>45689</x:v>
      </x:c>
      <x:c r="L167" s="18" t="n">
        <x:f>F167-G167</x:f>
        <x:v>0</x:v>
      </x:c>
      <x:c r="M167" t="str">
        <x:f>IF(L167&lt;=0,"Payée",IF(G167=0,"Impayée","Partielle"))</x:f>
        <x:v>Payée</x:v>
      </x:c>
      <x:c r="N167" t="n">
        <x:f>IF(I167="","",I167-B167)</x:f>
        <x:v>67</x:v>
      </x:c>
      <x:c r="O167" t="str">
        <x:f>IF(TRIM(C167)&lt;&gt;TRIM(H167),"Oui","Non")</x:f>
        <x:v>Non</x:v>
      </x:c>
      <x:c r="P167" t="str">
        <x:f>IFERROR(INDEX('02_REFERENTIEL_CLIENTS'!$B$2:$B$51,MATCH(TRIM(C167),'02_REFERENTIEL_CLIENTS'!$A$2:$A$51,0)),"Non trouvé")</x:f>
        <x:v>Particuliers</x:v>
      </x:c>
      <x:c r="Q167" t="str">
        <x:f>IFERROR(INDEX('02_REFERENTIEL_CLIENTS'!$C$2:$C$51,MATCH(TRIM(C167),'02_REFERENTIEL_CLIENTS'!$A$2:$A$51,0)),"Non trouvé")</x:f>
        <x:v>International</x:v>
      </x:c>
      <x:c r="R167" t="str">
        <x:f>IF(OR(F167&lt;=0,G167&lt;0,G167&gt;F167,N167&lt;0,P167="Non trouvé"),"À vérifier","OK")</x:f>
        <x:v>OK</x:v>
      </x:c>
    </x:row>
    <x:row r="168">
      <x:c r="A168" t="str">
        <x:v>DV-2024-00167</x:v>
      </x:c>
      <x:c r="B168" s="16" t="n">
        <x:v>45543</x:v>
      </x:c>
      <x:c r="C168" t="str">
        <x:v>Client 40</x:v>
      </x:c>
      <x:c r="D168" t="str">
        <x:v>Douane</x:v>
      </x:c>
      <x:c r="E168" t="str">
        <x:v>Pôle C</x:v>
      </x:c>
      <x:c r="F168" s="18" t="n">
        <x:v>3377.17</x:v>
      </x:c>
      <x:c r="G168" s="18" t="n">
        <x:v>3377.17</x:v>
      </x:c>
      <x:c r="H168" t="str">
        <x:v>Client 16</x:v>
      </x:c>
      <x:c r="I168" s="16" t="n">
        <x:v>45636</x:v>
      </x:c>
      <x:c r="J168" t="n">
        <x:f>YEAR(B168)</x:f>
        <x:v>2024</x:v>
      </x:c>
      <x:c r="K168" s="20" t="n">
        <x:f>DATE(YEAR(B168),MONTH(B168),1)</x:f>
        <x:v>45536</x:v>
      </x:c>
      <x:c r="L168" s="18" t="n">
        <x:f>F168-G168</x:f>
        <x:v>0</x:v>
      </x:c>
      <x:c r="M168" t="str">
        <x:f>IF(L168&lt;=0,"Payée",IF(G168=0,"Impayée","Partielle"))</x:f>
        <x:v>Payée</x:v>
      </x:c>
      <x:c r="N168" t="n">
        <x:f>IF(I168="","",I168-B168)</x:f>
        <x:v>93</x:v>
      </x:c>
      <x:c r="O168" t="str">
        <x:f>IF(TRIM(C168)&lt;&gt;TRIM(H168),"Oui","Non")</x:f>
        <x:v>Oui</x:v>
      </x:c>
      <x:c r="P168" t="str">
        <x:f>IFERROR(INDEX('02_REFERENTIEL_CLIENTS'!$B$2:$B$51,MATCH(TRIM(C168),'02_REFERENTIEL_CLIENTS'!$A$2:$A$51,0)),"Non trouvé")</x:f>
        <x:v>Grands comptes</x:v>
      </x:c>
      <x:c r="Q168" t="str">
        <x:f>IFERROR(INDEX('02_REFERENTIEL_CLIENTS'!$C$2:$C$51,MATCH(TRIM(C168),'02_REFERENTIEL_CLIENTS'!$A$2:$A$51,0)),"Non trouvé")</x:f>
        <x:v>France</x:v>
      </x:c>
      <x:c r="R168" t="str">
        <x:f>IF(OR(F168&lt;=0,G168&lt;0,G168&gt;F168,N168&lt;0,P168="Non trouvé"),"À vérifier","OK")</x:f>
        <x:v>OK</x:v>
      </x:c>
    </x:row>
    <x:row r="169">
      <x:c r="A169" t="str">
        <x:v>DV-2026-00168</x:v>
      </x:c>
      <x:c r="B169" s="16" t="n">
        <x:v>46081</x:v>
      </x:c>
      <x:c r="C169" t="str">
        <x:v>Client 41</x:v>
      </x:c>
      <x:c r="D169" t="str">
        <x:v>Express</x:v>
      </x:c>
      <x:c r="E169" t="str">
        <x:v>Pôle D</x:v>
      </x:c>
      <x:c r="F169" s="18" t="n">
        <x:v>2344.24</x:v>
      </x:c>
      <x:c r="G169" s="18" t="n">
        <x:v>2344.24</x:v>
      </x:c>
      <x:c r="H169" t="str">
        <x:v>Client 02</x:v>
      </x:c>
      <x:c r="I169" s="16" t="n">
        <x:v>46117</x:v>
      </x:c>
      <x:c r="J169" t="n">
        <x:f>YEAR(B169)</x:f>
        <x:v>2026</x:v>
      </x:c>
      <x:c r="K169" s="20" t="n">
        <x:f>DATE(YEAR(B169),MONTH(B169),1)</x:f>
        <x:v>46054</x:v>
      </x:c>
      <x:c r="L169" s="18" t="n">
        <x:f>F169-G169</x:f>
        <x:v>0</x:v>
      </x:c>
      <x:c r="M169" t="str">
        <x:f>IF(L169&lt;=0,"Payée",IF(G169=0,"Impayée","Partielle"))</x:f>
        <x:v>Payée</x:v>
      </x:c>
      <x:c r="N169" t="n">
        <x:f>IF(I169="","",I169-B169)</x:f>
        <x:v>36</x:v>
      </x:c>
      <x:c r="O169" t="str">
        <x:f>IF(TRIM(C169)&lt;&gt;TRIM(H169),"Oui","Non")</x:f>
        <x:v>Oui</x:v>
      </x:c>
      <x:c r="P169" t="str">
        <x:f>IFERROR(INDEX('02_REFERENTIEL_CLIENTS'!$B$2:$B$51,MATCH(TRIM(C169),'02_REFERENTIEL_CLIENTS'!$A$2:$A$51,0)),"Non trouvé")</x:f>
        <x:v>PME</x:v>
      </x:c>
      <x:c r="Q169" t="str">
        <x:f>IFERROR(INDEX('02_REFERENTIEL_CLIENTS'!$C$2:$C$51,MATCH(TRIM(C169),'02_REFERENTIEL_CLIENTS'!$A$2:$A$51,0)),"Non trouvé")</x:f>
        <x:v>Europe</x:v>
      </x:c>
      <x:c r="R169" t="str">
        <x:f>IF(OR(F169&lt;=0,G169&lt;0,G169&gt;F169,N169&lt;0,P169="Non trouvé"),"À vérifier","OK")</x:f>
        <x:v>OK</x:v>
      </x:c>
    </x:row>
    <x:row r="170">
      <x:c r="A170" t="str">
        <x:v>DV-2025-00169</x:v>
      </x:c>
      <x:c r="B170" s="16" t="n">
        <x:v>45678</x:v>
      </x:c>
      <x:c r="C170" t="str">
        <x:v>Client 14</x:v>
      </x:c>
      <x:c r="D170" t="str">
        <x:v>Logistique</x:v>
      </x:c>
      <x:c r="E170" t="str">
        <x:v>Pôle E</x:v>
      </x:c>
      <x:c r="F170" s="18" t="n">
        <x:v>14613.87</x:v>
      </x:c>
      <x:c r="G170" s="18" t="n">
        <x:v>0</x:v>
      </x:c>
      <x:c r="H170" t="str">
        <x:v>Client 14</x:v>
      </x:c>
      <x:c r="I170" s="16"/>
      <x:c r="J170" t="n">
        <x:f>YEAR(B170)</x:f>
        <x:v>2025</x:v>
      </x:c>
      <x:c r="K170" s="20" t="n">
        <x:f>DATE(YEAR(B170),MONTH(B170),1)</x:f>
        <x:v>45658</x:v>
      </x:c>
      <x:c r="L170" s="18" t="n">
        <x:f>F170-G170</x:f>
        <x:v>14613.87</x:v>
      </x:c>
      <x:c r="M170" t="str">
        <x:f>IF(L170&lt;=0,"Payée",IF(G170=0,"Impayée","Partielle"))</x:f>
        <x:v>Impayée</x:v>
      </x:c>
      <x:c r="N170" t="str">
        <x:f>IF(I170="","",I170-B170)</x:f>
      </x:c>
      <x:c r="O170" t="str">
        <x:f>IF(TRIM(C170)&lt;&gt;TRIM(H170),"Oui","Non")</x:f>
        <x:v>Non</x:v>
      </x:c>
      <x:c r="P170" t="str">
        <x:f>IFERROR(INDEX('02_REFERENTIEL_CLIENTS'!$B$2:$B$51,MATCH(TRIM(C170),'02_REFERENTIEL_CLIENTS'!$A$2:$A$51,0)),"Non trouvé")</x:f>
        <x:v>PME</x:v>
      </x:c>
      <x:c r="Q170" t="str">
        <x:f>IFERROR(INDEX('02_REFERENTIEL_CLIENTS'!$C$2:$C$51,MATCH(TRIM(C170),'02_REFERENTIEL_CLIENTS'!$A$2:$A$51,0)),"Non trouvé")</x:f>
        <x:v>Europe</x:v>
      </x:c>
      <x:c r="R170" t="str">
        <x:f>IF(OR(F170&lt;=0,G170&lt;0,G170&gt;F170,N170&lt;0,P170="Non trouvé"),"À vérifier","OK")</x:f>
        <x:v>OK</x:v>
      </x:c>
    </x:row>
    <x:row r="171">
      <x:c r="A171" t="str">
        <x:v>DV-2026-00170</x:v>
      </x:c>
      <x:c r="B171" s="16" t="n">
        <x:v>46213</x:v>
      </x:c>
      <x:c r="C171" t="str">
        <x:v>Client 07</x:v>
      </x:c>
      <x:c r="D171" t="str">
        <x:v>Logistique</x:v>
      </x:c>
      <x:c r="E171" t="str">
        <x:v>Pôle D</x:v>
      </x:c>
      <x:c r="F171" s="18" t="n">
        <x:v>18492.7</x:v>
      </x:c>
      <x:c r="G171" s="18" t="n">
        <x:v>18492.7</x:v>
      </x:c>
      <x:c r="H171" t="str">
        <x:v>Client 07</x:v>
      </x:c>
      <x:c r="I171" s="16" t="n">
        <x:v>46274</x:v>
      </x:c>
      <x:c r="J171" t="n">
        <x:f>YEAR(B171)</x:f>
        <x:v>2026</x:v>
      </x:c>
      <x:c r="K171" s="20" t="n">
        <x:f>DATE(YEAR(B171),MONTH(B171),1)</x:f>
        <x:v>46204</x:v>
      </x:c>
      <x:c r="L171" s="18" t="n">
        <x:f>F171-G171</x:f>
        <x:v>0</x:v>
      </x:c>
      <x:c r="M171" t="str">
        <x:f>IF(L171&lt;=0,"Payée",IF(G171=0,"Impayée","Partielle"))</x:f>
        <x:v>Payée</x:v>
      </x:c>
      <x:c r="N171" t="n">
        <x:f>IF(I171="","",I171-B171)</x:f>
        <x:v>61</x:v>
      </x:c>
      <x:c r="O171" t="str">
        <x:f>IF(TRIM(C171)&lt;&gt;TRIM(H171),"Oui","Non")</x:f>
        <x:v>Non</x:v>
      </x:c>
      <x:c r="P171" t="str">
        <x:f>IFERROR(INDEX('02_REFERENTIEL_CLIENTS'!$B$2:$B$51,MATCH(TRIM(C171),'02_REFERENTIEL_CLIENTS'!$A$2:$A$51,0)),"Non trouvé")</x:f>
        <x:v>Grands comptes</x:v>
      </x:c>
      <x:c r="Q171" t="str">
        <x:f>IFERROR(INDEX('02_REFERENTIEL_CLIENTS'!$C$2:$C$51,MATCH(TRIM(C171),'02_REFERENTIEL_CLIENTS'!$A$2:$A$51,0)),"Non trouvé")</x:f>
        <x:v>France</x:v>
      </x:c>
      <x:c r="R171" t="str">
        <x:f>IF(OR(F171&lt;=0,G171&lt;0,G171&gt;F171,N171&lt;0,P171="Non trouvé"),"À vérifier","OK")</x:f>
        <x:v>OK</x:v>
      </x:c>
    </x:row>
    <x:row r="172">
      <x:c r="A172" t="str">
        <x:v>DV-2024-00171</x:v>
      </x:c>
      <x:c r="B172" s="16" t="n">
        <x:v>45501</x:v>
      </x:c>
      <x:c r="C172" t="str">
        <x:v>Client 06</x:v>
      </x:c>
      <x:c r="D172" t="str">
        <x:v>Logistique</x:v>
      </x:c>
      <x:c r="E172" t="str">
        <x:v>Pôle E</x:v>
      </x:c>
      <x:c r="F172" s="18" t="n">
        <x:v>18540.11</x:v>
      </x:c>
      <x:c r="G172" s="18" t="n">
        <x:v>18540.11</x:v>
      </x:c>
      <x:c r="H172" t="str">
        <x:v>Client 06</x:v>
      </x:c>
      <x:c r="I172" s="16" t="n">
        <x:v>45529</x:v>
      </x:c>
      <x:c r="J172" t="n">
        <x:f>YEAR(B172)</x:f>
        <x:v>2024</x:v>
      </x:c>
      <x:c r="K172" s="20" t="n">
        <x:f>DATE(YEAR(B172),MONTH(B172),1)</x:f>
        <x:v>45474</x:v>
      </x:c>
      <x:c r="L172" s="18" t="n">
        <x:f>F172-G172</x:f>
        <x:v>0</x:v>
      </x:c>
      <x:c r="M172" t="str">
        <x:f>IF(L172&lt;=0,"Payée",IF(G172=0,"Impayée","Partielle"))</x:f>
        <x:v>Payée</x:v>
      </x:c>
      <x:c r="N172" t="n">
        <x:f>IF(I172="","",I172-B172)</x:f>
        <x:v>28</x:v>
      </x:c>
      <x:c r="O172" t="str">
        <x:f>IF(TRIM(C172)&lt;&gt;TRIM(H172),"Oui","Non")</x:f>
        <x:v>Non</x:v>
      </x:c>
      <x:c r="P172" t="str">
        <x:f>IFERROR(INDEX('02_REFERENTIEL_CLIENTS'!$B$2:$B$51,MATCH(TRIM(C172),'02_REFERENTIEL_CLIENTS'!$A$2:$A$51,0)),"Non trouvé")</x:f>
        <x:v>Particuliers</x:v>
      </x:c>
      <x:c r="Q172" t="str">
        <x:f>IFERROR(INDEX('02_REFERENTIEL_CLIENTS'!$C$2:$C$51,MATCH(TRIM(C172),'02_REFERENTIEL_CLIENTS'!$A$2:$A$51,0)),"Non trouvé")</x:f>
        <x:v>International</x:v>
      </x:c>
      <x:c r="R172" t="str">
        <x:f>IF(OR(F172&lt;=0,G172&lt;0,G172&gt;F172,N172&lt;0,P172="Non trouvé"),"À vérifier","OK")</x:f>
        <x:v>OK</x:v>
      </x:c>
    </x:row>
    <x:row r="173">
      <x:c r="A173" t="str">
        <x:v>DV-2024-00172</x:v>
      </x:c>
      <x:c r="B173" s="16" t="n">
        <x:v>45501</x:v>
      </x:c>
      <x:c r="C173" t="str">
        <x:v>Client 18</x:v>
      </x:c>
      <x:c r="D173" t="str">
        <x:v>Douane</x:v>
      </x:c>
      <x:c r="E173" t="str">
        <x:v>Pôle E</x:v>
      </x:c>
      <x:c r="F173" s="18" t="n">
        <x:v>20966.82</x:v>
      </x:c>
      <x:c r="G173" s="18" t="n">
        <x:v>20966.82</x:v>
      </x:c>
      <x:c r="H173" t="str">
        <x:v>Client 18</x:v>
      </x:c>
      <x:c r="I173" s="16" t="n">
        <x:v>45596</x:v>
      </x:c>
      <x:c r="J173" t="n">
        <x:f>YEAR(B173)</x:f>
        <x:v>2024</x:v>
      </x:c>
      <x:c r="K173" s="20" t="n">
        <x:f>DATE(YEAR(B173),MONTH(B173),1)</x:f>
        <x:v>45474</x:v>
      </x:c>
      <x:c r="L173" s="18" t="n">
        <x:f>F173-G173</x:f>
        <x:v>0</x:v>
      </x:c>
      <x:c r="M173" t="str">
        <x:f>IF(L173&lt;=0,"Payée",IF(G173=0,"Impayée","Partielle"))</x:f>
        <x:v>Payée</x:v>
      </x:c>
      <x:c r="N173" t="n">
        <x:f>IF(I173="","",I173-B173)</x:f>
        <x:v>95</x:v>
      </x:c>
      <x:c r="O173" t="str">
        <x:f>IF(TRIM(C173)&lt;&gt;TRIM(H173),"Oui","Non")</x:f>
        <x:v>Non</x:v>
      </x:c>
      <x:c r="P173" t="str">
        <x:f>IFERROR(INDEX('02_REFERENTIEL_CLIENTS'!$B$2:$B$51,MATCH(TRIM(C173),'02_REFERENTIEL_CLIENTS'!$A$2:$A$51,0)),"Non trouvé")</x:f>
        <x:v>Particuliers</x:v>
      </x:c>
      <x:c r="Q173" t="str">
        <x:f>IFERROR(INDEX('02_REFERENTIEL_CLIENTS'!$C$2:$C$51,MATCH(TRIM(C173),'02_REFERENTIEL_CLIENTS'!$A$2:$A$51,0)),"Non trouvé")</x:f>
        <x:v>International</x:v>
      </x:c>
      <x:c r="R173" t="str">
        <x:f>IF(OR(F173&lt;=0,G173&lt;0,G173&gt;F173,N173&lt;0,P173="Non trouvé"),"À vérifier","OK")</x:f>
        <x:v>OK</x:v>
      </x:c>
    </x:row>
    <x:row r="174">
      <x:c r="A174" t="str">
        <x:v>DV-2025-00173</x:v>
      </x:c>
      <x:c r="B174" s="16" t="n">
        <x:v>45708</x:v>
      </x:c>
      <x:c r="C174" t="str">
        <x:v>Client 36</x:v>
      </x:c>
      <x:c r="D174" t="str">
        <x:v>Express</x:v>
      </x:c>
      <x:c r="E174" t="str">
        <x:v>Pôle E</x:v>
      </x:c>
      <x:c r="F174" s="18" t="n">
        <x:v>1715.26</x:v>
      </x:c>
      <x:c r="G174" s="18" t="n">
        <x:v>1442.39</x:v>
      </x:c>
      <x:c r="H174" t="str">
        <x:v>Client 36</x:v>
      </x:c>
      <x:c r="I174" s="16" t="n">
        <x:v>45709</x:v>
      </x:c>
      <x:c r="J174" t="n">
        <x:f>YEAR(B174)</x:f>
        <x:v>2025</x:v>
      </x:c>
      <x:c r="K174" s="20" t="n">
        <x:f>DATE(YEAR(B174),MONTH(B174),1)</x:f>
        <x:v>45689</x:v>
      </x:c>
      <x:c r="L174" s="18" t="n">
        <x:f>F174-G174</x:f>
        <x:v>272.8699999999999</x:v>
      </x:c>
      <x:c r="M174" t="str">
        <x:f>IF(L174&lt;=0,"Payée",IF(G174=0,"Impayée","Partielle"))</x:f>
        <x:v>Partielle</x:v>
      </x:c>
      <x:c r="N174" t="n">
        <x:f>IF(I174="","",I174-B174)</x:f>
        <x:v>1</x:v>
      </x:c>
      <x:c r="O174" t="str">
        <x:f>IF(TRIM(C174)&lt;&gt;TRIM(H174),"Oui","Non")</x:f>
        <x:v>Non</x:v>
      </x:c>
      <x:c r="P174" t="str">
        <x:f>IFERROR(INDEX('02_REFERENTIEL_CLIENTS'!$B$2:$B$51,MATCH(TRIM(C174),'02_REFERENTIEL_CLIENTS'!$A$2:$A$51,0)),"Non trouvé")</x:f>
        <x:v>Particuliers</x:v>
      </x:c>
      <x:c r="Q174" t="str">
        <x:f>IFERROR(INDEX('02_REFERENTIEL_CLIENTS'!$C$2:$C$51,MATCH(TRIM(C174),'02_REFERENTIEL_CLIENTS'!$A$2:$A$51,0)),"Non trouvé")</x:f>
        <x:v>International</x:v>
      </x:c>
      <x:c r="R174" t="str">
        <x:f>IF(OR(F174&lt;=0,G174&lt;0,G174&gt;F174,N174&lt;0,P174="Non trouvé"),"À vérifier","OK")</x:f>
        <x:v>OK</x:v>
      </x:c>
    </x:row>
    <x:row r="175">
      <x:c r="A175" t="str">
        <x:v>DV-2024-00174</x:v>
      </x:c>
      <x:c r="B175" s="16" t="n">
        <x:v>45316</x:v>
      </x:c>
      <x:c r="C175" t="str">
        <x:v>Client 05</x:v>
      </x:c>
      <x:c r="D175" t="str">
        <x:v>Logistique</x:v>
      </x:c>
      <x:c r="E175" t="str">
        <x:v>Pôle E</x:v>
      </x:c>
      <x:c r="F175" s="18" t="n">
        <x:v>2065.58</x:v>
      </x:c>
      <x:c r="G175" s="18" t="n">
        <x:v>2065.58</x:v>
      </x:c>
      <x:c r="H175" t="str">
        <x:v>Client 05</x:v>
      </x:c>
      <x:c r="I175" s="16" t="n">
        <x:v>45347</x:v>
      </x:c>
      <x:c r="J175" t="n">
        <x:f>YEAR(B175)</x:f>
        <x:v>2024</x:v>
      </x:c>
      <x:c r="K175" s="20" t="n">
        <x:f>DATE(YEAR(B175),MONTH(B175),1)</x:f>
        <x:v>45292</x:v>
      </x:c>
      <x:c r="L175" s="18" t="n">
        <x:f>F175-G175</x:f>
        <x:v>0</x:v>
      </x:c>
      <x:c r="M175" t="str">
        <x:f>IF(L175&lt;=0,"Payée",IF(G175=0,"Impayée","Partielle"))</x:f>
        <x:v>Payée</x:v>
      </x:c>
      <x:c r="N175" t="n">
        <x:f>IF(I175="","",I175-B175)</x:f>
        <x:v>31</x:v>
      </x:c>
      <x:c r="O175" t="str">
        <x:f>IF(TRIM(C175)&lt;&gt;TRIM(H175),"Oui","Non")</x:f>
        <x:v>Non</x:v>
      </x:c>
      <x:c r="P175" t="str">
        <x:f>IFERROR(INDEX('02_REFERENTIEL_CLIENTS'!$B$2:$B$51,MATCH(TRIM(C175),'02_REFERENTIEL_CLIENTS'!$A$2:$A$51,0)),"Non trouvé")</x:f>
        <x:v>PME</x:v>
      </x:c>
      <x:c r="Q175" t="str">
        <x:f>IFERROR(INDEX('02_REFERENTIEL_CLIENTS'!$C$2:$C$51,MATCH(TRIM(C175),'02_REFERENTIEL_CLIENTS'!$A$2:$A$51,0)),"Non trouvé")</x:f>
        <x:v>Europe</x:v>
      </x:c>
      <x:c r="R175" t="str">
        <x:f>IF(OR(F175&lt;=0,G175&lt;0,G175&gt;F175,N175&lt;0,P175="Non trouvé"),"À vérifier","OK")</x:f>
        <x:v>OK</x:v>
      </x:c>
    </x:row>
    <x:row r="176">
      <x:c r="A176" t="str">
        <x:v>DV-2026-00175</x:v>
      </x:c>
      <x:c r="B176" s="16" t="n">
        <x:v>46059</x:v>
      </x:c>
      <x:c r="C176" t="str">
        <x:v>Client 08</x:v>
      </x:c>
      <x:c r="D176" t="str">
        <x:v>Douane</x:v>
      </x:c>
      <x:c r="E176" t="str">
        <x:v>Pôle D</x:v>
      </x:c>
      <x:c r="F176" s="18" t="n">
        <x:v>23267.91</x:v>
      </x:c>
      <x:c r="G176" s="18" t="n">
        <x:v>6690.64</x:v>
      </x:c>
      <x:c r="H176" t="str">
        <x:v>Client 08</x:v>
      </x:c>
      <x:c r="I176" s="16" t="n">
        <x:v>46086</x:v>
      </x:c>
      <x:c r="J176" t="n">
        <x:f>YEAR(B176)</x:f>
        <x:v>2026</x:v>
      </x:c>
      <x:c r="K176" s="20" t="n">
        <x:f>DATE(YEAR(B176),MONTH(B176),1)</x:f>
        <x:v>46054</x:v>
      </x:c>
      <x:c r="L176" s="18" t="n">
        <x:f>F176-G176</x:f>
        <x:v>16577.27</x:v>
      </x:c>
      <x:c r="M176" t="str">
        <x:f>IF(L176&lt;=0,"Payée",IF(G176=0,"Impayée","Partielle"))</x:f>
        <x:v>Partielle</x:v>
      </x:c>
      <x:c r="N176" t="n">
        <x:f>IF(I176="","",I176-B176)</x:f>
        <x:v>27</x:v>
      </x:c>
      <x:c r="O176" t="str">
        <x:f>IF(TRIM(C176)&lt;&gt;TRIM(H176),"Oui","Non")</x:f>
        <x:v>Non</x:v>
      </x:c>
      <x:c r="P176" t="str">
        <x:f>IFERROR(INDEX('02_REFERENTIEL_CLIENTS'!$B$2:$B$51,MATCH(TRIM(C176),'02_REFERENTIEL_CLIENTS'!$A$2:$A$51,0)),"Non trouvé")</x:f>
        <x:v>PME</x:v>
      </x:c>
      <x:c r="Q176" t="str">
        <x:f>IFERROR(INDEX('02_REFERENTIEL_CLIENTS'!$C$2:$C$51,MATCH(TRIM(C176),'02_REFERENTIEL_CLIENTS'!$A$2:$A$51,0)),"Non trouvé")</x:f>
        <x:v>Europe</x:v>
      </x:c>
      <x:c r="R176" t="str">
        <x:f>IF(OR(F176&lt;=0,G176&lt;0,G176&gt;F176,N176&lt;0,P176="Non trouvé"),"À vérifier","OK")</x:f>
        <x:v>OK</x:v>
      </x:c>
    </x:row>
    <x:row r="177">
      <x:c r="A177" t="str">
        <x:v>DV-2026-00176</x:v>
      </x:c>
      <x:c r="B177" s="16" t="n">
        <x:v>46187</x:v>
      </x:c>
      <x:c r="C177" t="str">
        <x:v>Client 45</x:v>
      </x:c>
      <x:c r="D177" t="str">
        <x:v>Fret aérien</x:v>
      </x:c>
      <x:c r="E177" t="str">
        <x:v>Pôle B</x:v>
      </x:c>
      <x:c r="F177" s="18" t="n">
        <x:v>2011.77</x:v>
      </x:c>
      <x:c r="G177" s="18" t="n">
        <x:v>2011.77</x:v>
      </x:c>
      <x:c r="H177" t="str">
        <x:v>Client 45</x:v>
      </x:c>
      <x:c r="I177" s="16" t="n">
        <x:v>46237</x:v>
      </x:c>
      <x:c r="J177" t="n">
        <x:f>YEAR(B177)</x:f>
        <x:v>2026</x:v>
      </x:c>
      <x:c r="K177" s="20" t="n">
        <x:f>DATE(YEAR(B177),MONTH(B177),1)</x:f>
        <x:v>46174</x:v>
      </x:c>
      <x:c r="L177" s="18" t="n">
        <x:f>F177-G177</x:f>
        <x:v>0</x:v>
      </x:c>
      <x:c r="M177" t="str">
        <x:f>IF(L177&lt;=0,"Payée",IF(G177=0,"Impayée","Partielle"))</x:f>
        <x:v>Payée</x:v>
      </x:c>
      <x:c r="N177" t="n">
        <x:f>IF(I177="","",I177-B177)</x:f>
        <x:v>50</x:v>
      </x:c>
      <x:c r="O177" t="str">
        <x:f>IF(TRIM(C177)&lt;&gt;TRIM(H177),"Oui","Non")</x:f>
        <x:v>Non</x:v>
      </x:c>
      <x:c r="P177" t="str">
        <x:f>IFERROR(INDEX('02_REFERENTIEL_CLIENTS'!$B$2:$B$51,MATCH(TRIM(C177),'02_REFERENTIEL_CLIENTS'!$A$2:$A$51,0)),"Non trouvé")</x:f>
        <x:v>Particuliers</x:v>
      </x:c>
      <x:c r="Q177" t="str">
        <x:f>IFERROR(INDEX('02_REFERENTIEL_CLIENTS'!$C$2:$C$51,MATCH(TRIM(C177),'02_REFERENTIEL_CLIENTS'!$A$2:$A$51,0)),"Non trouvé")</x:f>
        <x:v>International</x:v>
      </x:c>
      <x:c r="R177" t="str">
        <x:f>IF(OR(F177&lt;=0,G177&lt;0,G177&gt;F177,N177&lt;0,P177="Non trouvé"),"À vérifier","OK")</x:f>
        <x:v>OK</x:v>
      </x:c>
    </x:row>
    <x:row r="178">
      <x:c r="A178" t="str">
        <x:v>DV-2024-00177</x:v>
      </x:c>
      <x:c r="B178" s="16" t="n">
        <x:v>45459</x:v>
      </x:c>
      <x:c r="C178" t="str">
        <x:v>Client 02</x:v>
      </x:c>
      <x:c r="D178" t="str">
        <x:v>Fret aérien</x:v>
      </x:c>
      <x:c r="E178" t="str">
        <x:v>Pôle B</x:v>
      </x:c>
      <x:c r="F178" s="18" t="n">
        <x:v>3320.81</x:v>
      </x:c>
      <x:c r="G178" s="18" t="n">
        <x:v>818.16</x:v>
      </x:c>
      <x:c r="H178" t="str">
        <x:v>Client 02</x:v>
      </x:c>
      <x:c r="I178" s="16" t="n">
        <x:v>45518</x:v>
      </x:c>
      <x:c r="J178" t="n">
        <x:f>YEAR(B178)</x:f>
        <x:v>2024</x:v>
      </x:c>
      <x:c r="K178" s="20" t="n">
        <x:f>DATE(YEAR(B178),MONTH(B178),1)</x:f>
        <x:v>45444</x:v>
      </x:c>
      <x:c r="L178" s="18" t="n">
        <x:f>F178-G178</x:f>
        <x:v>2502.65</x:v>
      </x:c>
      <x:c r="M178" t="str">
        <x:f>IF(L178&lt;=0,"Payée",IF(G178=0,"Impayée","Partielle"))</x:f>
        <x:v>Partielle</x:v>
      </x:c>
      <x:c r="N178" t="n">
        <x:f>IF(I178="","",I178-B178)</x:f>
        <x:v>59</x:v>
      </x:c>
      <x:c r="O178" t="str">
        <x:f>IF(TRIM(C178)&lt;&gt;TRIM(H178),"Oui","Non")</x:f>
        <x:v>Non</x:v>
      </x:c>
      <x:c r="P178" t="str">
        <x:f>IFERROR(INDEX('02_REFERENTIEL_CLIENTS'!$B$2:$B$51,MATCH(TRIM(C178),'02_REFERENTIEL_CLIENTS'!$A$2:$A$51,0)),"Non trouvé")</x:f>
        <x:v>PME</x:v>
      </x:c>
      <x:c r="Q178" t="str">
        <x:f>IFERROR(INDEX('02_REFERENTIEL_CLIENTS'!$C$2:$C$51,MATCH(TRIM(C178),'02_REFERENTIEL_CLIENTS'!$A$2:$A$51,0)),"Non trouvé")</x:f>
        <x:v>Europe</x:v>
      </x:c>
      <x:c r="R178" t="str">
        <x:f>IF(OR(F178&lt;=0,G178&lt;0,G178&gt;F178,N178&lt;0,P178="Non trouvé"),"À vérifier","OK")</x:f>
        <x:v>OK</x:v>
      </x:c>
    </x:row>
    <x:row r="179">
      <x:c r="A179" t="str">
        <x:v>DV-2025-00178</x:v>
      </x:c>
      <x:c r="B179" s="16" t="n">
        <x:v>45946</x:v>
      </x:c>
      <x:c r="C179" t="str">
        <x:v>Client 18</x:v>
      </x:c>
      <x:c r="D179" t="str">
        <x:v>Logistique</x:v>
      </x:c>
      <x:c r="E179" t="str">
        <x:v>Pôle C</x:v>
      </x:c>
      <x:c r="F179" s="18" t="n">
        <x:v>12457.67</x:v>
      </x:c>
      <x:c r="G179" s="18" t="n">
        <x:v>12457.67</x:v>
      </x:c>
      <x:c r="H179" t="str">
        <x:v>Client 20</x:v>
      </x:c>
      <x:c r="I179" s="16" t="n">
        <x:v>46008</x:v>
      </x:c>
      <x:c r="J179" t="n">
        <x:f>YEAR(B179)</x:f>
        <x:v>2025</x:v>
      </x:c>
      <x:c r="K179" s="20" t="n">
        <x:f>DATE(YEAR(B179),MONTH(B179),1)</x:f>
        <x:v>45931</x:v>
      </x:c>
      <x:c r="L179" s="18" t="n">
        <x:f>F179-G179</x:f>
        <x:v>0</x:v>
      </x:c>
      <x:c r="M179" t="str">
        <x:f>IF(L179&lt;=0,"Payée",IF(G179=0,"Impayée","Partielle"))</x:f>
        <x:v>Payée</x:v>
      </x:c>
      <x:c r="N179" t="n">
        <x:f>IF(I179="","",I179-B179)</x:f>
        <x:v>62</x:v>
      </x:c>
      <x:c r="O179" t="str">
        <x:f>IF(TRIM(C179)&lt;&gt;TRIM(H179),"Oui","Non")</x:f>
        <x:v>Oui</x:v>
      </x:c>
      <x:c r="P179" t="str">
        <x:f>IFERROR(INDEX('02_REFERENTIEL_CLIENTS'!$B$2:$B$51,MATCH(TRIM(C179),'02_REFERENTIEL_CLIENTS'!$A$2:$A$51,0)),"Non trouvé")</x:f>
        <x:v>Particuliers</x:v>
      </x:c>
      <x:c r="Q179" t="str">
        <x:f>IFERROR(INDEX('02_REFERENTIEL_CLIENTS'!$C$2:$C$51,MATCH(TRIM(C179),'02_REFERENTIEL_CLIENTS'!$A$2:$A$51,0)),"Non trouvé")</x:f>
        <x:v>International</x:v>
      </x:c>
      <x:c r="R179" t="str">
        <x:f>IF(OR(F179&lt;=0,G179&lt;0,G179&gt;F179,N179&lt;0,P179="Non trouvé"),"À vérifier","OK")</x:f>
        <x:v>OK</x:v>
      </x:c>
    </x:row>
    <x:row r="180">
      <x:c r="A180" t="str">
        <x:v>DV-2024-00179</x:v>
      </x:c>
      <x:c r="B180" s="16" t="n">
        <x:v>45551</x:v>
      </x:c>
      <x:c r="C180" t="str">
        <x:v>Client 46</x:v>
      </x:c>
      <x:c r="D180" t="str">
        <x:v>Fret aérien</x:v>
      </x:c>
      <x:c r="E180" t="str">
        <x:v>Pôle C</x:v>
      </x:c>
      <x:c r="F180" s="18" t="n">
        <x:v>3523.6</x:v>
      </x:c>
      <x:c r="G180" s="18" t="n">
        <x:v>1126.48</x:v>
      </x:c>
      <x:c r="H180" t="str">
        <x:v>Client 46</x:v>
      </x:c>
      <x:c r="I180" s="16" t="n">
        <x:v>45609</x:v>
      </x:c>
      <x:c r="J180" t="n">
        <x:f>YEAR(B180)</x:f>
        <x:v>2024</x:v>
      </x:c>
      <x:c r="K180" s="20" t="n">
        <x:f>DATE(YEAR(B180),MONTH(B180),1)</x:f>
        <x:v>45536</x:v>
      </x:c>
      <x:c r="L180" s="18" t="n">
        <x:f>F180-G180</x:f>
        <x:v>2397.12</x:v>
      </x:c>
      <x:c r="M180" t="str">
        <x:f>IF(L180&lt;=0,"Payée",IF(G180=0,"Impayée","Partielle"))</x:f>
        <x:v>Partielle</x:v>
      </x:c>
      <x:c r="N180" t="n">
        <x:f>IF(I180="","",I180-B180)</x:f>
        <x:v>58</x:v>
      </x:c>
      <x:c r="O180" t="str">
        <x:f>IF(TRIM(C180)&lt;&gt;TRIM(H180),"Oui","Non")</x:f>
        <x:v>Non</x:v>
      </x:c>
      <x:c r="P180" t="str">
        <x:f>IFERROR(INDEX('02_REFERENTIEL_CLIENTS'!$B$2:$B$51,MATCH(TRIM(C180),'02_REFERENTIEL_CLIENTS'!$A$2:$A$51,0)),"Non trouvé")</x:f>
        <x:v>Grands comptes</x:v>
      </x:c>
      <x:c r="Q180" t="str">
        <x:f>IFERROR(INDEX('02_REFERENTIEL_CLIENTS'!$C$2:$C$51,MATCH(TRIM(C180),'02_REFERENTIEL_CLIENTS'!$A$2:$A$51,0)),"Non trouvé")</x:f>
        <x:v>France</x:v>
      </x:c>
      <x:c r="R180" t="str">
        <x:f>IF(OR(F180&lt;=0,G180&lt;0,G180&gt;F180,N180&lt;0,P180="Non trouvé"),"À vérifier","OK")</x:f>
        <x:v>OK</x:v>
      </x:c>
    </x:row>
    <x:row r="181">
      <x:c r="A181" t="str">
        <x:v>DV-2024-00180</x:v>
      </x:c>
      <x:c r="B181" s="16" t="n">
        <x:v>45491</x:v>
      </x:c>
      <x:c r="C181" t="str">
        <x:v>Client 37</x:v>
      </x:c>
      <x:c r="D181" t="str">
        <x:v>Fret maritime</x:v>
      </x:c>
      <x:c r="E181" t="str">
        <x:v>Pôle A</x:v>
      </x:c>
      <x:c r="F181" s="18" t="n">
        <x:v>9167.73</x:v>
      </x:c>
      <x:c r="G181" s="18" t="n">
        <x:v>0</x:v>
      </x:c>
      <x:c r="H181" t="str">
        <x:v>Client 37</x:v>
      </x:c>
      <x:c r="I181" s="16"/>
      <x:c r="J181" t="n">
        <x:f>YEAR(B181)</x:f>
        <x:v>2024</x:v>
      </x:c>
      <x:c r="K181" s="20" t="n">
        <x:f>DATE(YEAR(B181),MONTH(B181),1)</x:f>
        <x:v>45474</x:v>
      </x:c>
      <x:c r="L181" s="18" t="n">
        <x:f>F181-G181</x:f>
        <x:v>9167.73</x:v>
      </x:c>
      <x:c r="M181" t="str">
        <x:f>IF(L181&lt;=0,"Payée",IF(G181=0,"Impayée","Partielle"))</x:f>
        <x:v>Impayée</x:v>
      </x:c>
      <x:c r="N181" t="str">
        <x:f>IF(I181="","",I181-B181)</x:f>
      </x:c>
      <x:c r="O181" t="str">
        <x:f>IF(TRIM(C181)&lt;&gt;TRIM(H181),"Oui","Non")</x:f>
        <x:v>Non</x:v>
      </x:c>
      <x:c r="P181" t="str">
        <x:f>IFERROR(INDEX('02_REFERENTIEL_CLIENTS'!$B$2:$B$51,MATCH(TRIM(C181),'02_REFERENTIEL_CLIENTS'!$A$2:$A$51,0)),"Non trouvé")</x:f>
        <x:v>Grands comptes</x:v>
      </x:c>
      <x:c r="Q181" t="str">
        <x:f>IFERROR(INDEX('02_REFERENTIEL_CLIENTS'!$C$2:$C$51,MATCH(TRIM(C181),'02_REFERENTIEL_CLIENTS'!$A$2:$A$51,0)),"Non trouvé")</x:f>
        <x:v>France</x:v>
      </x:c>
      <x:c r="R181" t="str">
        <x:f>IF(OR(F181&lt;=0,G181&lt;0,G181&gt;F181,N181&lt;0,P181="Non trouvé"),"À vérifier","OK")</x:f>
        <x:v>OK</x:v>
      </x:c>
    </x:row>
    <x:row r="182">
      <x:c r="A182" t="str">
        <x:v>DV-2025-00181</x:v>
      </x:c>
      <x:c r="B182" s="16" t="n">
        <x:v>45936</x:v>
      </x:c>
      <x:c r="C182" t="str">
        <x:v>Client 23</x:v>
      </x:c>
      <x:c r="D182" t="str">
        <x:v>Fret aérien</x:v>
      </x:c>
      <x:c r="E182" t="str">
        <x:v>Pôle D</x:v>
      </x:c>
      <x:c r="F182" s="18" t="n">
        <x:v>6752.36</x:v>
      </x:c>
      <x:c r="G182" s="18" t="n">
        <x:v>6752.36</x:v>
      </x:c>
      <x:c r="H182" t="str">
        <x:v>Client 23</x:v>
      </x:c>
      <x:c r="I182" s="16" t="n">
        <x:v>46019</x:v>
      </x:c>
      <x:c r="J182" t="n">
        <x:f>YEAR(B182)</x:f>
        <x:v>2025</x:v>
      </x:c>
      <x:c r="K182" s="20" t="n">
        <x:f>DATE(YEAR(B182),MONTH(B182),1)</x:f>
        <x:v>45931</x:v>
      </x:c>
      <x:c r="L182" s="18" t="n">
        <x:f>F182-G182</x:f>
        <x:v>0</x:v>
      </x:c>
      <x:c r="M182" t="str">
        <x:f>IF(L182&lt;=0,"Payée",IF(G182=0,"Impayée","Partielle"))</x:f>
        <x:v>Payée</x:v>
      </x:c>
      <x:c r="N182" t="n">
        <x:f>IF(I182="","",I182-B182)</x:f>
        <x:v>83</x:v>
      </x:c>
      <x:c r="O182" t="str">
        <x:f>IF(TRIM(C182)&lt;&gt;TRIM(H182),"Oui","Non")</x:f>
        <x:v>Non</x:v>
      </x:c>
      <x:c r="P182" t="str">
        <x:f>IFERROR(INDEX('02_REFERENTIEL_CLIENTS'!$B$2:$B$51,MATCH(TRIM(C182),'02_REFERENTIEL_CLIENTS'!$A$2:$A$51,0)),"Non trouvé")</x:f>
        <x:v>PME</x:v>
      </x:c>
      <x:c r="Q182" t="str">
        <x:f>IFERROR(INDEX('02_REFERENTIEL_CLIENTS'!$C$2:$C$51,MATCH(TRIM(C182),'02_REFERENTIEL_CLIENTS'!$A$2:$A$51,0)),"Non trouvé")</x:f>
        <x:v>Europe</x:v>
      </x:c>
      <x:c r="R182" t="str">
        <x:f>IF(OR(F182&lt;=0,G182&lt;0,G182&gt;F182,N182&lt;0,P182="Non trouvé"),"À vérifier","OK")</x:f>
        <x:v>OK</x:v>
      </x:c>
    </x:row>
    <x:row r="183">
      <x:c r="A183" t="str">
        <x:v>DV-2024-00182</x:v>
      </x:c>
      <x:c r="B183" s="16" t="n">
        <x:v>45554</x:v>
      </x:c>
      <x:c r="C183" t="str">
        <x:v>Client 17</x:v>
      </x:c>
      <x:c r="D183" t="str">
        <x:v>Fret maritime</x:v>
      </x:c>
      <x:c r="E183" t="str">
        <x:v>Pôle E</x:v>
      </x:c>
      <x:c r="F183" s="18" t="n">
        <x:v>1144.26</x:v>
      </x:c>
      <x:c r="G183" s="18" t="n">
        <x:v>1144.26</x:v>
      </x:c>
      <x:c r="H183" t="str">
        <x:v>Client 17</x:v>
      </x:c>
      <x:c r="I183" s="16" t="n">
        <x:v>45595</x:v>
      </x:c>
      <x:c r="J183" t="n">
        <x:f>YEAR(B183)</x:f>
        <x:v>2024</x:v>
      </x:c>
      <x:c r="K183" s="20" t="n">
        <x:f>DATE(YEAR(B183),MONTH(B183),1)</x:f>
        <x:v>45536</x:v>
      </x:c>
      <x:c r="L183" s="18" t="n">
        <x:f>F183-G183</x:f>
        <x:v>0</x:v>
      </x:c>
      <x:c r="M183" t="str">
        <x:f>IF(L183&lt;=0,"Payée",IF(G183=0,"Impayée","Partielle"))</x:f>
        <x:v>Payée</x:v>
      </x:c>
      <x:c r="N183" t="n">
        <x:f>IF(I183="","",I183-B183)</x:f>
        <x:v>41</x:v>
      </x:c>
      <x:c r="O183" t="str">
        <x:f>IF(TRIM(C183)&lt;&gt;TRIM(H183),"Oui","Non")</x:f>
        <x:v>Non</x:v>
      </x:c>
      <x:c r="P183" t="str">
        <x:f>IFERROR(INDEX('02_REFERENTIEL_CLIENTS'!$B$2:$B$51,MATCH(TRIM(C183),'02_REFERENTIEL_CLIENTS'!$A$2:$A$51,0)),"Non trouvé")</x:f>
        <x:v>PME</x:v>
      </x:c>
      <x:c r="Q183" t="str">
        <x:f>IFERROR(INDEX('02_REFERENTIEL_CLIENTS'!$C$2:$C$51,MATCH(TRIM(C183),'02_REFERENTIEL_CLIENTS'!$A$2:$A$51,0)),"Non trouvé")</x:f>
        <x:v>Europe</x:v>
      </x:c>
      <x:c r="R183" t="str">
        <x:f>IF(OR(F183&lt;=0,G183&lt;0,G183&gt;F183,N183&lt;0,P183="Non trouvé"),"À vérifier","OK")</x:f>
        <x:v>OK</x:v>
      </x:c>
    </x:row>
    <x:row r="184">
      <x:c r="A184" t="str">
        <x:v>DV-2024-00183</x:v>
      </x:c>
      <x:c r="B184" s="16" t="n">
        <x:v>45632</x:v>
      </x:c>
      <x:c r="C184" t="str">
        <x:v>Client 05</x:v>
      </x:c>
      <x:c r="D184" t="str">
        <x:v>Logistique</x:v>
      </x:c>
      <x:c r="E184" t="str">
        <x:v>Pôle A</x:v>
      </x:c>
      <x:c r="F184" s="18" t="n">
        <x:v>23625.86</x:v>
      </x:c>
      <x:c r="G184" s="18" t="n">
        <x:v>15513.86</x:v>
      </x:c>
      <x:c r="H184" t="str">
        <x:v>Client 05</x:v>
      </x:c>
      <x:c r="I184" s="16" t="n">
        <x:v>45709</x:v>
      </x:c>
      <x:c r="J184" t="n">
        <x:f>YEAR(B184)</x:f>
        <x:v>2024</x:v>
      </x:c>
      <x:c r="K184" s="20" t="n">
        <x:f>DATE(YEAR(B184),MONTH(B184),1)</x:f>
        <x:v>45627</x:v>
      </x:c>
      <x:c r="L184" s="18" t="n">
        <x:f>F184-G184</x:f>
        <x:v>8112</x:v>
      </x:c>
      <x:c r="M184" t="str">
        <x:f>IF(L184&lt;=0,"Payée",IF(G184=0,"Impayée","Partielle"))</x:f>
        <x:v>Partielle</x:v>
      </x:c>
      <x:c r="N184" t="n">
        <x:f>IF(I184="","",I184-B184)</x:f>
        <x:v>77</x:v>
      </x:c>
      <x:c r="O184" t="str">
        <x:f>IF(TRIM(C184)&lt;&gt;TRIM(H184),"Oui","Non")</x:f>
        <x:v>Non</x:v>
      </x:c>
      <x:c r="P184" t="str">
        <x:f>IFERROR(INDEX('02_REFERENTIEL_CLIENTS'!$B$2:$B$51,MATCH(TRIM(C184),'02_REFERENTIEL_CLIENTS'!$A$2:$A$51,0)),"Non trouvé")</x:f>
        <x:v>PME</x:v>
      </x:c>
      <x:c r="Q184" t="str">
        <x:f>IFERROR(INDEX('02_REFERENTIEL_CLIENTS'!$C$2:$C$51,MATCH(TRIM(C184),'02_REFERENTIEL_CLIENTS'!$A$2:$A$51,0)),"Non trouvé")</x:f>
        <x:v>Europe</x:v>
      </x:c>
      <x:c r="R184" t="str">
        <x:f>IF(OR(F184&lt;=0,G184&lt;0,G184&gt;F184,N184&lt;0,P184="Non trouvé"),"À vérifier","OK")</x:f>
        <x:v>OK</x:v>
      </x:c>
    </x:row>
    <x:row r="185">
      <x:c r="A185" t="str">
        <x:v>DV-2025-00184</x:v>
      </x:c>
      <x:c r="B185" s="16" t="n">
        <x:v>45662</x:v>
      </x:c>
      <x:c r="C185" t="str">
        <x:v>Client 45</x:v>
      </x:c>
      <x:c r="D185" t="str">
        <x:v>Fret aérien</x:v>
      </x:c>
      <x:c r="E185" t="str">
        <x:v>Pôle D</x:v>
      </x:c>
      <x:c r="F185" s="18" t="n">
        <x:v>1097.48</x:v>
      </x:c>
      <x:c r="G185" s="18" t="n">
        <x:v>1097.48</x:v>
      </x:c>
      <x:c r="H185" t="str">
        <x:v>Client 45</x:v>
      </x:c>
      <x:c r="I185" s="16" t="n">
        <x:v>45694</x:v>
      </x:c>
      <x:c r="J185" t="n">
        <x:f>YEAR(B185)</x:f>
        <x:v>2025</x:v>
      </x:c>
      <x:c r="K185" s="20" t="n">
        <x:f>DATE(YEAR(B185),MONTH(B185),1)</x:f>
        <x:v>45658</x:v>
      </x:c>
      <x:c r="L185" s="18" t="n">
        <x:f>F185-G185</x:f>
        <x:v>0</x:v>
      </x:c>
      <x:c r="M185" t="str">
        <x:f>IF(L185&lt;=0,"Payée",IF(G185=0,"Impayée","Partielle"))</x:f>
        <x:v>Payée</x:v>
      </x:c>
      <x:c r="N185" t="n">
        <x:f>IF(I185="","",I185-B185)</x:f>
        <x:v>32</x:v>
      </x:c>
      <x:c r="O185" t="str">
        <x:f>IF(TRIM(C185)&lt;&gt;TRIM(H185),"Oui","Non")</x:f>
        <x:v>Non</x:v>
      </x:c>
      <x:c r="P185" t="str">
        <x:f>IFERROR(INDEX('02_REFERENTIEL_CLIENTS'!$B$2:$B$51,MATCH(TRIM(C185),'02_REFERENTIEL_CLIENTS'!$A$2:$A$51,0)),"Non trouvé")</x:f>
        <x:v>Particuliers</x:v>
      </x:c>
      <x:c r="Q185" t="str">
        <x:f>IFERROR(INDEX('02_REFERENTIEL_CLIENTS'!$C$2:$C$51,MATCH(TRIM(C185),'02_REFERENTIEL_CLIENTS'!$A$2:$A$51,0)),"Non trouvé")</x:f>
        <x:v>International</x:v>
      </x:c>
      <x:c r="R185" t="str">
        <x:f>IF(OR(F185&lt;=0,G185&lt;0,G185&gt;F185,N185&lt;0,P185="Non trouvé"),"À vérifier","OK")</x:f>
        <x:v>OK</x:v>
      </x:c>
    </x:row>
    <x:row r="186">
      <x:c r="A186" t="str">
        <x:v>DV-2025-00185</x:v>
      </x:c>
      <x:c r="B186" s="16" t="n">
        <x:v>45847</x:v>
      </x:c>
      <x:c r="C186" t="str">
        <x:v>Client 27</x:v>
      </x:c>
      <x:c r="D186" t="str">
        <x:v>Logistique</x:v>
      </x:c>
      <x:c r="E186" t="str">
        <x:v>Pôle C</x:v>
      </x:c>
      <x:c r="F186" s="18" t="n">
        <x:v>3465.93</x:v>
      </x:c>
      <x:c r="G186" s="18" t="n">
        <x:v>3465.93</x:v>
      </x:c>
      <x:c r="H186" t="str">
        <x:v>Client 27</x:v>
      </x:c>
      <x:c r="I186" s="16" t="n">
        <x:v>45869</x:v>
      </x:c>
      <x:c r="J186" t="n">
        <x:f>YEAR(B186)</x:f>
        <x:v>2025</x:v>
      </x:c>
      <x:c r="K186" s="20" t="n">
        <x:f>DATE(YEAR(B186),MONTH(B186),1)</x:f>
        <x:v>45839</x:v>
      </x:c>
      <x:c r="L186" s="18" t="n">
        <x:f>F186-G186</x:f>
        <x:v>0</x:v>
      </x:c>
      <x:c r="M186" t="str">
        <x:f>IF(L186&lt;=0,"Payée",IF(G186=0,"Impayée","Partielle"))</x:f>
        <x:v>Payée</x:v>
      </x:c>
      <x:c r="N186" t="n">
        <x:f>IF(I186="","",I186-B186)</x:f>
        <x:v>22</x:v>
      </x:c>
      <x:c r="O186" t="str">
        <x:f>IF(TRIM(C186)&lt;&gt;TRIM(H186),"Oui","Non")</x:f>
        <x:v>Non</x:v>
      </x:c>
      <x:c r="P186" t="str">
        <x:f>IFERROR(INDEX('02_REFERENTIEL_CLIENTS'!$B$2:$B$51,MATCH(TRIM(C186),'02_REFERENTIEL_CLIENTS'!$A$2:$A$51,0)),"Non trouvé")</x:f>
        <x:v>Particuliers</x:v>
      </x:c>
      <x:c r="Q186" t="str">
        <x:f>IFERROR(INDEX('02_REFERENTIEL_CLIENTS'!$C$2:$C$51,MATCH(TRIM(C186),'02_REFERENTIEL_CLIENTS'!$A$2:$A$51,0)),"Non trouvé")</x:f>
        <x:v>International</x:v>
      </x:c>
      <x:c r="R186" t="str">
        <x:f>IF(OR(F186&lt;=0,G186&lt;0,G186&gt;F186,N186&lt;0,P186="Non trouvé"),"À vérifier","OK")</x:f>
        <x:v>OK</x:v>
      </x:c>
    </x:row>
    <x:row r="187">
      <x:c r="A187" t="str">
        <x:v>DV-2026-00186</x:v>
      </x:c>
      <x:c r="B187" s="16" t="n">
        <x:v>46261</x:v>
      </x:c>
      <x:c r="C187" t="str">
        <x:v>Client 19</x:v>
      </x:c>
      <x:c r="D187" t="str">
        <x:v>Fret maritime</x:v>
      </x:c>
      <x:c r="E187" t="str">
        <x:v>Pôle A</x:v>
      </x:c>
      <x:c r="F187" s="18" t="n">
        <x:v>12356.35</x:v>
      </x:c>
      <x:c r="G187" s="18" t="n">
        <x:v>12356.35</x:v>
      </x:c>
      <x:c r="H187" t="str">
        <x:v>Client 19</x:v>
      </x:c>
      <x:c r="I187" s="16" t="n">
        <x:v>46326</x:v>
      </x:c>
      <x:c r="J187" t="n">
        <x:f>YEAR(B187)</x:f>
        <x:v>2026</x:v>
      </x:c>
      <x:c r="K187" s="20" t="n">
        <x:f>DATE(YEAR(B187),MONTH(B187),1)</x:f>
        <x:v>46235</x:v>
      </x:c>
      <x:c r="L187" s="18" t="n">
        <x:f>F187-G187</x:f>
        <x:v>0</x:v>
      </x:c>
      <x:c r="M187" t="str">
        <x:f>IF(L187&lt;=0,"Payée",IF(G187=0,"Impayée","Partielle"))</x:f>
        <x:v>Payée</x:v>
      </x:c>
      <x:c r="N187" t="n">
        <x:f>IF(I187="","",I187-B187)</x:f>
        <x:v>65</x:v>
      </x:c>
      <x:c r="O187" t="str">
        <x:f>IF(TRIM(C187)&lt;&gt;TRIM(H187),"Oui","Non")</x:f>
        <x:v>Non</x:v>
      </x:c>
      <x:c r="P187" t="str">
        <x:f>IFERROR(INDEX('02_REFERENTIEL_CLIENTS'!$B$2:$B$51,MATCH(TRIM(C187),'02_REFERENTIEL_CLIENTS'!$A$2:$A$51,0)),"Non trouvé")</x:f>
        <x:v>Grands comptes</x:v>
      </x:c>
      <x:c r="Q187" t="str">
        <x:f>IFERROR(INDEX('02_REFERENTIEL_CLIENTS'!$C$2:$C$51,MATCH(TRIM(C187),'02_REFERENTIEL_CLIENTS'!$A$2:$A$51,0)),"Non trouvé")</x:f>
        <x:v>France</x:v>
      </x:c>
      <x:c r="R187" t="str">
        <x:f>IF(OR(F187&lt;=0,G187&lt;0,G187&gt;F187,N187&lt;0,P187="Non trouvé"),"À vérifier","OK")</x:f>
        <x:v>OK</x:v>
      </x:c>
    </x:row>
    <x:row r="188">
      <x:c r="A188" t="str">
        <x:v>DV-2024-00187</x:v>
      </x:c>
      <x:c r="B188" s="16" t="n">
        <x:v>45572</x:v>
      </x:c>
      <x:c r="C188" t="str">
        <x:v>Client 14</x:v>
      </x:c>
      <x:c r="D188" t="str">
        <x:v>Fret maritime</x:v>
      </x:c>
      <x:c r="E188" t="str">
        <x:v>Pôle E</x:v>
      </x:c>
      <x:c r="F188" s="18" t="n">
        <x:v>915.12</x:v>
      </x:c>
      <x:c r="G188" s="18" t="n">
        <x:v>331.67</x:v>
      </x:c>
      <x:c r="H188" t="str">
        <x:v>Client 14</x:v>
      </x:c>
      <x:c r="I188" s="16" t="n">
        <x:v>45606</x:v>
      </x:c>
      <x:c r="J188" t="n">
        <x:f>YEAR(B188)</x:f>
        <x:v>2024</x:v>
      </x:c>
      <x:c r="K188" s="20" t="n">
        <x:f>DATE(YEAR(B188),MONTH(B188),1)</x:f>
        <x:v>45566</x:v>
      </x:c>
      <x:c r="L188" s="18" t="n">
        <x:f>F188-G188</x:f>
        <x:v>583.45</x:v>
      </x:c>
      <x:c r="M188" t="str">
        <x:f>IF(L188&lt;=0,"Payée",IF(G188=0,"Impayée","Partielle"))</x:f>
        <x:v>Partielle</x:v>
      </x:c>
      <x:c r="N188" t="n">
        <x:f>IF(I188="","",I188-B188)</x:f>
        <x:v>34</x:v>
      </x:c>
      <x:c r="O188" t="str">
        <x:f>IF(TRIM(C188)&lt;&gt;TRIM(H188),"Oui","Non")</x:f>
        <x:v>Non</x:v>
      </x:c>
      <x:c r="P188" t="str">
        <x:f>IFERROR(INDEX('02_REFERENTIEL_CLIENTS'!$B$2:$B$51,MATCH(TRIM(C188),'02_REFERENTIEL_CLIENTS'!$A$2:$A$51,0)),"Non trouvé")</x:f>
        <x:v>PME</x:v>
      </x:c>
      <x:c r="Q188" t="str">
        <x:f>IFERROR(INDEX('02_REFERENTIEL_CLIENTS'!$C$2:$C$51,MATCH(TRIM(C188),'02_REFERENTIEL_CLIENTS'!$A$2:$A$51,0)),"Non trouvé")</x:f>
        <x:v>Europe</x:v>
      </x:c>
      <x:c r="R188" t="str">
        <x:f>IF(OR(F188&lt;=0,G188&lt;0,G188&gt;F188,N188&lt;0,P188="Non trouvé"),"À vérifier","OK")</x:f>
        <x:v>OK</x:v>
      </x:c>
    </x:row>
    <x:row r="189">
      <x:c r="A189" t="str">
        <x:v>DV-2025-00188</x:v>
      </x:c>
      <x:c r="B189" s="16" t="n">
        <x:v>46005</x:v>
      </x:c>
      <x:c r="C189" t="str">
        <x:v>Client 14</x:v>
      </x:c>
      <x:c r="D189" t="str">
        <x:v>Fret aérien</x:v>
      </x:c>
      <x:c r="E189" t="str">
        <x:v>Pôle E</x:v>
      </x:c>
      <x:c r="F189" s="18" t="n">
        <x:v>12347.4</x:v>
      </x:c>
      <x:c r="G189" s="18" t="n">
        <x:v>12347.4</x:v>
      </x:c>
      <x:c r="H189" t="str">
        <x:v>Client 14</x:v>
      </x:c>
      <x:c r="I189" s="16" t="n">
        <x:v>46052</x:v>
      </x:c>
      <x:c r="J189" t="n">
        <x:f>YEAR(B189)</x:f>
        <x:v>2025</x:v>
      </x:c>
      <x:c r="K189" s="20" t="n">
        <x:f>DATE(YEAR(B189),MONTH(B189),1)</x:f>
        <x:v>45992</x:v>
      </x:c>
      <x:c r="L189" s="18" t="n">
        <x:f>F189-G189</x:f>
        <x:v>0</x:v>
      </x:c>
      <x:c r="M189" t="str">
        <x:f>IF(L189&lt;=0,"Payée",IF(G189=0,"Impayée","Partielle"))</x:f>
        <x:v>Payée</x:v>
      </x:c>
      <x:c r="N189" t="n">
        <x:f>IF(I189="","",I189-B189)</x:f>
        <x:v>47</x:v>
      </x:c>
      <x:c r="O189" t="str">
        <x:f>IF(TRIM(C189)&lt;&gt;TRIM(H189),"Oui","Non")</x:f>
        <x:v>Non</x:v>
      </x:c>
      <x:c r="P189" t="str">
        <x:f>IFERROR(INDEX('02_REFERENTIEL_CLIENTS'!$B$2:$B$51,MATCH(TRIM(C189),'02_REFERENTIEL_CLIENTS'!$A$2:$A$51,0)),"Non trouvé")</x:f>
        <x:v>PME</x:v>
      </x:c>
      <x:c r="Q189" t="str">
        <x:f>IFERROR(INDEX('02_REFERENTIEL_CLIENTS'!$C$2:$C$51,MATCH(TRIM(C189),'02_REFERENTIEL_CLIENTS'!$A$2:$A$51,0)),"Non trouvé")</x:f>
        <x:v>Europe</x:v>
      </x:c>
      <x:c r="R189" t="str">
        <x:f>IF(OR(F189&lt;=0,G189&lt;0,G189&gt;F189,N189&lt;0,P189="Non trouvé"),"À vérifier","OK")</x:f>
        <x:v>OK</x:v>
      </x:c>
    </x:row>
    <x:row r="190">
      <x:c r="A190" t="str">
        <x:v>DV-2025-00189</x:v>
      </x:c>
      <x:c r="B190" s="16" t="n">
        <x:v>45828</x:v>
      </x:c>
      <x:c r="C190" t="str">
        <x:v>Client 19</x:v>
      </x:c>
      <x:c r="D190" t="str">
        <x:v>Fret maritime</x:v>
      </x:c>
      <x:c r="E190" t="str">
        <x:v>Pôle D</x:v>
      </x:c>
      <x:c r="F190" s="18" t="n">
        <x:v>3935.45</x:v>
      </x:c>
      <x:c r="G190" s="18" t="n">
        <x:v>2889.48</x:v>
      </x:c>
      <x:c r="H190" t="str">
        <x:v>Client 46</x:v>
      </x:c>
      <x:c r="I190" s="16" t="n">
        <x:v>45850</x:v>
      </x:c>
      <x:c r="J190" t="n">
        <x:f>YEAR(B190)</x:f>
        <x:v>2025</x:v>
      </x:c>
      <x:c r="K190" s="20" t="n">
        <x:f>DATE(YEAR(B190),MONTH(B190),1)</x:f>
        <x:v>45809</x:v>
      </x:c>
      <x:c r="L190" s="18" t="n">
        <x:f>F190-G190</x:f>
        <x:v>1045.9699999999998</x:v>
      </x:c>
      <x:c r="M190" t="str">
        <x:f>IF(L190&lt;=0,"Payée",IF(G190=0,"Impayée","Partielle"))</x:f>
        <x:v>Partielle</x:v>
      </x:c>
      <x:c r="N190" t="n">
        <x:f>IF(I190="","",I190-B190)</x:f>
        <x:v>22</x:v>
      </x:c>
      <x:c r="O190" t="str">
        <x:f>IF(TRIM(C190)&lt;&gt;TRIM(H190),"Oui","Non")</x:f>
        <x:v>Oui</x:v>
      </x:c>
      <x:c r="P190" t="str">
        <x:f>IFERROR(INDEX('02_REFERENTIEL_CLIENTS'!$B$2:$B$51,MATCH(TRIM(C190),'02_REFERENTIEL_CLIENTS'!$A$2:$A$51,0)),"Non trouvé")</x:f>
        <x:v>Grands comptes</x:v>
      </x:c>
      <x:c r="Q190" t="str">
        <x:f>IFERROR(INDEX('02_REFERENTIEL_CLIENTS'!$C$2:$C$51,MATCH(TRIM(C190),'02_REFERENTIEL_CLIENTS'!$A$2:$A$51,0)),"Non trouvé")</x:f>
        <x:v>France</x:v>
      </x:c>
      <x:c r="R190" t="str">
        <x:f>IF(OR(F190&lt;=0,G190&lt;0,G190&gt;F190,N190&lt;0,P190="Non trouvé"),"À vérifier","OK")</x:f>
        <x:v>OK</x:v>
      </x:c>
    </x:row>
    <x:row r="191">
      <x:c r="A191" t="str">
        <x:v>DV-2026-00190</x:v>
      </x:c>
      <x:c r="B191" s="16" t="n">
        <x:v>46104</x:v>
      </x:c>
      <x:c r="C191" t="str">
        <x:v>Client 16</x:v>
      </x:c>
      <x:c r="D191" t="str">
        <x:v>Fret aérien</x:v>
      </x:c>
      <x:c r="E191" t="str">
        <x:v>Pôle B</x:v>
      </x:c>
      <x:c r="F191" s="18" t="n">
        <x:v>23116.01</x:v>
      </x:c>
      <x:c r="G191" s="18" t="n">
        <x:v>23116.01</x:v>
      </x:c>
      <x:c r="H191" t="str">
        <x:v>Client 16</x:v>
      </x:c>
      <x:c r="I191" s="16" t="n">
        <x:v>46167</x:v>
      </x:c>
      <x:c r="J191" t="n">
        <x:f>YEAR(B191)</x:f>
        <x:v>2026</x:v>
      </x:c>
      <x:c r="K191" s="20" t="n">
        <x:f>DATE(YEAR(B191),MONTH(B191),1)</x:f>
        <x:v>46082</x:v>
      </x:c>
      <x:c r="L191" s="18" t="n">
        <x:f>F191-G191</x:f>
        <x:v>0</x:v>
      </x:c>
      <x:c r="M191" t="str">
        <x:f>IF(L191&lt;=0,"Payée",IF(G191=0,"Impayée","Partielle"))</x:f>
        <x:v>Payée</x:v>
      </x:c>
      <x:c r="N191" t="n">
        <x:f>IF(I191="","",I191-B191)</x:f>
        <x:v>63</x:v>
      </x:c>
      <x:c r="O191" t="str">
        <x:f>IF(TRIM(C191)&lt;&gt;TRIM(H191),"Oui","Non")</x:f>
        <x:v>Non</x:v>
      </x:c>
      <x:c r="P191" t="str">
        <x:f>IFERROR(INDEX('02_REFERENTIEL_CLIENTS'!$B$2:$B$51,MATCH(TRIM(C191),'02_REFERENTIEL_CLIENTS'!$A$2:$A$51,0)),"Non trouvé")</x:f>
        <x:v>Grands comptes</x:v>
      </x:c>
      <x:c r="Q191" t="str">
        <x:f>IFERROR(INDEX('02_REFERENTIEL_CLIENTS'!$C$2:$C$51,MATCH(TRIM(C191),'02_REFERENTIEL_CLIENTS'!$A$2:$A$51,0)),"Non trouvé")</x:f>
        <x:v>France</x:v>
      </x:c>
      <x:c r="R191" t="str">
        <x:f>IF(OR(F191&lt;=0,G191&lt;0,G191&gt;F191,N191&lt;0,P191="Non trouvé"),"À vérifier","OK")</x:f>
        <x:v>OK</x:v>
      </x:c>
    </x:row>
    <x:row r="192">
      <x:c r="A192" t="str">
        <x:v>DV-2024-00191</x:v>
      </x:c>
      <x:c r="B192" s="16" t="n">
        <x:v>45322</x:v>
      </x:c>
      <x:c r="C192" t="str">
        <x:v>Client 13</x:v>
      </x:c>
      <x:c r="D192" t="str">
        <x:v>Fret maritime</x:v>
      </x:c>
      <x:c r="E192" t="str">
        <x:v>Pôle C</x:v>
      </x:c>
      <x:c r="F192" s="18" t="n">
        <x:v>6619.79</x:v>
      </x:c>
      <x:c r="G192" s="18" t="n">
        <x:v>6619.79</x:v>
      </x:c>
      <x:c r="H192" t="str">
        <x:v>Client 13</x:v>
      </x:c>
      <x:c r="I192" s="16" t="n">
        <x:v>45373</x:v>
      </x:c>
      <x:c r="J192" t="n">
        <x:f>YEAR(B192)</x:f>
        <x:v>2024</x:v>
      </x:c>
      <x:c r="K192" s="20" t="n">
        <x:f>DATE(YEAR(B192),MONTH(B192),1)</x:f>
        <x:v>45292</x:v>
      </x:c>
      <x:c r="L192" s="18" t="n">
        <x:f>F192-G192</x:f>
        <x:v>0</x:v>
      </x:c>
      <x:c r="M192" t="str">
        <x:f>IF(L192&lt;=0,"Payée",IF(G192=0,"Impayée","Partielle"))</x:f>
        <x:v>Payée</x:v>
      </x:c>
      <x:c r="N192" t="n">
        <x:f>IF(I192="","",I192-B192)</x:f>
        <x:v>51</x:v>
      </x:c>
      <x:c r="O192" t="str">
        <x:f>IF(TRIM(C192)&lt;&gt;TRIM(H192),"Oui","Non")</x:f>
        <x:v>Non</x:v>
      </x:c>
      <x:c r="P192" t="str">
        <x:f>IFERROR(INDEX('02_REFERENTIEL_CLIENTS'!$B$2:$B$51,MATCH(TRIM(C192),'02_REFERENTIEL_CLIENTS'!$A$2:$A$51,0)),"Non trouvé")</x:f>
        <x:v>Grands comptes</x:v>
      </x:c>
      <x:c r="Q192" t="str">
        <x:f>IFERROR(INDEX('02_REFERENTIEL_CLIENTS'!$C$2:$C$51,MATCH(TRIM(C192),'02_REFERENTIEL_CLIENTS'!$A$2:$A$51,0)),"Non trouvé")</x:f>
        <x:v>France</x:v>
      </x:c>
      <x:c r="R192" t="str">
        <x:f>IF(OR(F192&lt;=0,G192&lt;0,G192&gt;F192,N192&lt;0,P192="Non trouvé"),"À vérifier","OK")</x:f>
        <x:v>OK</x:v>
      </x:c>
    </x:row>
    <x:row r="193">
      <x:c r="A193" t="str">
        <x:v>DV-2024-00192</x:v>
      </x:c>
      <x:c r="B193" s="16" t="n">
        <x:v>45428</x:v>
      </x:c>
      <x:c r="C193" t="str">
        <x:v>Client 48</x:v>
      </x:c>
      <x:c r="D193" t="str">
        <x:v>Fret aérien</x:v>
      </x:c>
      <x:c r="E193" t="str">
        <x:v>Pôle B</x:v>
      </x:c>
      <x:c r="F193" s="18" t="n">
        <x:v>23392.78</x:v>
      </x:c>
      <x:c r="G193" s="18" t="n">
        <x:v>23392.78</x:v>
      </x:c>
      <x:c r="H193" t="str">
        <x:v>Client 48</x:v>
      </x:c>
      <x:c r="I193" s="16" t="n">
        <x:v>45503</x:v>
      </x:c>
      <x:c r="J193" t="n">
        <x:f>YEAR(B193)</x:f>
        <x:v>2024</x:v>
      </x:c>
      <x:c r="K193" s="20" t="n">
        <x:f>DATE(YEAR(B193),MONTH(B193),1)</x:f>
        <x:v>45413</x:v>
      </x:c>
      <x:c r="L193" s="18" t="n">
        <x:f>F193-G193</x:f>
        <x:v>0</x:v>
      </x:c>
      <x:c r="M193" t="str">
        <x:f>IF(L193&lt;=0,"Payée",IF(G193=0,"Impayée","Partielle"))</x:f>
        <x:v>Payée</x:v>
      </x:c>
      <x:c r="N193" t="n">
        <x:f>IF(I193="","",I193-B193)</x:f>
        <x:v>75</x:v>
      </x:c>
      <x:c r="O193" t="str">
        <x:f>IF(TRIM(C193)&lt;&gt;TRIM(H193),"Oui","Non")</x:f>
        <x:v>Non</x:v>
      </x:c>
      <x:c r="P193" t="str">
        <x:f>IFERROR(INDEX('02_REFERENTIEL_CLIENTS'!$B$2:$B$51,MATCH(TRIM(C193),'02_REFERENTIEL_CLIENTS'!$A$2:$A$51,0)),"Non trouvé")</x:f>
        <x:v>Particuliers</x:v>
      </x:c>
      <x:c r="Q193" t="str">
        <x:f>IFERROR(INDEX('02_REFERENTIEL_CLIENTS'!$C$2:$C$51,MATCH(TRIM(C193),'02_REFERENTIEL_CLIENTS'!$A$2:$A$51,0)),"Non trouvé")</x:f>
        <x:v>International</x:v>
      </x:c>
      <x:c r="R193" t="str">
        <x:f>IF(OR(F193&lt;=0,G193&lt;0,G193&gt;F193,N193&lt;0,P193="Non trouvé"),"À vérifier","OK")</x:f>
        <x:v>OK</x:v>
      </x:c>
    </x:row>
    <x:row r="194">
      <x:c r="A194" t="str">
        <x:v>DV-2024-00193</x:v>
      </x:c>
      <x:c r="B194" s="16" t="n">
        <x:v>45541</x:v>
      </x:c>
      <x:c r="C194" t="str">
        <x:v>Client 10</x:v>
      </x:c>
      <x:c r="D194" t="str">
        <x:v>Fret maritime</x:v>
      </x:c>
      <x:c r="E194" t="str">
        <x:v>Pôle C</x:v>
      </x:c>
      <x:c r="F194" s="18" t="n">
        <x:v>9477.19</x:v>
      </x:c>
      <x:c r="G194" s="18" t="n">
        <x:v>9477.19</x:v>
      </x:c>
      <x:c r="H194" t="str">
        <x:v>Client 09</x:v>
      </x:c>
      <x:c r="I194" s="16" t="n">
        <x:v>45569</x:v>
      </x:c>
      <x:c r="J194" t="n">
        <x:f>YEAR(B194)</x:f>
        <x:v>2024</x:v>
      </x:c>
      <x:c r="K194" s="20" t="n">
        <x:f>DATE(YEAR(B194),MONTH(B194),1)</x:f>
        <x:v>45536</x:v>
      </x:c>
      <x:c r="L194" s="18" t="n">
        <x:f>F194-G194</x:f>
        <x:v>0</x:v>
      </x:c>
      <x:c r="M194" t="str">
        <x:f>IF(L194&lt;=0,"Payée",IF(G194=0,"Impayée","Partielle"))</x:f>
        <x:v>Payée</x:v>
      </x:c>
      <x:c r="N194" t="n">
        <x:f>IF(I194="","",I194-B194)</x:f>
        <x:v>28</x:v>
      </x:c>
      <x:c r="O194" t="str">
        <x:f>IF(TRIM(C194)&lt;&gt;TRIM(H194),"Oui","Non")</x:f>
        <x:v>Oui</x:v>
      </x:c>
      <x:c r="P194" t="str">
        <x:f>IFERROR(INDEX('02_REFERENTIEL_CLIENTS'!$B$2:$B$51,MATCH(TRIM(C194),'02_REFERENTIEL_CLIENTS'!$A$2:$A$51,0)),"Non trouvé")</x:f>
        <x:v>Grands comptes</x:v>
      </x:c>
      <x:c r="Q194" t="str">
        <x:f>IFERROR(INDEX('02_REFERENTIEL_CLIENTS'!$C$2:$C$51,MATCH(TRIM(C194),'02_REFERENTIEL_CLIENTS'!$A$2:$A$51,0)),"Non trouvé")</x:f>
        <x:v>France</x:v>
      </x:c>
      <x:c r="R194" t="str">
        <x:f>IF(OR(F194&lt;=0,G194&lt;0,G194&gt;F194,N194&lt;0,P194="Non trouvé"),"À vérifier","OK")</x:f>
        <x:v>OK</x:v>
      </x:c>
    </x:row>
    <x:row r="195">
      <x:c r="A195" t="str">
        <x:v>DV-2026-00194</x:v>
      </x:c>
      <x:c r="B195" s="16" t="n">
        <x:v>46164</x:v>
      </x:c>
      <x:c r="C195" t="str">
        <x:v>Client 10</x:v>
      </x:c>
      <x:c r="D195" t="str">
        <x:v>Logistique</x:v>
      </x:c>
      <x:c r="E195" t="str">
        <x:v>Pôle A</x:v>
      </x:c>
      <x:c r="F195" s="18" t="n">
        <x:v>21107.56</x:v>
      </x:c>
      <x:c r="G195" s="18" t="n">
        <x:v>21107.56</x:v>
      </x:c>
      <x:c r="H195" t="str">
        <x:v>Client 10</x:v>
      </x:c>
      <x:c r="I195" s="16" t="n">
        <x:v>46250</x:v>
      </x:c>
      <x:c r="J195" t="n">
        <x:f>YEAR(B195)</x:f>
        <x:v>2026</x:v>
      </x:c>
      <x:c r="K195" s="20" t="n">
        <x:f>DATE(YEAR(B195),MONTH(B195),1)</x:f>
        <x:v>46143</x:v>
      </x:c>
      <x:c r="L195" s="18" t="n">
        <x:f>F195-G195</x:f>
        <x:v>0</x:v>
      </x:c>
      <x:c r="M195" t="str">
        <x:f>IF(L195&lt;=0,"Payée",IF(G195=0,"Impayée","Partielle"))</x:f>
        <x:v>Payée</x:v>
      </x:c>
      <x:c r="N195" t="n">
        <x:f>IF(I195="","",I195-B195)</x:f>
        <x:v>86</x:v>
      </x:c>
      <x:c r="O195" t="str">
        <x:f>IF(TRIM(C195)&lt;&gt;TRIM(H195),"Oui","Non")</x:f>
        <x:v>Non</x:v>
      </x:c>
      <x:c r="P195" t="str">
        <x:f>IFERROR(INDEX('02_REFERENTIEL_CLIENTS'!$B$2:$B$51,MATCH(TRIM(C195),'02_REFERENTIEL_CLIENTS'!$A$2:$A$51,0)),"Non trouvé")</x:f>
        <x:v>Grands comptes</x:v>
      </x:c>
      <x:c r="Q195" t="str">
        <x:f>IFERROR(INDEX('02_REFERENTIEL_CLIENTS'!$C$2:$C$51,MATCH(TRIM(C195),'02_REFERENTIEL_CLIENTS'!$A$2:$A$51,0)),"Non trouvé")</x:f>
        <x:v>France</x:v>
      </x:c>
      <x:c r="R195" t="str">
        <x:f>IF(OR(F195&lt;=0,G195&lt;0,G195&gt;F195,N195&lt;0,P195="Non trouvé"),"À vérifier","OK")</x:f>
        <x:v>OK</x:v>
      </x:c>
    </x:row>
    <x:row r="196">
      <x:c r="A196" t="str">
        <x:v>DV-2026-00195</x:v>
      </x:c>
      <x:c r="B196" s="16" t="n">
        <x:v>46095</x:v>
      </x:c>
      <x:c r="C196" t="str">
        <x:v>Client 31</x:v>
      </x:c>
      <x:c r="D196" t="str">
        <x:v>Logistique</x:v>
      </x:c>
      <x:c r="E196" t="str">
        <x:v>Pôle D</x:v>
      </x:c>
      <x:c r="F196" s="18" t="n">
        <x:v>20307.62</x:v>
      </x:c>
      <x:c r="G196" s="18" t="n">
        <x:v>0</x:v>
      </x:c>
      <x:c r="H196" t="str">
        <x:v>Client 31</x:v>
      </x:c>
      <x:c r="I196" s="16"/>
      <x:c r="J196" t="n">
        <x:f>YEAR(B196)</x:f>
        <x:v>2026</x:v>
      </x:c>
      <x:c r="K196" s="20" t="n">
        <x:f>DATE(YEAR(B196),MONTH(B196),1)</x:f>
        <x:v>46082</x:v>
      </x:c>
      <x:c r="L196" s="18" t="n">
        <x:f>F196-G196</x:f>
        <x:v>20307.62</x:v>
      </x:c>
      <x:c r="M196" t="str">
        <x:f>IF(L196&lt;=0,"Payée",IF(G196=0,"Impayée","Partielle"))</x:f>
        <x:v>Impayée</x:v>
      </x:c>
      <x:c r="N196" t="str">
        <x:f>IF(I196="","",I196-B196)</x:f>
      </x:c>
      <x:c r="O196" t="str">
        <x:f>IF(TRIM(C196)&lt;&gt;TRIM(H196),"Oui","Non")</x:f>
        <x:v>Non</x:v>
      </x:c>
      <x:c r="P196" t="str">
        <x:f>IFERROR(INDEX('02_REFERENTIEL_CLIENTS'!$B$2:$B$51,MATCH(TRIM(C196),'02_REFERENTIEL_CLIENTS'!$A$2:$A$51,0)),"Non trouvé")</x:f>
        <x:v>Grands comptes</x:v>
      </x:c>
      <x:c r="Q196" t="str">
        <x:f>IFERROR(INDEX('02_REFERENTIEL_CLIENTS'!$C$2:$C$51,MATCH(TRIM(C196),'02_REFERENTIEL_CLIENTS'!$A$2:$A$51,0)),"Non trouvé")</x:f>
        <x:v>France</x:v>
      </x:c>
      <x:c r="R196" t="str">
        <x:f>IF(OR(F196&lt;=0,G196&lt;0,G196&gt;F196,N196&lt;0,P196="Non trouvé"),"À vérifier","OK")</x:f>
        <x:v>OK</x:v>
      </x:c>
    </x:row>
    <x:row r="197">
      <x:c r="A197" t="str">
        <x:v>DV-2024-00196</x:v>
      </x:c>
      <x:c r="B197" s="16" t="n">
        <x:v>45556</x:v>
      </x:c>
      <x:c r="C197" t="str">
        <x:v>Client 44</x:v>
      </x:c>
      <x:c r="D197" t="str">
        <x:v>Fret aérien</x:v>
      </x:c>
      <x:c r="E197" t="str">
        <x:v>Pôle E</x:v>
      </x:c>
      <x:c r="F197" s="18" t="n">
        <x:v>22522.28</x:v>
      </x:c>
      <x:c r="G197" s="18" t="n">
        <x:v>22522.28</x:v>
      </x:c>
      <x:c r="H197" t="str">
        <x:v>Client 44</x:v>
      </x:c>
      <x:c r="I197" s="16" t="n">
        <x:v>45627</x:v>
      </x:c>
      <x:c r="J197" t="n">
        <x:f>YEAR(B197)</x:f>
        <x:v>2024</x:v>
      </x:c>
      <x:c r="K197" s="20" t="n">
        <x:f>DATE(YEAR(B197),MONTH(B197),1)</x:f>
        <x:v>45536</x:v>
      </x:c>
      <x:c r="L197" s="18" t="n">
        <x:f>F197-G197</x:f>
        <x:v>0</x:v>
      </x:c>
      <x:c r="M197" t="str">
        <x:f>IF(L197&lt;=0,"Payée",IF(G197=0,"Impayée","Partielle"))</x:f>
        <x:v>Payée</x:v>
      </x:c>
      <x:c r="N197" t="n">
        <x:f>IF(I197="","",I197-B197)</x:f>
        <x:v>71</x:v>
      </x:c>
      <x:c r="O197" t="str">
        <x:f>IF(TRIM(C197)&lt;&gt;TRIM(H197),"Oui","Non")</x:f>
        <x:v>Non</x:v>
      </x:c>
      <x:c r="P197" t="str">
        <x:f>IFERROR(INDEX('02_REFERENTIEL_CLIENTS'!$B$2:$B$51,MATCH(TRIM(C197),'02_REFERENTIEL_CLIENTS'!$A$2:$A$51,0)),"Non trouvé")</x:f>
        <x:v>PME</x:v>
      </x:c>
      <x:c r="Q197" t="str">
        <x:f>IFERROR(INDEX('02_REFERENTIEL_CLIENTS'!$C$2:$C$51,MATCH(TRIM(C197),'02_REFERENTIEL_CLIENTS'!$A$2:$A$51,0)),"Non trouvé")</x:f>
        <x:v>Europe</x:v>
      </x:c>
      <x:c r="R197" t="str">
        <x:f>IF(OR(F197&lt;=0,G197&lt;0,G197&gt;F197,N197&lt;0,P197="Non trouvé"),"À vérifier","OK")</x:f>
        <x:v>OK</x:v>
      </x:c>
    </x:row>
    <x:row r="198">
      <x:c r="A198" t="str">
        <x:v>DV-2025-00197</x:v>
      </x:c>
      <x:c r="B198" s="16" t="n">
        <x:v>46022</x:v>
      </x:c>
      <x:c r="C198" t="str">
        <x:v>Client 13</x:v>
      </x:c>
      <x:c r="D198" t="str">
        <x:v>Fret maritime</x:v>
      </x:c>
      <x:c r="E198" t="str">
        <x:v>Pôle A</x:v>
      </x:c>
      <x:c r="F198" s="18" t="n">
        <x:v>3925.44</x:v>
      </x:c>
      <x:c r="G198" s="18" t="n">
        <x:v>3925.44</x:v>
      </x:c>
      <x:c r="H198" t="str">
        <x:v>Client 13</x:v>
      </x:c>
      <x:c r="I198" s="16" t="n">
        <x:v>46086</x:v>
      </x:c>
      <x:c r="J198" t="n">
        <x:f>YEAR(B198)</x:f>
        <x:v>2025</x:v>
      </x:c>
      <x:c r="K198" s="20" t="n">
        <x:f>DATE(YEAR(B198),MONTH(B198),1)</x:f>
        <x:v>45992</x:v>
      </x:c>
      <x:c r="L198" s="18" t="n">
        <x:f>F198-G198</x:f>
        <x:v>0</x:v>
      </x:c>
      <x:c r="M198" t="str">
        <x:f>IF(L198&lt;=0,"Payée",IF(G198=0,"Impayée","Partielle"))</x:f>
        <x:v>Payée</x:v>
      </x:c>
      <x:c r="N198" t="n">
        <x:f>IF(I198="","",I198-B198)</x:f>
        <x:v>64</x:v>
      </x:c>
      <x:c r="O198" t="str">
        <x:f>IF(TRIM(C198)&lt;&gt;TRIM(H198),"Oui","Non")</x:f>
        <x:v>Non</x:v>
      </x:c>
      <x:c r="P198" t="str">
        <x:f>IFERROR(INDEX('02_REFERENTIEL_CLIENTS'!$B$2:$B$51,MATCH(TRIM(C198),'02_REFERENTIEL_CLIENTS'!$A$2:$A$51,0)),"Non trouvé")</x:f>
        <x:v>Grands comptes</x:v>
      </x:c>
      <x:c r="Q198" t="str">
        <x:f>IFERROR(INDEX('02_REFERENTIEL_CLIENTS'!$C$2:$C$51,MATCH(TRIM(C198),'02_REFERENTIEL_CLIENTS'!$A$2:$A$51,0)),"Non trouvé")</x:f>
        <x:v>France</x:v>
      </x:c>
      <x:c r="R198" t="str">
        <x:f>IF(OR(F198&lt;=0,G198&lt;0,G198&gt;F198,N198&lt;0,P198="Non trouvé"),"À vérifier","OK")</x:f>
        <x:v>OK</x:v>
      </x:c>
    </x:row>
    <x:row r="199">
      <x:c r="A199" t="str">
        <x:v>DV-2024-00198</x:v>
      </x:c>
      <x:c r="B199" s="16" t="n">
        <x:v>45431</x:v>
      </x:c>
      <x:c r="C199" t="str">
        <x:v>Client 06</x:v>
      </x:c>
      <x:c r="D199" t="str">
        <x:v>Fret aérien</x:v>
      </x:c>
      <x:c r="E199" t="str">
        <x:v>Pôle C</x:v>
      </x:c>
      <x:c r="F199" s="18" t="n">
        <x:v>1290.77</x:v>
      </x:c>
      <x:c r="G199" s="18" t="n">
        <x:v>1290.77</x:v>
      </x:c>
      <x:c r="H199" t="str">
        <x:v>Client 06</x:v>
      </x:c>
      <x:c r="I199" s="16" t="n">
        <x:v>45489</x:v>
      </x:c>
      <x:c r="J199" t="n">
        <x:f>YEAR(B199)</x:f>
        <x:v>2024</x:v>
      </x:c>
      <x:c r="K199" s="20" t="n">
        <x:f>DATE(YEAR(B199),MONTH(B199),1)</x:f>
        <x:v>45413</x:v>
      </x:c>
      <x:c r="L199" s="18" t="n">
        <x:f>F199-G199</x:f>
        <x:v>0</x:v>
      </x:c>
      <x:c r="M199" t="str">
        <x:f>IF(L199&lt;=0,"Payée",IF(G199=0,"Impayée","Partielle"))</x:f>
        <x:v>Payée</x:v>
      </x:c>
      <x:c r="N199" t="n">
        <x:f>IF(I199="","",I199-B199)</x:f>
        <x:v>58</x:v>
      </x:c>
      <x:c r="O199" t="str">
        <x:f>IF(TRIM(C199)&lt;&gt;TRIM(H199),"Oui","Non")</x:f>
        <x:v>Non</x:v>
      </x:c>
      <x:c r="P199" t="str">
        <x:f>IFERROR(INDEX('02_REFERENTIEL_CLIENTS'!$B$2:$B$51,MATCH(TRIM(C199),'02_REFERENTIEL_CLIENTS'!$A$2:$A$51,0)),"Non trouvé")</x:f>
        <x:v>Particuliers</x:v>
      </x:c>
      <x:c r="Q199" t="str">
        <x:f>IFERROR(INDEX('02_REFERENTIEL_CLIENTS'!$C$2:$C$51,MATCH(TRIM(C199),'02_REFERENTIEL_CLIENTS'!$A$2:$A$51,0)),"Non trouvé")</x:f>
        <x:v>International</x:v>
      </x:c>
      <x:c r="R199" t="str">
        <x:f>IF(OR(F199&lt;=0,G199&lt;0,G199&gt;F199,N199&lt;0,P199="Non trouvé"),"À vérifier","OK")</x:f>
        <x:v>OK</x:v>
      </x:c>
    </x:row>
    <x:row r="200">
      <x:c r="A200" t="str">
        <x:v>DV-2025-00199</x:v>
      </x:c>
      <x:c r="B200" s="16" t="n">
        <x:v>45887</x:v>
      </x:c>
      <x:c r="C200" t="str">
        <x:v>Client 42</x:v>
      </x:c>
      <x:c r="D200" t="str">
        <x:v>Douane</x:v>
      </x:c>
      <x:c r="E200" t="str">
        <x:v>Pôle B</x:v>
      </x:c>
      <x:c r="F200" s="18" t="n">
        <x:v>6090.85</x:v>
      </x:c>
      <x:c r="G200" s="18" t="n">
        <x:v>6090.85</x:v>
      </x:c>
      <x:c r="H200" t="str">
        <x:v>Client 42</x:v>
      </x:c>
      <x:c r="I200" s="16" t="n">
        <x:v>45981</x:v>
      </x:c>
      <x:c r="J200" t="n">
        <x:f>YEAR(B200)</x:f>
        <x:v>2025</x:v>
      </x:c>
      <x:c r="K200" s="20" t="n">
        <x:f>DATE(YEAR(B200),MONTH(B200),1)</x:f>
        <x:v>45870</x:v>
      </x:c>
      <x:c r="L200" s="18" t="n">
        <x:f>F200-G200</x:f>
        <x:v>0</x:v>
      </x:c>
      <x:c r="M200" t="str">
        <x:f>IF(L200&lt;=0,"Payée",IF(G200=0,"Impayée","Partielle"))</x:f>
        <x:v>Payée</x:v>
      </x:c>
      <x:c r="N200" t="n">
        <x:f>IF(I200="","",I200-B200)</x:f>
        <x:v>94</x:v>
      </x:c>
      <x:c r="O200" t="str">
        <x:f>IF(TRIM(C200)&lt;&gt;TRIM(H200),"Oui","Non")</x:f>
        <x:v>Non</x:v>
      </x:c>
      <x:c r="P200" t="str">
        <x:f>IFERROR(INDEX('02_REFERENTIEL_CLIENTS'!$B$2:$B$51,MATCH(TRIM(C200),'02_REFERENTIEL_CLIENTS'!$A$2:$A$51,0)),"Non trouvé")</x:f>
        <x:v>Particuliers</x:v>
      </x:c>
      <x:c r="Q200" t="str">
        <x:f>IFERROR(INDEX('02_REFERENTIEL_CLIENTS'!$C$2:$C$51,MATCH(TRIM(C200),'02_REFERENTIEL_CLIENTS'!$A$2:$A$51,0)),"Non trouvé")</x:f>
        <x:v>International</x:v>
      </x:c>
      <x:c r="R200" t="str">
        <x:f>IF(OR(F200&lt;=0,G200&lt;0,G200&gt;F200,N200&lt;0,P200="Non trouvé"),"À vérifier","OK")</x:f>
        <x:v>OK</x:v>
      </x:c>
    </x:row>
    <x:row r="201">
      <x:c r="A201" t="str">
        <x:v>DV-2026-00200</x:v>
      </x:c>
      <x:c r="B201" s="16" t="n">
        <x:v>46254</x:v>
      </x:c>
      <x:c r="C201" t="str">
        <x:v>Client 31</x:v>
      </x:c>
      <x:c r="D201" t="str">
        <x:v>Fret maritime</x:v>
      </x:c>
      <x:c r="E201" t="str">
        <x:v>Pôle A</x:v>
      </x:c>
      <x:c r="F201" s="18" t="n">
        <x:v>23270.15</x:v>
      </x:c>
      <x:c r="G201" s="18" t="n">
        <x:v>0</x:v>
      </x:c>
      <x:c r="H201" t="str">
        <x:v>Client 31</x:v>
      </x:c>
      <x:c r="I201" s="16"/>
      <x:c r="J201" t="n">
        <x:f>YEAR(B201)</x:f>
        <x:v>2026</x:v>
      </x:c>
      <x:c r="K201" s="20" t="n">
        <x:f>DATE(YEAR(B201),MONTH(B201),1)</x:f>
        <x:v>46235</x:v>
      </x:c>
      <x:c r="L201" s="18" t="n">
        <x:f>F201-G201</x:f>
        <x:v>23270.15</x:v>
      </x:c>
      <x:c r="M201" t="str">
        <x:f>IF(L201&lt;=0,"Payée",IF(G201=0,"Impayée","Partielle"))</x:f>
        <x:v>Impayée</x:v>
      </x:c>
      <x:c r="N201" t="str">
        <x:f>IF(I201="","",I201-B201)</x:f>
      </x:c>
      <x:c r="O201" t="str">
        <x:f>IF(TRIM(C201)&lt;&gt;TRIM(H201),"Oui","Non")</x:f>
        <x:v>Non</x:v>
      </x:c>
      <x:c r="P201" t="str">
        <x:f>IFERROR(INDEX('02_REFERENTIEL_CLIENTS'!$B$2:$B$51,MATCH(TRIM(C201),'02_REFERENTIEL_CLIENTS'!$A$2:$A$51,0)),"Non trouvé")</x:f>
        <x:v>Grands comptes</x:v>
      </x:c>
      <x:c r="Q201" t="str">
        <x:f>IFERROR(INDEX('02_REFERENTIEL_CLIENTS'!$C$2:$C$51,MATCH(TRIM(C201),'02_REFERENTIEL_CLIENTS'!$A$2:$A$51,0)),"Non trouvé")</x:f>
        <x:v>France</x:v>
      </x:c>
      <x:c r="R201" t="str">
        <x:f>IF(OR(F201&lt;=0,G201&lt;0,G201&gt;F201,N201&lt;0,P201="Non trouvé"),"À vérifier","OK")</x:f>
        <x:v>OK</x:v>
      </x:c>
    </x:row>
    <x:row r="202">
      <x:c r="A202" t="str">
        <x:v>DV-2024-00201</x:v>
      </x:c>
      <x:c r="B202" s="16" t="n">
        <x:v>45470</x:v>
      </x:c>
      <x:c r="C202" t="str">
        <x:v>Client 13</x:v>
      </x:c>
      <x:c r="D202" t="str">
        <x:v>Express</x:v>
      </x:c>
      <x:c r="E202" t="str">
        <x:v>Pôle E</x:v>
      </x:c>
      <x:c r="F202" s="18" t="n">
        <x:v>12527.18</x:v>
      </x:c>
      <x:c r="G202" s="18" t="n">
        <x:v>12527.18</x:v>
      </x:c>
      <x:c r="H202" t="str">
        <x:v>Client 13</x:v>
      </x:c>
      <x:c r="I202" s="16" t="n">
        <x:v>45494</x:v>
      </x:c>
      <x:c r="J202" t="n">
        <x:f>YEAR(B202)</x:f>
        <x:v>2024</x:v>
      </x:c>
      <x:c r="K202" s="20" t="n">
        <x:f>DATE(YEAR(B202),MONTH(B202),1)</x:f>
        <x:v>45444</x:v>
      </x:c>
      <x:c r="L202" s="18" t="n">
        <x:f>F202-G202</x:f>
        <x:v>0</x:v>
      </x:c>
      <x:c r="M202" t="str">
        <x:f>IF(L202&lt;=0,"Payée",IF(G202=0,"Impayée","Partielle"))</x:f>
        <x:v>Payée</x:v>
      </x:c>
      <x:c r="N202" t="n">
        <x:f>IF(I202="","",I202-B202)</x:f>
        <x:v>24</x:v>
      </x:c>
      <x:c r="O202" t="str">
        <x:f>IF(TRIM(C202)&lt;&gt;TRIM(H202),"Oui","Non")</x:f>
        <x:v>Non</x:v>
      </x:c>
      <x:c r="P202" t="str">
        <x:f>IFERROR(INDEX('02_REFERENTIEL_CLIENTS'!$B$2:$B$51,MATCH(TRIM(C202),'02_REFERENTIEL_CLIENTS'!$A$2:$A$51,0)),"Non trouvé")</x:f>
        <x:v>Grands comptes</x:v>
      </x:c>
      <x:c r="Q202" t="str">
        <x:f>IFERROR(INDEX('02_REFERENTIEL_CLIENTS'!$C$2:$C$51,MATCH(TRIM(C202),'02_REFERENTIEL_CLIENTS'!$A$2:$A$51,0)),"Non trouvé")</x:f>
        <x:v>France</x:v>
      </x:c>
      <x:c r="R202" t="str">
        <x:f>IF(OR(F202&lt;=0,G202&lt;0,G202&gt;F202,N202&lt;0,P202="Non trouvé"),"À vérifier","OK")</x:f>
        <x:v>OK</x:v>
      </x:c>
    </x:row>
    <x:row r="203">
      <x:c r="A203" t="str">
        <x:v>DV-2024-00202</x:v>
      </x:c>
      <x:c r="B203" s="16" t="n">
        <x:v>45299</x:v>
      </x:c>
      <x:c r="C203" t="str">
        <x:v>Client 27</x:v>
      </x:c>
      <x:c r="D203" t="str">
        <x:v>Express</x:v>
      </x:c>
      <x:c r="E203" t="str">
        <x:v>Pôle E</x:v>
      </x:c>
      <x:c r="F203" s="18" t="n">
        <x:v>2574.42</x:v>
      </x:c>
      <x:c r="G203" s="18" t="n">
        <x:v>2574.42</x:v>
      </x:c>
      <x:c r="H203" t="str">
        <x:v>Client 27</x:v>
      </x:c>
      <x:c r="I203" s="16" t="n">
        <x:v>45393</x:v>
      </x:c>
      <x:c r="J203" t="n">
        <x:f>YEAR(B203)</x:f>
        <x:v>2024</x:v>
      </x:c>
      <x:c r="K203" s="20" t="n">
        <x:f>DATE(YEAR(B203),MONTH(B203),1)</x:f>
        <x:v>45292</x:v>
      </x:c>
      <x:c r="L203" s="18" t="n">
        <x:f>F203-G203</x:f>
        <x:v>0</x:v>
      </x:c>
      <x:c r="M203" t="str">
        <x:f>IF(L203&lt;=0,"Payée",IF(G203=0,"Impayée","Partielle"))</x:f>
        <x:v>Payée</x:v>
      </x:c>
      <x:c r="N203" t="n">
        <x:f>IF(I203="","",I203-B203)</x:f>
        <x:v>94</x:v>
      </x:c>
      <x:c r="O203" t="str">
        <x:f>IF(TRIM(C203)&lt;&gt;TRIM(H203),"Oui","Non")</x:f>
        <x:v>Non</x:v>
      </x:c>
      <x:c r="P203" t="str">
        <x:f>IFERROR(INDEX('02_REFERENTIEL_CLIENTS'!$B$2:$B$51,MATCH(TRIM(C203),'02_REFERENTIEL_CLIENTS'!$A$2:$A$51,0)),"Non trouvé")</x:f>
        <x:v>Particuliers</x:v>
      </x:c>
      <x:c r="Q203" t="str">
        <x:f>IFERROR(INDEX('02_REFERENTIEL_CLIENTS'!$C$2:$C$51,MATCH(TRIM(C203),'02_REFERENTIEL_CLIENTS'!$A$2:$A$51,0)),"Non trouvé")</x:f>
        <x:v>International</x:v>
      </x:c>
      <x:c r="R203" t="str">
        <x:f>IF(OR(F203&lt;=0,G203&lt;0,G203&gt;F203,N203&lt;0,P203="Non trouvé"),"À vérifier","OK")</x:f>
        <x:v>OK</x:v>
      </x:c>
    </x:row>
    <x:row r="204">
      <x:c r="A204" t="str">
        <x:v>DV-2025-00203</x:v>
      </x:c>
      <x:c r="B204" s="16" t="n">
        <x:v>45922</x:v>
      </x:c>
      <x:c r="C204" t="str">
        <x:v>Client 46</x:v>
      </x:c>
      <x:c r="D204" t="str">
        <x:v>Douane</x:v>
      </x:c>
      <x:c r="E204" t="str">
        <x:v>Pôle E</x:v>
      </x:c>
      <x:c r="F204" s="18" t="n">
        <x:v>9581.09</x:v>
      </x:c>
      <x:c r="G204" s="18" t="n">
        <x:v>9581.09</x:v>
      </x:c>
      <x:c r="H204" t="str">
        <x:v>Client 46</x:v>
      </x:c>
      <x:c r="I204" s="16" t="n">
        <x:v>46012</x:v>
      </x:c>
      <x:c r="J204" t="n">
        <x:f>YEAR(B204)</x:f>
        <x:v>2025</x:v>
      </x:c>
      <x:c r="K204" s="20" t="n">
        <x:f>DATE(YEAR(B204),MONTH(B204),1)</x:f>
        <x:v>45901</x:v>
      </x:c>
      <x:c r="L204" s="18" t="n">
        <x:f>F204-G204</x:f>
        <x:v>0</x:v>
      </x:c>
      <x:c r="M204" t="str">
        <x:f>IF(L204&lt;=0,"Payée",IF(G204=0,"Impayée","Partielle"))</x:f>
        <x:v>Payée</x:v>
      </x:c>
      <x:c r="N204" t="n">
        <x:f>IF(I204="","",I204-B204)</x:f>
        <x:v>90</x:v>
      </x:c>
      <x:c r="O204" t="str">
        <x:f>IF(TRIM(C204)&lt;&gt;TRIM(H204),"Oui","Non")</x:f>
        <x:v>Non</x:v>
      </x:c>
      <x:c r="P204" t="str">
        <x:f>IFERROR(INDEX('02_REFERENTIEL_CLIENTS'!$B$2:$B$51,MATCH(TRIM(C204),'02_REFERENTIEL_CLIENTS'!$A$2:$A$51,0)),"Non trouvé")</x:f>
        <x:v>Grands comptes</x:v>
      </x:c>
      <x:c r="Q204" t="str">
        <x:f>IFERROR(INDEX('02_REFERENTIEL_CLIENTS'!$C$2:$C$51,MATCH(TRIM(C204),'02_REFERENTIEL_CLIENTS'!$A$2:$A$51,0)),"Non trouvé")</x:f>
        <x:v>France</x:v>
      </x:c>
      <x:c r="R204" t="str">
        <x:f>IF(OR(F204&lt;=0,G204&lt;0,G204&gt;F204,N204&lt;0,P204="Non trouvé"),"À vérifier","OK")</x:f>
        <x:v>OK</x:v>
      </x:c>
    </x:row>
    <x:row r="205">
      <x:c r="A205" t="str">
        <x:v>DV-2024-00204</x:v>
      </x:c>
      <x:c r="B205" s="16" t="n">
        <x:v>45506</x:v>
      </x:c>
      <x:c r="C205" t="str">
        <x:v>Client 10</x:v>
      </x:c>
      <x:c r="D205" t="str">
        <x:v>Logistique</x:v>
      </x:c>
      <x:c r="E205" t="str">
        <x:v>Pôle D</x:v>
      </x:c>
      <x:c r="F205" s="18" t="n">
        <x:v>3238.42</x:v>
      </x:c>
      <x:c r="G205" s="18" t="n">
        <x:v>3238.42</x:v>
      </x:c>
      <x:c r="H205" t="str">
        <x:v>Client 10</x:v>
      </x:c>
      <x:c r="I205" s="16" t="n">
        <x:v>45539</x:v>
      </x:c>
      <x:c r="J205" t="n">
        <x:f>YEAR(B205)</x:f>
        <x:v>2024</x:v>
      </x:c>
      <x:c r="K205" s="20" t="n">
        <x:f>DATE(YEAR(B205),MONTH(B205),1)</x:f>
        <x:v>45505</x:v>
      </x:c>
      <x:c r="L205" s="18" t="n">
        <x:f>F205-G205</x:f>
        <x:v>0</x:v>
      </x:c>
      <x:c r="M205" t="str">
        <x:f>IF(L205&lt;=0,"Payée",IF(G205=0,"Impayée","Partielle"))</x:f>
        <x:v>Payée</x:v>
      </x:c>
      <x:c r="N205" t="n">
        <x:f>IF(I205="","",I205-B205)</x:f>
        <x:v>33</x:v>
      </x:c>
      <x:c r="O205" t="str">
        <x:f>IF(TRIM(C205)&lt;&gt;TRIM(H205),"Oui","Non")</x:f>
        <x:v>Non</x:v>
      </x:c>
      <x:c r="P205" t="str">
        <x:f>IFERROR(INDEX('02_REFERENTIEL_CLIENTS'!$B$2:$B$51,MATCH(TRIM(C205),'02_REFERENTIEL_CLIENTS'!$A$2:$A$51,0)),"Non trouvé")</x:f>
        <x:v>Grands comptes</x:v>
      </x:c>
      <x:c r="Q205" t="str">
        <x:f>IFERROR(INDEX('02_REFERENTIEL_CLIENTS'!$C$2:$C$51,MATCH(TRIM(C205),'02_REFERENTIEL_CLIENTS'!$A$2:$A$51,0)),"Non trouvé")</x:f>
        <x:v>France</x:v>
      </x:c>
      <x:c r="R205" t="str">
        <x:f>IF(OR(F205&lt;=0,G205&lt;0,G205&gt;F205,N205&lt;0,P205="Non trouvé"),"À vérifier","OK")</x:f>
        <x:v>OK</x:v>
      </x:c>
    </x:row>
    <x:row r="206">
      <x:c r="A206" t="str">
        <x:v>DV-2026-00205</x:v>
      </x:c>
      <x:c r="B206" s="16" t="n">
        <x:v>46160</x:v>
      </x:c>
      <x:c r="C206" t="str">
        <x:v>Client 41</x:v>
      </x:c>
      <x:c r="D206" t="str">
        <x:v>Fret maritime</x:v>
      </x:c>
      <x:c r="E206" t="str">
        <x:v>Pôle E</x:v>
      </x:c>
      <x:c r="F206" s="18" t="n">
        <x:v>21793.53</x:v>
      </x:c>
      <x:c r="G206" s="18" t="n">
        <x:v>14672.3</x:v>
      </x:c>
      <x:c r="H206" t="str">
        <x:v>Client 41</x:v>
      </x:c>
      <x:c r="I206" s="16" t="n">
        <x:v>46212</x:v>
      </x:c>
      <x:c r="J206" t="n">
        <x:f>YEAR(B206)</x:f>
        <x:v>2026</x:v>
      </x:c>
      <x:c r="K206" s="20" t="n">
        <x:f>DATE(YEAR(B206),MONTH(B206),1)</x:f>
        <x:v>46143</x:v>
      </x:c>
      <x:c r="L206" s="18" t="n">
        <x:f>F206-G206</x:f>
        <x:v>7121.23</x:v>
      </x:c>
      <x:c r="M206" t="str">
        <x:f>IF(L206&lt;=0,"Payée",IF(G206=0,"Impayée","Partielle"))</x:f>
        <x:v>Partielle</x:v>
      </x:c>
      <x:c r="N206" t="n">
        <x:f>IF(I206="","",I206-B206)</x:f>
        <x:v>52</x:v>
      </x:c>
      <x:c r="O206" t="str">
        <x:f>IF(TRIM(C206)&lt;&gt;TRIM(H206),"Oui","Non")</x:f>
        <x:v>Non</x:v>
      </x:c>
      <x:c r="P206" t="str">
        <x:f>IFERROR(INDEX('02_REFERENTIEL_CLIENTS'!$B$2:$B$51,MATCH(TRIM(C206),'02_REFERENTIEL_CLIENTS'!$A$2:$A$51,0)),"Non trouvé")</x:f>
        <x:v>PME</x:v>
      </x:c>
      <x:c r="Q206" t="str">
        <x:f>IFERROR(INDEX('02_REFERENTIEL_CLIENTS'!$C$2:$C$51,MATCH(TRIM(C206),'02_REFERENTIEL_CLIENTS'!$A$2:$A$51,0)),"Non trouvé")</x:f>
        <x:v>Europe</x:v>
      </x:c>
      <x:c r="R206" t="str">
        <x:f>IF(OR(F206&lt;=0,G206&lt;0,G206&gt;F206,N206&lt;0,P206="Non trouvé"),"À vérifier","OK")</x:f>
        <x:v>OK</x:v>
      </x:c>
    </x:row>
    <x:row r="207">
      <x:c r="A207" t="str">
        <x:v>DV-2024-00206</x:v>
      </x:c>
      <x:c r="B207" s="16" t="n">
        <x:v>45488</x:v>
      </x:c>
      <x:c r="C207" t="str">
        <x:v>Client 38</x:v>
      </x:c>
      <x:c r="D207" t="str">
        <x:v>Fret maritime</x:v>
      </x:c>
      <x:c r="E207" t="str">
        <x:v>Pôle D</x:v>
      </x:c>
      <x:c r="F207" s="18" t="n">
        <x:v>11804.4</x:v>
      </x:c>
      <x:c r="G207" s="18" t="n">
        <x:v>9982.32</x:v>
      </x:c>
      <x:c r="H207" t="str">
        <x:v>Client 35</x:v>
      </x:c>
      <x:c r="I207" s="16" t="n">
        <x:v>45503</x:v>
      </x:c>
      <x:c r="J207" t="n">
        <x:f>YEAR(B207)</x:f>
        <x:v>2024</x:v>
      </x:c>
      <x:c r="K207" s="20" t="n">
        <x:f>DATE(YEAR(B207),MONTH(B207),1)</x:f>
        <x:v>45474</x:v>
      </x:c>
      <x:c r="L207" s="18" t="n">
        <x:f>F207-G207</x:f>
        <x:v>1822.08</x:v>
      </x:c>
      <x:c r="M207" t="str">
        <x:f>IF(L207&lt;=0,"Payée",IF(G207=0,"Impayée","Partielle"))</x:f>
        <x:v>Partielle</x:v>
      </x:c>
      <x:c r="N207" t="n">
        <x:f>IF(I207="","",I207-B207)</x:f>
        <x:v>15</x:v>
      </x:c>
      <x:c r="O207" t="str">
        <x:f>IF(TRIM(C207)&lt;&gt;TRIM(H207),"Oui","Non")</x:f>
        <x:v>Oui</x:v>
      </x:c>
      <x:c r="P207" t="str">
        <x:f>IFERROR(INDEX('02_REFERENTIEL_CLIENTS'!$B$2:$B$51,MATCH(TRIM(C207),'02_REFERENTIEL_CLIENTS'!$A$2:$A$51,0)),"Non trouvé")</x:f>
        <x:v>PME</x:v>
      </x:c>
      <x:c r="Q207" t="str">
        <x:f>IFERROR(INDEX('02_REFERENTIEL_CLIENTS'!$C$2:$C$51,MATCH(TRIM(C207),'02_REFERENTIEL_CLIENTS'!$A$2:$A$51,0)),"Non trouvé")</x:f>
        <x:v>Europe</x:v>
      </x:c>
      <x:c r="R207" t="str">
        <x:f>IF(OR(F207&lt;=0,G207&lt;0,G207&gt;F207,N207&lt;0,P207="Non trouvé"),"À vérifier","OK")</x:f>
        <x:v>OK</x:v>
      </x:c>
    </x:row>
    <x:row r="208">
      <x:c r="A208" t="str">
        <x:v>DV-2024-00207</x:v>
      </x:c>
      <x:c r="B208" s="16" t="n">
        <x:v>45595</x:v>
      </x:c>
      <x:c r="C208" t="str">
        <x:v>Client 10</x:v>
      </x:c>
      <x:c r="D208" t="str">
        <x:v>Douane</x:v>
      </x:c>
      <x:c r="E208" t="str">
        <x:v>Pôle E</x:v>
      </x:c>
      <x:c r="F208" s="18" t="n">
        <x:v>3945.63</x:v>
      </x:c>
      <x:c r="G208" s="18" t="n">
        <x:v>3945.63</x:v>
      </x:c>
      <x:c r="H208" t="str">
        <x:v>Client 10</x:v>
      </x:c>
      <x:c r="I208" s="16" t="n">
        <x:v>45633</x:v>
      </x:c>
      <x:c r="J208" t="n">
        <x:f>YEAR(B208)</x:f>
        <x:v>2024</x:v>
      </x:c>
      <x:c r="K208" s="20" t="n">
        <x:f>DATE(YEAR(B208),MONTH(B208),1)</x:f>
        <x:v>45566</x:v>
      </x:c>
      <x:c r="L208" s="18" t="n">
        <x:f>F208-G208</x:f>
        <x:v>0</x:v>
      </x:c>
      <x:c r="M208" t="str">
        <x:f>IF(L208&lt;=0,"Payée",IF(G208=0,"Impayée","Partielle"))</x:f>
        <x:v>Payée</x:v>
      </x:c>
      <x:c r="N208" t="n">
        <x:f>IF(I208="","",I208-B208)</x:f>
        <x:v>38</x:v>
      </x:c>
      <x:c r="O208" t="str">
        <x:f>IF(TRIM(C208)&lt;&gt;TRIM(H208),"Oui","Non")</x:f>
        <x:v>Non</x:v>
      </x:c>
      <x:c r="P208" t="str">
        <x:f>IFERROR(INDEX('02_REFERENTIEL_CLIENTS'!$B$2:$B$51,MATCH(TRIM(C208),'02_REFERENTIEL_CLIENTS'!$A$2:$A$51,0)),"Non trouvé")</x:f>
        <x:v>Grands comptes</x:v>
      </x:c>
      <x:c r="Q208" t="str">
        <x:f>IFERROR(INDEX('02_REFERENTIEL_CLIENTS'!$C$2:$C$51,MATCH(TRIM(C208),'02_REFERENTIEL_CLIENTS'!$A$2:$A$51,0)),"Non trouvé")</x:f>
        <x:v>France</x:v>
      </x:c>
      <x:c r="R208" t="str">
        <x:f>IF(OR(F208&lt;=0,G208&lt;0,G208&gt;F208,N208&lt;0,P208="Non trouvé"),"À vérifier","OK")</x:f>
        <x:v>OK</x:v>
      </x:c>
    </x:row>
    <x:row r="209">
      <x:c r="A209" t="str">
        <x:v>DV-2026-00208</x:v>
      </x:c>
      <x:c r="B209" s="16" t="n">
        <x:v>46172</x:v>
      </x:c>
      <x:c r="C209" t="str">
        <x:v>Client 03</x:v>
      </x:c>
      <x:c r="D209" t="str">
        <x:v>Fret aérien</x:v>
      </x:c>
      <x:c r="E209" t="str">
        <x:v>Pôle E</x:v>
      </x:c>
      <x:c r="F209" s="18" t="n">
        <x:v>5344.07</x:v>
      </x:c>
      <x:c r="G209" s="18" t="n">
        <x:v>5344.07</x:v>
      </x:c>
      <x:c r="H209" t="str">
        <x:v>Client 23</x:v>
      </x:c>
      <x:c r="I209" s="16" t="n">
        <x:v>46266</x:v>
      </x:c>
      <x:c r="J209" t="n">
        <x:f>YEAR(B209)</x:f>
        <x:v>2026</x:v>
      </x:c>
      <x:c r="K209" s="20" t="n">
        <x:f>DATE(YEAR(B209),MONTH(B209),1)</x:f>
        <x:v>46143</x:v>
      </x:c>
      <x:c r="L209" s="18" t="n">
        <x:f>F209-G209</x:f>
        <x:v>0</x:v>
      </x:c>
      <x:c r="M209" t="str">
        <x:f>IF(L209&lt;=0,"Payée",IF(G209=0,"Impayée","Partielle"))</x:f>
        <x:v>Payée</x:v>
      </x:c>
      <x:c r="N209" t="n">
        <x:f>IF(I209="","",I209-B209)</x:f>
        <x:v>94</x:v>
      </x:c>
      <x:c r="O209" t="str">
        <x:f>IF(TRIM(C209)&lt;&gt;TRIM(H209),"Oui","Non")</x:f>
        <x:v>Oui</x:v>
      </x:c>
      <x:c r="P209" t="str">
        <x:f>IFERROR(INDEX('02_REFERENTIEL_CLIENTS'!$B$2:$B$51,MATCH(TRIM(C209),'02_REFERENTIEL_CLIENTS'!$A$2:$A$51,0)),"Non trouvé")</x:f>
        <x:v>Particuliers</x:v>
      </x:c>
      <x:c r="Q209" t="str">
        <x:f>IFERROR(INDEX('02_REFERENTIEL_CLIENTS'!$C$2:$C$51,MATCH(TRIM(C209),'02_REFERENTIEL_CLIENTS'!$A$2:$A$51,0)),"Non trouvé")</x:f>
        <x:v>International</x:v>
      </x:c>
      <x:c r="R209" t="str">
        <x:f>IF(OR(F209&lt;=0,G209&lt;0,G209&gt;F209,N209&lt;0,P209="Non trouvé"),"À vérifier","OK")</x:f>
        <x:v>OK</x:v>
      </x:c>
    </x:row>
    <x:row r="210">
      <x:c r="A210" t="str">
        <x:v>DV-2026-00209</x:v>
      </x:c>
      <x:c r="B210" s="16" t="n">
        <x:v>46029</x:v>
      </x:c>
      <x:c r="C210" t="str">
        <x:v>Client 02</x:v>
      </x:c>
      <x:c r="D210" t="str">
        <x:v>Fret aérien</x:v>
      </x:c>
      <x:c r="E210" t="str">
        <x:v>Pôle E</x:v>
      </x:c>
      <x:c r="F210" s="18" t="n">
        <x:v>13450.66</x:v>
      </x:c>
      <x:c r="G210" s="18" t="n">
        <x:v>13450.66</x:v>
      </x:c>
      <x:c r="H210" t="str">
        <x:v>Client 02</x:v>
      </x:c>
      <x:c r="I210" s="16" t="n">
        <x:v>46121</x:v>
      </x:c>
      <x:c r="J210" t="n">
        <x:f>YEAR(B210)</x:f>
        <x:v>2026</x:v>
      </x:c>
      <x:c r="K210" s="20" t="n">
        <x:f>DATE(YEAR(B210),MONTH(B210),1)</x:f>
        <x:v>46023</x:v>
      </x:c>
      <x:c r="L210" s="18" t="n">
        <x:f>F210-G210</x:f>
        <x:v>0</x:v>
      </x:c>
      <x:c r="M210" t="str">
        <x:f>IF(L210&lt;=0,"Payée",IF(G210=0,"Impayée","Partielle"))</x:f>
        <x:v>Payée</x:v>
      </x:c>
      <x:c r="N210" t="n">
        <x:f>IF(I210="","",I210-B210)</x:f>
        <x:v>92</x:v>
      </x:c>
      <x:c r="O210" t="str">
        <x:f>IF(TRIM(C210)&lt;&gt;TRIM(H210),"Oui","Non")</x:f>
        <x:v>Non</x:v>
      </x:c>
      <x:c r="P210" t="str">
        <x:f>IFERROR(INDEX('02_REFERENTIEL_CLIENTS'!$B$2:$B$51,MATCH(TRIM(C210),'02_REFERENTIEL_CLIENTS'!$A$2:$A$51,0)),"Non trouvé")</x:f>
        <x:v>PME</x:v>
      </x:c>
      <x:c r="Q210" t="str">
        <x:f>IFERROR(INDEX('02_REFERENTIEL_CLIENTS'!$C$2:$C$51,MATCH(TRIM(C210),'02_REFERENTIEL_CLIENTS'!$A$2:$A$51,0)),"Non trouvé")</x:f>
        <x:v>Europe</x:v>
      </x:c>
      <x:c r="R210" t="str">
        <x:f>IF(OR(F210&lt;=0,G210&lt;0,G210&gt;F210,N210&lt;0,P210="Non trouvé"),"À vérifier","OK")</x:f>
        <x:v>OK</x:v>
      </x:c>
    </x:row>
    <x:row r="211">
      <x:c r="A211" t="str">
        <x:v>DV-2024-00210</x:v>
      </x:c>
      <x:c r="B211" s="16" t="n">
        <x:v>45419</x:v>
      </x:c>
      <x:c r="C211" t="str">
        <x:v>Client 04</x:v>
      </x:c>
      <x:c r="D211" t="str">
        <x:v>Logistique</x:v>
      </x:c>
      <x:c r="E211" t="str">
        <x:v>Pôle E</x:v>
      </x:c>
      <x:c r="F211" s="18" t="n">
        <x:v>19512.27</x:v>
      </x:c>
      <x:c r="G211" s="18" t="n">
        <x:v>8428.66</x:v>
      </x:c>
      <x:c r="H211" t="str">
        <x:v>Client 04</x:v>
      </x:c>
      <x:c r="I211" s="16" t="n">
        <x:v>45479</x:v>
      </x:c>
      <x:c r="J211" t="n">
        <x:f>YEAR(B211)</x:f>
        <x:v>2024</x:v>
      </x:c>
      <x:c r="K211" s="20" t="n">
        <x:f>DATE(YEAR(B211),MONTH(B211),1)</x:f>
        <x:v>45413</x:v>
      </x:c>
      <x:c r="L211" s="18" t="n">
        <x:f>F211-G211</x:f>
        <x:v>11083.61</x:v>
      </x:c>
      <x:c r="M211" t="str">
        <x:f>IF(L211&lt;=0,"Payée",IF(G211=0,"Impayée","Partielle"))</x:f>
        <x:v>Partielle</x:v>
      </x:c>
      <x:c r="N211" t="n">
        <x:f>IF(I211="","",I211-B211)</x:f>
        <x:v>60</x:v>
      </x:c>
      <x:c r="O211" t="str">
        <x:f>IF(TRIM(C211)&lt;&gt;TRIM(H211),"Oui","Non")</x:f>
        <x:v>Non</x:v>
      </x:c>
      <x:c r="P211" t="str">
        <x:f>IFERROR(INDEX('02_REFERENTIEL_CLIENTS'!$B$2:$B$51,MATCH(TRIM(C211),'02_REFERENTIEL_CLIENTS'!$A$2:$A$51,0)),"Non trouvé")</x:f>
        <x:v>Grands comptes</x:v>
      </x:c>
      <x:c r="Q211" t="str">
        <x:f>IFERROR(INDEX('02_REFERENTIEL_CLIENTS'!$C$2:$C$51,MATCH(TRIM(C211),'02_REFERENTIEL_CLIENTS'!$A$2:$A$51,0)),"Non trouvé")</x:f>
        <x:v>France</x:v>
      </x:c>
      <x:c r="R211" t="str">
        <x:f>IF(OR(F211&lt;=0,G211&lt;0,G211&gt;F211,N211&lt;0,P211="Non trouvé"),"À vérifier","OK")</x:f>
        <x:v>OK</x:v>
      </x:c>
    </x:row>
    <x:row r="212">
      <x:c r="A212" t="str">
        <x:v>DV-2025-00211</x:v>
      </x:c>
      <x:c r="B212" s="16" t="n">
        <x:v>45682</x:v>
      </x:c>
      <x:c r="C212" t="str">
        <x:v>Client 18</x:v>
      </x:c>
      <x:c r="D212" t="str">
        <x:v>Logistique</x:v>
      </x:c>
      <x:c r="E212" t="str">
        <x:v>Pôle E</x:v>
      </x:c>
      <x:c r="F212" s="18" t="n">
        <x:v>24317.77</x:v>
      </x:c>
      <x:c r="G212" s="18" t="n">
        <x:v>24317.77</x:v>
      </x:c>
      <x:c r="H212" t="str">
        <x:v>Client 18</x:v>
      </x:c>
      <x:c r="I212" s="16" t="n">
        <x:v>45713</x:v>
      </x:c>
      <x:c r="J212" t="n">
        <x:f>YEAR(B212)</x:f>
        <x:v>2025</x:v>
      </x:c>
      <x:c r="K212" s="20" t="n">
        <x:f>DATE(YEAR(B212),MONTH(B212),1)</x:f>
        <x:v>45658</x:v>
      </x:c>
      <x:c r="L212" s="18" t="n">
        <x:f>F212-G212</x:f>
        <x:v>0</x:v>
      </x:c>
      <x:c r="M212" t="str">
        <x:f>IF(L212&lt;=0,"Payée",IF(G212=0,"Impayée","Partielle"))</x:f>
        <x:v>Payée</x:v>
      </x:c>
      <x:c r="N212" t="n">
        <x:f>IF(I212="","",I212-B212)</x:f>
        <x:v>31</x:v>
      </x:c>
      <x:c r="O212" t="str">
        <x:f>IF(TRIM(C212)&lt;&gt;TRIM(H212),"Oui","Non")</x:f>
        <x:v>Non</x:v>
      </x:c>
      <x:c r="P212" t="str">
        <x:f>IFERROR(INDEX('02_REFERENTIEL_CLIENTS'!$B$2:$B$51,MATCH(TRIM(C212),'02_REFERENTIEL_CLIENTS'!$A$2:$A$51,0)),"Non trouvé")</x:f>
        <x:v>Particuliers</x:v>
      </x:c>
      <x:c r="Q212" t="str">
        <x:f>IFERROR(INDEX('02_REFERENTIEL_CLIENTS'!$C$2:$C$51,MATCH(TRIM(C212),'02_REFERENTIEL_CLIENTS'!$A$2:$A$51,0)),"Non trouvé")</x:f>
        <x:v>International</x:v>
      </x:c>
      <x:c r="R212" t="str">
        <x:f>IF(OR(F212&lt;=0,G212&lt;0,G212&gt;F212,N212&lt;0,P212="Non trouvé"),"À vérifier","OK")</x:f>
        <x:v>OK</x:v>
      </x:c>
    </x:row>
    <x:row r="213">
      <x:c r="A213" t="str">
        <x:v>DV-2025-00212</x:v>
      </x:c>
      <x:c r="B213" s="16" t="n">
        <x:v>45860</x:v>
      </x:c>
      <x:c r="C213" t="str">
        <x:v>Client 11</x:v>
      </x:c>
      <x:c r="D213" t="str">
        <x:v>Douane</x:v>
      </x:c>
      <x:c r="E213" t="str">
        <x:v>Pôle C</x:v>
      </x:c>
      <x:c r="F213" s="18" t="n">
        <x:v>13509.3</x:v>
      </x:c>
      <x:c r="G213" s="18" t="n">
        <x:v>10581.61</x:v>
      </x:c>
      <x:c r="H213" t="str">
        <x:v>Client 11</x:v>
      </x:c>
      <x:c r="I213" s="16" t="n">
        <x:v>45877</x:v>
      </x:c>
      <x:c r="J213" t="n">
        <x:f>YEAR(B213)</x:f>
        <x:v>2025</x:v>
      </x:c>
      <x:c r="K213" s="20" t="n">
        <x:f>DATE(YEAR(B213),MONTH(B213),1)</x:f>
        <x:v>45839</x:v>
      </x:c>
      <x:c r="L213" s="18" t="n">
        <x:f>F213-G213</x:f>
        <x:v>2927.6899999999987</x:v>
      </x:c>
      <x:c r="M213" t="str">
        <x:f>IF(L213&lt;=0,"Payée",IF(G213=0,"Impayée","Partielle"))</x:f>
        <x:v>Partielle</x:v>
      </x:c>
      <x:c r="N213" t="n">
        <x:f>IF(I213="","",I213-B213)</x:f>
        <x:v>17</x:v>
      </x:c>
      <x:c r="O213" t="str">
        <x:f>IF(TRIM(C213)&lt;&gt;TRIM(H213),"Oui","Non")</x:f>
        <x:v>Non</x:v>
      </x:c>
      <x:c r="P213" t="str">
        <x:f>IFERROR(INDEX('02_REFERENTIEL_CLIENTS'!$B$2:$B$51,MATCH(TRIM(C213),'02_REFERENTIEL_CLIENTS'!$A$2:$A$51,0)),"Non trouvé")</x:f>
        <x:v>PME</x:v>
      </x:c>
      <x:c r="Q213" t="str">
        <x:f>IFERROR(INDEX('02_REFERENTIEL_CLIENTS'!$C$2:$C$51,MATCH(TRIM(C213),'02_REFERENTIEL_CLIENTS'!$A$2:$A$51,0)),"Non trouvé")</x:f>
        <x:v>Europe</x:v>
      </x:c>
      <x:c r="R213" t="str">
        <x:f>IF(OR(F213&lt;=0,G213&lt;0,G213&gt;F213,N213&lt;0,P213="Non trouvé"),"À vérifier","OK")</x:f>
        <x:v>OK</x:v>
      </x:c>
    </x:row>
    <x:row r="214">
      <x:c r="A214" t="str">
        <x:v>DV-2024-00213</x:v>
      </x:c>
      <x:c r="B214" s="16" t="n">
        <x:v>45596</x:v>
      </x:c>
      <x:c r="C214" t="str">
        <x:v>Client 13</x:v>
      </x:c>
      <x:c r="D214" t="str">
        <x:v>Douane</x:v>
      </x:c>
      <x:c r="E214" t="str">
        <x:v>Pôle B</x:v>
      </x:c>
      <x:c r="F214" s="18" t="n">
        <x:v>2168.39</x:v>
      </x:c>
      <x:c r="G214" s="18" t="n">
        <x:v>1222.05</x:v>
      </x:c>
      <x:c r="H214" t="str">
        <x:v>Client 13</x:v>
      </x:c>
      <x:c r="I214" s="16" t="n">
        <x:v>45622</x:v>
      </x:c>
      <x:c r="J214" t="n">
        <x:f>YEAR(B214)</x:f>
        <x:v>2024</x:v>
      </x:c>
      <x:c r="K214" s="20" t="n">
        <x:f>DATE(YEAR(B214),MONTH(B214),1)</x:f>
        <x:v>45566</x:v>
      </x:c>
      <x:c r="L214" s="18" t="n">
        <x:f>F214-G214</x:f>
        <x:v>946.3399999999999</x:v>
      </x:c>
      <x:c r="M214" t="str">
        <x:f>IF(L214&lt;=0,"Payée",IF(G214=0,"Impayée","Partielle"))</x:f>
        <x:v>Partielle</x:v>
      </x:c>
      <x:c r="N214" t="n">
        <x:f>IF(I214="","",I214-B214)</x:f>
        <x:v>26</x:v>
      </x:c>
      <x:c r="O214" t="str">
        <x:f>IF(TRIM(C214)&lt;&gt;TRIM(H214),"Oui","Non")</x:f>
        <x:v>Non</x:v>
      </x:c>
      <x:c r="P214" t="str">
        <x:f>IFERROR(INDEX('02_REFERENTIEL_CLIENTS'!$B$2:$B$51,MATCH(TRIM(C214),'02_REFERENTIEL_CLIENTS'!$A$2:$A$51,0)),"Non trouvé")</x:f>
        <x:v>Grands comptes</x:v>
      </x:c>
      <x:c r="Q214" t="str">
        <x:f>IFERROR(INDEX('02_REFERENTIEL_CLIENTS'!$C$2:$C$51,MATCH(TRIM(C214),'02_REFERENTIEL_CLIENTS'!$A$2:$A$51,0)),"Non trouvé")</x:f>
        <x:v>France</x:v>
      </x:c>
      <x:c r="R214" t="str">
        <x:f>IF(OR(F214&lt;=0,G214&lt;0,G214&gt;F214,N214&lt;0,P214="Non trouvé"),"À vérifier","OK")</x:f>
        <x:v>OK</x:v>
      </x:c>
    </x:row>
    <x:row r="215">
      <x:c r="A215" t="str">
        <x:v>DV-2024-00214</x:v>
      </x:c>
      <x:c r="B215" s="16" t="n">
        <x:v>45375</x:v>
      </x:c>
      <x:c r="C215" t="str">
        <x:v>Client 48</x:v>
      </x:c>
      <x:c r="D215" t="str">
        <x:v>Douane</x:v>
      </x:c>
      <x:c r="E215" t="str">
        <x:v>Pôle C</x:v>
      </x:c>
      <x:c r="F215" s="18" t="n">
        <x:v>22589.22</x:v>
      </x:c>
      <x:c r="G215" s="18" t="n">
        <x:v>22589.22</x:v>
      </x:c>
      <x:c r="H215" t="str">
        <x:v>Client 38</x:v>
      </x:c>
      <x:c r="I215" s="16" t="n">
        <x:v>45457</x:v>
      </x:c>
      <x:c r="J215" t="n">
        <x:f>YEAR(B215)</x:f>
        <x:v>2024</x:v>
      </x:c>
      <x:c r="K215" s="20" t="n">
        <x:f>DATE(YEAR(B215),MONTH(B215),1)</x:f>
        <x:v>45352</x:v>
      </x:c>
      <x:c r="L215" s="18" t="n">
        <x:f>F215-G215</x:f>
        <x:v>0</x:v>
      </x:c>
      <x:c r="M215" t="str">
        <x:f>IF(L215&lt;=0,"Payée",IF(G215=0,"Impayée","Partielle"))</x:f>
        <x:v>Payée</x:v>
      </x:c>
      <x:c r="N215" t="n">
        <x:f>IF(I215="","",I215-B215)</x:f>
        <x:v>82</x:v>
      </x:c>
      <x:c r="O215" t="str">
        <x:f>IF(TRIM(C215)&lt;&gt;TRIM(H215),"Oui","Non")</x:f>
        <x:v>Oui</x:v>
      </x:c>
      <x:c r="P215" t="str">
        <x:f>IFERROR(INDEX('02_REFERENTIEL_CLIENTS'!$B$2:$B$51,MATCH(TRIM(C215),'02_REFERENTIEL_CLIENTS'!$A$2:$A$51,0)),"Non trouvé")</x:f>
        <x:v>Particuliers</x:v>
      </x:c>
      <x:c r="Q215" t="str">
        <x:f>IFERROR(INDEX('02_REFERENTIEL_CLIENTS'!$C$2:$C$51,MATCH(TRIM(C215),'02_REFERENTIEL_CLIENTS'!$A$2:$A$51,0)),"Non trouvé")</x:f>
        <x:v>International</x:v>
      </x:c>
      <x:c r="R215" t="str">
        <x:f>IF(OR(F215&lt;=0,G215&lt;0,G215&gt;F215,N215&lt;0,P215="Non trouvé"),"À vérifier","OK")</x:f>
        <x:v>OK</x:v>
      </x:c>
    </x:row>
    <x:row r="216">
      <x:c r="A216" t="str">
        <x:v>DV-2024-00215</x:v>
      </x:c>
      <x:c r="B216" s="16" t="n">
        <x:v>45647</x:v>
      </x:c>
      <x:c r="C216" t="str">
        <x:v>Client 21</x:v>
      </x:c>
      <x:c r="D216" t="str">
        <x:v>Fret maritime</x:v>
      </x:c>
      <x:c r="E216" t="str">
        <x:v>Pôle E</x:v>
      </x:c>
      <x:c r="F216" s="18" t="n">
        <x:v>8407.38</x:v>
      </x:c>
      <x:c r="G216" s="18" t="n">
        <x:v>8407.38</x:v>
      </x:c>
      <x:c r="H216" t="str">
        <x:v>Client 21</x:v>
      </x:c>
      <x:c r="I216" s="16" t="n">
        <x:v>45711</x:v>
      </x:c>
      <x:c r="J216" t="n">
        <x:f>YEAR(B216)</x:f>
        <x:v>2024</x:v>
      </x:c>
      <x:c r="K216" s="20" t="n">
        <x:f>DATE(YEAR(B216),MONTH(B216),1)</x:f>
        <x:v>45627</x:v>
      </x:c>
      <x:c r="L216" s="18" t="n">
        <x:f>F216-G216</x:f>
        <x:v>0</x:v>
      </x:c>
      <x:c r="M216" t="str">
        <x:f>IF(L216&lt;=0,"Payée",IF(G216=0,"Impayée","Partielle"))</x:f>
        <x:v>Payée</x:v>
      </x:c>
      <x:c r="N216" t="n">
        <x:f>IF(I216="","",I216-B216)</x:f>
        <x:v>64</x:v>
      </x:c>
      <x:c r="O216" t="str">
        <x:f>IF(TRIM(C216)&lt;&gt;TRIM(H216),"Oui","Non")</x:f>
        <x:v>Non</x:v>
      </x:c>
      <x:c r="P216" t="str">
        <x:f>IFERROR(INDEX('02_REFERENTIEL_CLIENTS'!$B$2:$B$51,MATCH(TRIM(C216),'02_REFERENTIEL_CLIENTS'!$A$2:$A$51,0)),"Non trouvé")</x:f>
        <x:v>Particuliers</x:v>
      </x:c>
      <x:c r="Q216" t="str">
        <x:f>IFERROR(INDEX('02_REFERENTIEL_CLIENTS'!$C$2:$C$51,MATCH(TRIM(C216),'02_REFERENTIEL_CLIENTS'!$A$2:$A$51,0)),"Non trouvé")</x:f>
        <x:v>International</x:v>
      </x:c>
      <x:c r="R216" t="str">
        <x:f>IF(OR(F216&lt;=0,G216&lt;0,G216&gt;F216,N216&lt;0,P216="Non trouvé"),"À vérifier","OK")</x:f>
        <x:v>OK</x:v>
      </x:c>
    </x:row>
    <x:row r="217">
      <x:c r="A217" t="str">
        <x:v>DV-2024-00216</x:v>
      </x:c>
      <x:c r="B217" s="16" t="n">
        <x:v>45429</x:v>
      </x:c>
      <x:c r="C217" t="str">
        <x:v>Client 42</x:v>
      </x:c>
      <x:c r="D217" t="str">
        <x:v>Logistique</x:v>
      </x:c>
      <x:c r="E217" t="str">
        <x:v>Pôle A</x:v>
      </x:c>
      <x:c r="F217" s="18" t="n">
        <x:v>15512.37</x:v>
      </x:c>
      <x:c r="G217" s="18" t="n">
        <x:v>15512.37</x:v>
      </x:c>
      <x:c r="H217" t="str">
        <x:v>Client 42</x:v>
      </x:c>
      <x:c r="I217" s="16" t="n">
        <x:v>45465</x:v>
      </x:c>
      <x:c r="J217" t="n">
        <x:f>YEAR(B217)</x:f>
        <x:v>2024</x:v>
      </x:c>
      <x:c r="K217" s="20" t="n">
        <x:f>DATE(YEAR(B217),MONTH(B217),1)</x:f>
        <x:v>45413</x:v>
      </x:c>
      <x:c r="L217" s="18" t="n">
        <x:f>F217-G217</x:f>
        <x:v>0</x:v>
      </x:c>
      <x:c r="M217" t="str">
        <x:f>IF(L217&lt;=0,"Payée",IF(G217=0,"Impayée","Partielle"))</x:f>
        <x:v>Payée</x:v>
      </x:c>
      <x:c r="N217" t="n">
        <x:f>IF(I217="","",I217-B217)</x:f>
        <x:v>36</x:v>
      </x:c>
      <x:c r="O217" t="str">
        <x:f>IF(TRIM(C217)&lt;&gt;TRIM(H217),"Oui","Non")</x:f>
        <x:v>Non</x:v>
      </x:c>
      <x:c r="P217" t="str">
        <x:f>IFERROR(INDEX('02_REFERENTIEL_CLIENTS'!$B$2:$B$51,MATCH(TRIM(C217),'02_REFERENTIEL_CLIENTS'!$A$2:$A$51,0)),"Non trouvé")</x:f>
        <x:v>Particuliers</x:v>
      </x:c>
      <x:c r="Q217" t="str">
        <x:f>IFERROR(INDEX('02_REFERENTIEL_CLIENTS'!$C$2:$C$51,MATCH(TRIM(C217),'02_REFERENTIEL_CLIENTS'!$A$2:$A$51,0)),"Non trouvé")</x:f>
        <x:v>International</x:v>
      </x:c>
      <x:c r="R217" t="str">
        <x:f>IF(OR(F217&lt;=0,G217&lt;0,G217&gt;F217,N217&lt;0,P217="Non trouvé"),"À vérifier","OK")</x:f>
        <x:v>OK</x:v>
      </x:c>
    </x:row>
    <x:row r="218">
      <x:c r="A218" t="str">
        <x:v>DV-2026-00217</x:v>
      </x:c>
      <x:c r="B218" s="16" t="n">
        <x:v>46195</x:v>
      </x:c>
      <x:c r="C218" t="str">
        <x:v>Client 31</x:v>
      </x:c>
      <x:c r="D218" t="str">
        <x:v>Fret aérien</x:v>
      </x:c>
      <x:c r="E218" t="str">
        <x:v>Pôle B</x:v>
      </x:c>
      <x:c r="F218" s="18" t="n">
        <x:v>19698.41</x:v>
      </x:c>
      <x:c r="G218" s="18" t="n">
        <x:v>19698.41</x:v>
      </x:c>
      <x:c r="H218" t="str">
        <x:v>Client 31</x:v>
      </x:c>
      <x:c r="I218" s="16" t="n">
        <x:v>46254</x:v>
      </x:c>
      <x:c r="J218" t="n">
        <x:f>YEAR(B218)</x:f>
        <x:v>2026</x:v>
      </x:c>
      <x:c r="K218" s="20" t="n">
        <x:f>DATE(YEAR(B218),MONTH(B218),1)</x:f>
        <x:v>46174</x:v>
      </x:c>
      <x:c r="L218" s="18" t="n">
        <x:f>F218-G218</x:f>
        <x:v>0</x:v>
      </x:c>
      <x:c r="M218" t="str">
        <x:f>IF(L218&lt;=0,"Payée",IF(G218=0,"Impayée","Partielle"))</x:f>
        <x:v>Payée</x:v>
      </x:c>
      <x:c r="N218" t="n">
        <x:f>IF(I218="","",I218-B218)</x:f>
        <x:v>59</x:v>
      </x:c>
      <x:c r="O218" t="str">
        <x:f>IF(TRIM(C218)&lt;&gt;TRIM(H218),"Oui","Non")</x:f>
        <x:v>Non</x:v>
      </x:c>
      <x:c r="P218" t="str">
        <x:f>IFERROR(INDEX('02_REFERENTIEL_CLIENTS'!$B$2:$B$51,MATCH(TRIM(C218),'02_REFERENTIEL_CLIENTS'!$A$2:$A$51,0)),"Non trouvé")</x:f>
        <x:v>Grands comptes</x:v>
      </x:c>
      <x:c r="Q218" t="str">
        <x:f>IFERROR(INDEX('02_REFERENTIEL_CLIENTS'!$C$2:$C$51,MATCH(TRIM(C218),'02_REFERENTIEL_CLIENTS'!$A$2:$A$51,0)),"Non trouvé")</x:f>
        <x:v>France</x:v>
      </x:c>
      <x:c r="R218" t="str">
        <x:f>IF(OR(F218&lt;=0,G218&lt;0,G218&gt;F218,N218&lt;0,P218="Non trouvé"),"À vérifier","OK")</x:f>
        <x:v>OK</x:v>
      </x:c>
    </x:row>
    <x:row r="219">
      <x:c r="A219" t="str">
        <x:v>DV-2024-00218</x:v>
      </x:c>
      <x:c r="B219" s="16" t="n">
        <x:v>45613</x:v>
      </x:c>
      <x:c r="C219" t="str">
        <x:v>Client 13</x:v>
      </x:c>
      <x:c r="D219" t="str">
        <x:v>Fret maritime</x:v>
      </x:c>
      <x:c r="E219" t="str">
        <x:v>Pôle A</x:v>
      </x:c>
      <x:c r="F219" s="18" t="n">
        <x:v>10675.55</x:v>
      </x:c>
      <x:c r="G219" s="18" t="n">
        <x:v>10675.55</x:v>
      </x:c>
      <x:c r="H219" t="str">
        <x:v>Client 42</x:v>
      </x:c>
      <x:c r="I219" s="16" t="n">
        <x:v>45666</x:v>
      </x:c>
      <x:c r="J219" t="n">
        <x:f>YEAR(B219)</x:f>
        <x:v>2024</x:v>
      </x:c>
      <x:c r="K219" s="20" t="n">
        <x:f>DATE(YEAR(B219),MONTH(B219),1)</x:f>
        <x:v>45597</x:v>
      </x:c>
      <x:c r="L219" s="18" t="n">
        <x:f>F219-G219</x:f>
        <x:v>0</x:v>
      </x:c>
      <x:c r="M219" t="str">
        <x:f>IF(L219&lt;=0,"Payée",IF(G219=0,"Impayée","Partielle"))</x:f>
        <x:v>Payée</x:v>
      </x:c>
      <x:c r="N219" t="n">
        <x:f>IF(I219="","",I219-B219)</x:f>
        <x:v>53</x:v>
      </x:c>
      <x:c r="O219" t="str">
        <x:f>IF(TRIM(C219)&lt;&gt;TRIM(H219),"Oui","Non")</x:f>
        <x:v>Oui</x:v>
      </x:c>
      <x:c r="P219" t="str">
        <x:f>IFERROR(INDEX('02_REFERENTIEL_CLIENTS'!$B$2:$B$51,MATCH(TRIM(C219),'02_REFERENTIEL_CLIENTS'!$A$2:$A$51,0)),"Non trouvé")</x:f>
        <x:v>Grands comptes</x:v>
      </x:c>
      <x:c r="Q219" t="str">
        <x:f>IFERROR(INDEX('02_REFERENTIEL_CLIENTS'!$C$2:$C$51,MATCH(TRIM(C219),'02_REFERENTIEL_CLIENTS'!$A$2:$A$51,0)),"Non trouvé")</x:f>
        <x:v>France</x:v>
      </x:c>
      <x:c r="R219" t="str">
        <x:f>IF(OR(F219&lt;=0,G219&lt;0,G219&gt;F219,N219&lt;0,P219="Non trouvé"),"À vérifier","OK")</x:f>
        <x:v>OK</x:v>
      </x:c>
    </x:row>
    <x:row r="220">
      <x:c r="A220" t="str">
        <x:v>DV-2025-00219</x:v>
      </x:c>
      <x:c r="B220" s="16" t="n">
        <x:v>45756</x:v>
      </x:c>
      <x:c r="C220" t="str">
        <x:v>Client 22</x:v>
      </x:c>
      <x:c r="D220" t="str">
        <x:v>Douane</x:v>
      </x:c>
      <x:c r="E220" t="str">
        <x:v>Pôle E</x:v>
      </x:c>
      <x:c r="F220" s="18" t="n">
        <x:v>12247.94</x:v>
      </x:c>
      <x:c r="G220" s="18" t="n">
        <x:v>12247.94</x:v>
      </x:c>
      <x:c r="H220" t="str">
        <x:v>Client 22</x:v>
      </x:c>
      <x:c r="I220" s="16" t="n">
        <x:v>45789</x:v>
      </x:c>
      <x:c r="J220" t="n">
        <x:f>YEAR(B220)</x:f>
        <x:v>2025</x:v>
      </x:c>
      <x:c r="K220" s="20" t="n">
        <x:f>DATE(YEAR(B220),MONTH(B220),1)</x:f>
        <x:v>45748</x:v>
      </x:c>
      <x:c r="L220" s="18" t="n">
        <x:f>F220-G220</x:f>
        <x:v>0</x:v>
      </x:c>
      <x:c r="M220" t="str">
        <x:f>IF(L220&lt;=0,"Payée",IF(G220=0,"Impayée","Partielle"))</x:f>
        <x:v>Payée</x:v>
      </x:c>
      <x:c r="N220" t="n">
        <x:f>IF(I220="","",I220-B220)</x:f>
        <x:v>33</x:v>
      </x:c>
      <x:c r="O220" t="str">
        <x:f>IF(TRIM(C220)&lt;&gt;TRIM(H220),"Oui","Non")</x:f>
        <x:v>Non</x:v>
      </x:c>
      <x:c r="P220" t="str">
        <x:f>IFERROR(INDEX('02_REFERENTIEL_CLIENTS'!$B$2:$B$51,MATCH(TRIM(C220),'02_REFERENTIEL_CLIENTS'!$A$2:$A$51,0)),"Non trouvé")</x:f>
        <x:v>Grands comptes</x:v>
      </x:c>
      <x:c r="Q220" t="str">
        <x:f>IFERROR(INDEX('02_REFERENTIEL_CLIENTS'!$C$2:$C$51,MATCH(TRIM(C220),'02_REFERENTIEL_CLIENTS'!$A$2:$A$51,0)),"Non trouvé")</x:f>
        <x:v>France</x:v>
      </x:c>
      <x:c r="R220" t="str">
        <x:f>IF(OR(F220&lt;=0,G220&lt;0,G220&gt;F220,N220&lt;0,P220="Non trouvé"),"À vérifier","OK")</x:f>
        <x:v>OK</x:v>
      </x:c>
    </x:row>
    <x:row r="221">
      <x:c r="A221" t="str">
        <x:v>DV-2025-00220</x:v>
      </x:c>
      <x:c r="B221" s="16" t="n">
        <x:v>45804</x:v>
      </x:c>
      <x:c r="C221" t="str">
        <x:v>Client 42</x:v>
      </x:c>
      <x:c r="D221" t="str">
        <x:v>Douane</x:v>
      </x:c>
      <x:c r="E221" t="str">
        <x:v>Pôle C</x:v>
      </x:c>
      <x:c r="F221" s="18" t="n">
        <x:v>1606.66</x:v>
      </x:c>
      <x:c r="G221" s="18" t="n">
        <x:v>1606.66</x:v>
      </x:c>
      <x:c r="H221" t="str">
        <x:v>Client 42</x:v>
      </x:c>
      <x:c r="I221" s="16" t="n">
        <x:v>45807</x:v>
      </x:c>
      <x:c r="J221" t="n">
        <x:f>YEAR(B221)</x:f>
        <x:v>2025</x:v>
      </x:c>
      <x:c r="K221" s="20" t="n">
        <x:f>DATE(YEAR(B221),MONTH(B221),1)</x:f>
        <x:v>45778</x:v>
      </x:c>
      <x:c r="L221" s="18" t="n">
        <x:f>F221-G221</x:f>
        <x:v>0</x:v>
      </x:c>
      <x:c r="M221" t="str">
        <x:f>IF(L221&lt;=0,"Payée",IF(G221=0,"Impayée","Partielle"))</x:f>
        <x:v>Payée</x:v>
      </x:c>
      <x:c r="N221" t="n">
        <x:f>IF(I221="","",I221-B221)</x:f>
        <x:v>3</x:v>
      </x:c>
      <x:c r="O221" t="str">
        <x:f>IF(TRIM(C221)&lt;&gt;TRIM(H221),"Oui","Non")</x:f>
        <x:v>Non</x:v>
      </x:c>
      <x:c r="P221" t="str">
        <x:f>IFERROR(INDEX('02_REFERENTIEL_CLIENTS'!$B$2:$B$51,MATCH(TRIM(C221),'02_REFERENTIEL_CLIENTS'!$A$2:$A$51,0)),"Non trouvé")</x:f>
        <x:v>Particuliers</x:v>
      </x:c>
      <x:c r="Q221" t="str">
        <x:f>IFERROR(INDEX('02_REFERENTIEL_CLIENTS'!$C$2:$C$51,MATCH(TRIM(C221),'02_REFERENTIEL_CLIENTS'!$A$2:$A$51,0)),"Non trouvé")</x:f>
        <x:v>International</x:v>
      </x:c>
      <x:c r="R221" t="str">
        <x:f>IF(OR(F221&lt;=0,G221&lt;0,G221&gt;F221,N221&lt;0,P221="Non trouvé"),"À vérifier","OK")</x:f>
        <x:v>OK</x:v>
      </x:c>
    </x:row>
    <x:row r="222">
      <x:c r="A222" t="str">
        <x:v>DV-2024-00221</x:v>
      </x:c>
      <x:c r="B222" s="16" t="n">
        <x:v>45472</x:v>
      </x:c>
      <x:c r="C222" t="str">
        <x:v>Client 35</x:v>
      </x:c>
      <x:c r="D222" t="str">
        <x:v>Fret aérien</x:v>
      </x:c>
      <x:c r="E222" t="str">
        <x:v>Pôle A</x:v>
      </x:c>
      <x:c r="F222" s="18" t="n">
        <x:v>21170.18</x:v>
      </x:c>
      <x:c r="G222" s="18" t="n">
        <x:v>21170.18</x:v>
      </x:c>
      <x:c r="H222" t="str">
        <x:v>Client 35</x:v>
      </x:c>
      <x:c r="I222" s="16" t="n">
        <x:v>45567</x:v>
      </x:c>
      <x:c r="J222" t="n">
        <x:f>YEAR(B222)</x:f>
        <x:v>2024</x:v>
      </x:c>
      <x:c r="K222" s="20" t="n">
        <x:f>DATE(YEAR(B222),MONTH(B222),1)</x:f>
        <x:v>45444</x:v>
      </x:c>
      <x:c r="L222" s="18" t="n">
        <x:f>F222-G222</x:f>
        <x:v>0</x:v>
      </x:c>
      <x:c r="M222" t="str">
        <x:f>IF(L222&lt;=0,"Payée",IF(G222=0,"Impayée","Partielle"))</x:f>
        <x:v>Payée</x:v>
      </x:c>
      <x:c r="N222" t="n">
        <x:f>IF(I222="","",I222-B222)</x:f>
        <x:v>95</x:v>
      </x:c>
      <x:c r="O222" t="str">
        <x:f>IF(TRIM(C222)&lt;&gt;TRIM(H222),"Oui","Non")</x:f>
        <x:v>Non</x:v>
      </x:c>
      <x:c r="P222" t="str">
        <x:f>IFERROR(INDEX('02_REFERENTIEL_CLIENTS'!$B$2:$B$51,MATCH(TRIM(C222),'02_REFERENTIEL_CLIENTS'!$A$2:$A$51,0)),"Non trouvé")</x:f>
        <x:v>PME</x:v>
      </x:c>
      <x:c r="Q222" t="str">
        <x:f>IFERROR(INDEX('02_REFERENTIEL_CLIENTS'!$C$2:$C$51,MATCH(TRIM(C222),'02_REFERENTIEL_CLIENTS'!$A$2:$A$51,0)),"Non trouvé")</x:f>
        <x:v>Europe</x:v>
      </x:c>
      <x:c r="R222" t="str">
        <x:f>IF(OR(F222&lt;=0,G222&lt;0,G222&gt;F222,N222&lt;0,P222="Non trouvé"),"À vérifier","OK")</x:f>
        <x:v>OK</x:v>
      </x:c>
    </x:row>
    <x:row r="223">
      <x:c r="A223" t="str">
        <x:v>DV-2026-00222</x:v>
      </x:c>
      <x:c r="B223" s="16" t="n">
        <x:v>46191</x:v>
      </x:c>
      <x:c r="C223" t="str">
        <x:v>Client 09</x:v>
      </x:c>
      <x:c r="D223" t="str">
        <x:v>Fret aérien</x:v>
      </x:c>
      <x:c r="E223" t="str">
        <x:v>Pôle D</x:v>
      </x:c>
      <x:c r="F223" s="18" t="n">
        <x:v>511.04</x:v>
      </x:c>
      <x:c r="G223" s="18" t="n">
        <x:v>511.04</x:v>
      </x:c>
      <x:c r="H223" t="str">
        <x:v>Client 09</x:v>
      </x:c>
      <x:c r="I223" s="16" t="n">
        <x:v>46241</x:v>
      </x:c>
      <x:c r="J223" t="n">
        <x:f>YEAR(B223)</x:f>
        <x:v>2026</x:v>
      </x:c>
      <x:c r="K223" s="20" t="n">
        <x:f>DATE(YEAR(B223),MONTH(B223),1)</x:f>
        <x:v>46174</x:v>
      </x:c>
      <x:c r="L223" s="18" t="n">
        <x:f>F223-G223</x:f>
        <x:v>0</x:v>
      </x:c>
      <x:c r="M223" t="str">
        <x:f>IF(L223&lt;=0,"Payée",IF(G223=0,"Impayée","Partielle"))</x:f>
        <x:v>Payée</x:v>
      </x:c>
      <x:c r="N223" t="n">
        <x:f>IF(I223="","",I223-B223)</x:f>
        <x:v>50</x:v>
      </x:c>
      <x:c r="O223" t="str">
        <x:f>IF(TRIM(C223)&lt;&gt;TRIM(H223),"Oui","Non")</x:f>
        <x:v>Non</x:v>
      </x:c>
      <x:c r="P223" t="str">
        <x:f>IFERROR(INDEX('02_REFERENTIEL_CLIENTS'!$B$2:$B$51,MATCH(TRIM(C223),'02_REFERENTIEL_CLIENTS'!$A$2:$A$51,0)),"Non trouvé")</x:f>
        <x:v>Particuliers</x:v>
      </x:c>
      <x:c r="Q223" t="str">
        <x:f>IFERROR(INDEX('02_REFERENTIEL_CLIENTS'!$C$2:$C$51,MATCH(TRIM(C223),'02_REFERENTIEL_CLIENTS'!$A$2:$A$51,0)),"Non trouvé")</x:f>
        <x:v>International</x:v>
      </x:c>
      <x:c r="R223" t="str">
        <x:f>IF(OR(F223&lt;=0,G223&lt;0,G223&gt;F223,N223&lt;0,P223="Non trouvé"),"À vérifier","OK")</x:f>
        <x:v>OK</x:v>
      </x:c>
    </x:row>
    <x:row r="224">
      <x:c r="A224" t="str">
        <x:v>DV-2024-00223</x:v>
      </x:c>
      <x:c r="B224" s="16" t="n">
        <x:v>45380</x:v>
      </x:c>
      <x:c r="C224" t="str">
        <x:v>Client 49</x:v>
      </x:c>
      <x:c r="D224" t="str">
        <x:v>Logistique</x:v>
      </x:c>
      <x:c r="E224" t="str">
        <x:v>Pôle A</x:v>
      </x:c>
      <x:c r="F224" s="18" t="n">
        <x:v>10502.92</x:v>
      </x:c>
      <x:c r="G224" s="18" t="n">
        <x:v>0</x:v>
      </x:c>
      <x:c r="H224" t="str">
        <x:v>Client 49</x:v>
      </x:c>
      <x:c r="I224" s="16"/>
      <x:c r="J224" t="n">
        <x:f>YEAR(B224)</x:f>
        <x:v>2024</x:v>
      </x:c>
      <x:c r="K224" s="20" t="n">
        <x:f>DATE(YEAR(B224),MONTH(B224),1)</x:f>
        <x:v>45352</x:v>
      </x:c>
      <x:c r="L224" s="18" t="n">
        <x:f>F224-G224</x:f>
        <x:v>10502.92</x:v>
      </x:c>
      <x:c r="M224" t="str">
        <x:f>IF(L224&lt;=0,"Payée",IF(G224=0,"Impayée","Partielle"))</x:f>
        <x:v>Impayée</x:v>
      </x:c>
      <x:c r="N224" t="str">
        <x:f>IF(I224="","",I224-B224)</x:f>
      </x:c>
      <x:c r="O224" t="str">
        <x:f>IF(TRIM(C224)&lt;&gt;TRIM(H224),"Oui","Non")</x:f>
        <x:v>Non</x:v>
      </x:c>
      <x:c r="P224" t="str">
        <x:f>IFERROR(INDEX('02_REFERENTIEL_CLIENTS'!$B$2:$B$51,MATCH(TRIM(C224),'02_REFERENTIEL_CLIENTS'!$A$2:$A$51,0)),"Non trouvé")</x:f>
        <x:v>Grands comptes</x:v>
      </x:c>
      <x:c r="Q224" t="str">
        <x:f>IFERROR(INDEX('02_REFERENTIEL_CLIENTS'!$C$2:$C$51,MATCH(TRIM(C224),'02_REFERENTIEL_CLIENTS'!$A$2:$A$51,0)),"Non trouvé")</x:f>
        <x:v>France</x:v>
      </x:c>
      <x:c r="R224" t="str">
        <x:f>IF(OR(F224&lt;=0,G224&lt;0,G224&gt;F224,N224&lt;0,P224="Non trouvé"),"À vérifier","OK")</x:f>
        <x:v>OK</x:v>
      </x:c>
    </x:row>
    <x:row r="225">
      <x:c r="A225" t="str">
        <x:v>DV-2025-00224</x:v>
      </x:c>
      <x:c r="B225" s="16" t="n">
        <x:v>45749</x:v>
      </x:c>
      <x:c r="C225" t="str">
        <x:v>Client 39</x:v>
      </x:c>
      <x:c r="D225" t="str">
        <x:v>Douane</x:v>
      </x:c>
      <x:c r="E225" t="str">
        <x:v>Pôle D</x:v>
      </x:c>
      <x:c r="F225" s="18" t="n">
        <x:v>9579.07</x:v>
      </x:c>
      <x:c r="G225" s="18" t="n">
        <x:v>9579.07</x:v>
      </x:c>
      <x:c r="H225" t="str">
        <x:v>Client 39</x:v>
      </x:c>
      <x:c r="I225" s="16" t="n">
        <x:v>45767</x:v>
      </x:c>
      <x:c r="J225" t="n">
        <x:f>YEAR(B225)</x:f>
        <x:v>2025</x:v>
      </x:c>
      <x:c r="K225" s="20" t="n">
        <x:f>DATE(YEAR(B225),MONTH(B225),1)</x:f>
        <x:v>45748</x:v>
      </x:c>
      <x:c r="L225" s="18" t="n">
        <x:f>F225-G225</x:f>
        <x:v>0</x:v>
      </x:c>
      <x:c r="M225" t="str">
        <x:f>IF(L225&lt;=0,"Payée",IF(G225=0,"Impayée","Partielle"))</x:f>
        <x:v>Payée</x:v>
      </x:c>
      <x:c r="N225" t="n">
        <x:f>IF(I225="","",I225-B225)</x:f>
        <x:v>18</x:v>
      </x:c>
      <x:c r="O225" t="str">
        <x:f>IF(TRIM(C225)&lt;&gt;TRIM(H225),"Oui","Non")</x:f>
        <x:v>Non</x:v>
      </x:c>
      <x:c r="P225" t="str">
        <x:f>IFERROR(INDEX('02_REFERENTIEL_CLIENTS'!$B$2:$B$51,MATCH(TRIM(C225),'02_REFERENTIEL_CLIENTS'!$A$2:$A$51,0)),"Non trouvé")</x:f>
        <x:v>Particuliers</x:v>
      </x:c>
      <x:c r="Q225" t="str">
        <x:f>IFERROR(INDEX('02_REFERENTIEL_CLIENTS'!$C$2:$C$51,MATCH(TRIM(C225),'02_REFERENTIEL_CLIENTS'!$A$2:$A$51,0)),"Non trouvé")</x:f>
        <x:v>International</x:v>
      </x:c>
      <x:c r="R225" t="str">
        <x:f>IF(OR(F225&lt;=0,G225&lt;0,G225&gt;F225,N225&lt;0,P225="Non trouvé"),"À vérifier","OK")</x:f>
        <x:v>OK</x:v>
      </x:c>
    </x:row>
    <x:row r="226">
      <x:c r="A226" t="str">
        <x:v>DV-2026-00225</x:v>
      </x:c>
      <x:c r="B226" s="16" t="n">
        <x:v>46145</x:v>
      </x:c>
      <x:c r="C226" t="str">
        <x:v>Client 30</x:v>
      </x:c>
      <x:c r="D226" t="str">
        <x:v>Express</x:v>
      </x:c>
      <x:c r="E226" t="str">
        <x:v>Pôle C</x:v>
      </x:c>
      <x:c r="F226" s="18" t="n">
        <x:v>4637.46</x:v>
      </x:c>
      <x:c r="G226" s="18" t="n">
        <x:v>4637.46</x:v>
      </x:c>
      <x:c r="H226" t="str">
        <x:v>Client 30</x:v>
      </x:c>
      <x:c r="I226" s="16" t="n">
        <x:v>46219</x:v>
      </x:c>
      <x:c r="J226" t="n">
        <x:f>YEAR(B226)</x:f>
        <x:v>2026</x:v>
      </x:c>
      <x:c r="K226" s="20" t="n">
        <x:f>DATE(YEAR(B226),MONTH(B226),1)</x:f>
        <x:v>46143</x:v>
      </x:c>
      <x:c r="L226" s="18" t="n">
        <x:f>F226-G226</x:f>
        <x:v>0</x:v>
      </x:c>
      <x:c r="M226" t="str">
        <x:f>IF(L226&lt;=0,"Payée",IF(G226=0,"Impayée","Partielle"))</x:f>
        <x:v>Payée</x:v>
      </x:c>
      <x:c r="N226" t="n">
        <x:f>IF(I226="","",I226-B226)</x:f>
        <x:v>74</x:v>
      </x:c>
      <x:c r="O226" t="str">
        <x:f>IF(TRIM(C226)&lt;&gt;TRIM(H226),"Oui","Non")</x:f>
        <x:v>Non</x:v>
      </x:c>
      <x:c r="P226" t="str">
        <x:f>IFERROR(INDEX('02_REFERENTIEL_CLIENTS'!$B$2:$B$51,MATCH(TRIM(C226),'02_REFERENTIEL_CLIENTS'!$A$2:$A$51,0)),"Non trouvé")</x:f>
        <x:v>Particuliers</x:v>
      </x:c>
      <x:c r="Q226" t="str">
        <x:f>IFERROR(INDEX('02_REFERENTIEL_CLIENTS'!$C$2:$C$51,MATCH(TRIM(C226),'02_REFERENTIEL_CLIENTS'!$A$2:$A$51,0)),"Non trouvé")</x:f>
        <x:v>International</x:v>
      </x:c>
      <x:c r="R226" t="str">
        <x:f>IF(OR(F226&lt;=0,G226&lt;0,G226&gt;F226,N226&lt;0,P226="Non trouvé"),"À vérifier","OK")</x:f>
        <x:v>OK</x:v>
      </x:c>
    </x:row>
    <x:row r="227">
      <x:c r="A227" t="str">
        <x:v>DV-2024-00226</x:v>
      </x:c>
      <x:c r="B227" s="16" t="n">
        <x:v>45610</x:v>
      </x:c>
      <x:c r="C227" t="str">
        <x:v>Client 26</x:v>
      </x:c>
      <x:c r="D227" t="str">
        <x:v>Fret aérien</x:v>
      </x:c>
      <x:c r="E227" t="str">
        <x:v>Pôle E</x:v>
      </x:c>
      <x:c r="F227" s="18" t="n">
        <x:v>3804.44</x:v>
      </x:c>
      <x:c r="G227" s="18" t="n">
        <x:v>3804.44</x:v>
      </x:c>
      <x:c r="H227" t="str">
        <x:v>Client 26</x:v>
      </x:c>
      <x:c r="I227" s="16" t="n">
        <x:v>45670</x:v>
      </x:c>
      <x:c r="J227" t="n">
        <x:f>YEAR(B227)</x:f>
        <x:v>2024</x:v>
      </x:c>
      <x:c r="K227" s="20" t="n">
        <x:f>DATE(YEAR(B227),MONTH(B227),1)</x:f>
        <x:v>45597</x:v>
      </x:c>
      <x:c r="L227" s="18" t="n">
        <x:f>F227-G227</x:f>
        <x:v>0</x:v>
      </x:c>
      <x:c r="M227" t="str">
        <x:f>IF(L227&lt;=0,"Payée",IF(G227=0,"Impayée","Partielle"))</x:f>
        <x:v>Payée</x:v>
      </x:c>
      <x:c r="N227" t="n">
        <x:f>IF(I227="","",I227-B227)</x:f>
        <x:v>60</x:v>
      </x:c>
      <x:c r="O227" t="str">
        <x:f>IF(TRIM(C227)&lt;&gt;TRIM(H227),"Oui","Non")</x:f>
        <x:v>Non</x:v>
      </x:c>
      <x:c r="P227" t="str">
        <x:f>IFERROR(INDEX('02_REFERENTIEL_CLIENTS'!$B$2:$B$51,MATCH(TRIM(C227),'02_REFERENTIEL_CLIENTS'!$A$2:$A$51,0)),"Non trouvé")</x:f>
        <x:v>PME</x:v>
      </x:c>
      <x:c r="Q227" t="str">
        <x:f>IFERROR(INDEX('02_REFERENTIEL_CLIENTS'!$C$2:$C$51,MATCH(TRIM(C227),'02_REFERENTIEL_CLIENTS'!$A$2:$A$51,0)),"Non trouvé")</x:f>
        <x:v>Europe</x:v>
      </x:c>
      <x:c r="R227" t="str">
        <x:f>IF(OR(F227&lt;=0,G227&lt;0,G227&gt;F227,N227&lt;0,P227="Non trouvé"),"À vérifier","OK")</x:f>
        <x:v>OK</x:v>
      </x:c>
    </x:row>
    <x:row r="228">
      <x:c r="A228" t="str">
        <x:v>DV-2026-00227</x:v>
      </x:c>
      <x:c r="B228" s="16" t="n">
        <x:v>46190</x:v>
      </x:c>
      <x:c r="C228" t="str">
        <x:v>Client 07</x:v>
      </x:c>
      <x:c r="D228" t="str">
        <x:v>Express</x:v>
      </x:c>
      <x:c r="E228" t="str">
        <x:v>Pôle E</x:v>
      </x:c>
      <x:c r="F228" s="18" t="n">
        <x:v>13855.13</x:v>
      </x:c>
      <x:c r="G228" s="18" t="n">
        <x:v>13855.13</x:v>
      </x:c>
      <x:c r="H228" t="str">
        <x:v>Client 07</x:v>
      </x:c>
      <x:c r="I228" s="16" t="n">
        <x:v>46238</x:v>
      </x:c>
      <x:c r="J228" t="n">
        <x:f>YEAR(B228)</x:f>
        <x:v>2026</x:v>
      </x:c>
      <x:c r="K228" s="20" t="n">
        <x:f>DATE(YEAR(B228),MONTH(B228),1)</x:f>
        <x:v>46174</x:v>
      </x:c>
      <x:c r="L228" s="18" t="n">
        <x:f>F228-G228</x:f>
        <x:v>0</x:v>
      </x:c>
      <x:c r="M228" t="str">
        <x:f>IF(L228&lt;=0,"Payée",IF(G228=0,"Impayée","Partielle"))</x:f>
        <x:v>Payée</x:v>
      </x:c>
      <x:c r="N228" t="n">
        <x:f>IF(I228="","",I228-B228)</x:f>
        <x:v>48</x:v>
      </x:c>
      <x:c r="O228" t="str">
        <x:f>IF(TRIM(C228)&lt;&gt;TRIM(H228),"Oui","Non")</x:f>
        <x:v>Non</x:v>
      </x:c>
      <x:c r="P228" t="str">
        <x:f>IFERROR(INDEX('02_REFERENTIEL_CLIENTS'!$B$2:$B$51,MATCH(TRIM(C228),'02_REFERENTIEL_CLIENTS'!$A$2:$A$51,0)),"Non trouvé")</x:f>
        <x:v>Grands comptes</x:v>
      </x:c>
      <x:c r="Q228" t="str">
        <x:f>IFERROR(INDEX('02_REFERENTIEL_CLIENTS'!$C$2:$C$51,MATCH(TRIM(C228),'02_REFERENTIEL_CLIENTS'!$A$2:$A$51,0)),"Non trouvé")</x:f>
        <x:v>France</x:v>
      </x:c>
      <x:c r="R228" t="str">
        <x:f>IF(OR(F228&lt;=0,G228&lt;0,G228&gt;F228,N228&lt;0,P228="Non trouvé"),"À vérifier","OK")</x:f>
        <x:v>OK</x:v>
      </x:c>
    </x:row>
    <x:row r="229">
      <x:c r="A229" t="str">
        <x:v>DV-2025-00228</x:v>
      </x:c>
      <x:c r="B229" s="16" t="n">
        <x:v>45851</x:v>
      </x:c>
      <x:c r="C229" t="str">
        <x:v>Client 20</x:v>
      </x:c>
      <x:c r="D229" t="str">
        <x:v>Logistique</x:v>
      </x:c>
      <x:c r="E229" t="str">
        <x:v>Pôle C</x:v>
      </x:c>
      <x:c r="F229" s="18" t="n">
        <x:v>1937.84</x:v>
      </x:c>
      <x:c r="G229" s="18" t="n">
        <x:v>840.91</x:v>
      </x:c>
      <x:c r="H229" t="str">
        <x:v>Client 20</x:v>
      </x:c>
      <x:c r="I229" s="16" t="n">
        <x:v>45864</x:v>
      </x:c>
      <x:c r="J229" t="n">
        <x:f>YEAR(B229)</x:f>
        <x:v>2025</x:v>
      </x:c>
      <x:c r="K229" s="20" t="n">
        <x:f>DATE(YEAR(B229),MONTH(B229),1)</x:f>
        <x:v>45839</x:v>
      </x:c>
      <x:c r="L229" s="18" t="n">
        <x:f>F229-G229</x:f>
        <x:v>1096.9299999999998</x:v>
      </x:c>
      <x:c r="M229" t="str">
        <x:f>IF(L229&lt;=0,"Payée",IF(G229=0,"Impayée","Partielle"))</x:f>
        <x:v>Partielle</x:v>
      </x:c>
      <x:c r="N229" t="n">
        <x:f>IF(I229="","",I229-B229)</x:f>
        <x:v>13</x:v>
      </x:c>
      <x:c r="O229" t="str">
        <x:f>IF(TRIM(C229)&lt;&gt;TRIM(H229),"Oui","Non")</x:f>
        <x:v>Non</x:v>
      </x:c>
      <x:c r="P229" t="str">
        <x:f>IFERROR(INDEX('02_REFERENTIEL_CLIENTS'!$B$2:$B$51,MATCH(TRIM(C229),'02_REFERENTIEL_CLIENTS'!$A$2:$A$51,0)),"Non trouvé")</x:f>
        <x:v>PME</x:v>
      </x:c>
      <x:c r="Q229" t="str">
        <x:f>IFERROR(INDEX('02_REFERENTIEL_CLIENTS'!$C$2:$C$51,MATCH(TRIM(C229),'02_REFERENTIEL_CLIENTS'!$A$2:$A$51,0)),"Non trouvé")</x:f>
        <x:v>Europe</x:v>
      </x:c>
      <x:c r="R229" t="str">
        <x:f>IF(OR(F229&lt;=0,G229&lt;0,G229&gt;F229,N229&lt;0,P229="Non trouvé"),"À vérifier","OK")</x:f>
        <x:v>OK</x:v>
      </x:c>
    </x:row>
    <x:row r="230">
      <x:c r="A230" t="str">
        <x:v>DV-2025-00229</x:v>
      </x:c>
      <x:c r="B230" s="16" t="n">
        <x:v>45800</x:v>
      </x:c>
      <x:c r="C230" t="str">
        <x:v>Client 39</x:v>
      </x:c>
      <x:c r="D230" t="str">
        <x:v>Fret aérien</x:v>
      </x:c>
      <x:c r="E230" t="str">
        <x:v>Pôle D</x:v>
      </x:c>
      <x:c r="F230" s="18" t="n">
        <x:v>4692.09</x:v>
      </x:c>
      <x:c r="G230" s="18" t="n">
        <x:v>4692.09</x:v>
      </x:c>
      <x:c r="H230" t="str">
        <x:v>Client 38</x:v>
      </x:c>
      <x:c r="I230" s="16" t="n">
        <x:v>45886</x:v>
      </x:c>
      <x:c r="J230" t="n">
        <x:f>YEAR(B230)</x:f>
        <x:v>2025</x:v>
      </x:c>
      <x:c r="K230" s="20" t="n">
        <x:f>DATE(YEAR(B230),MONTH(B230),1)</x:f>
        <x:v>45778</x:v>
      </x:c>
      <x:c r="L230" s="18" t="n">
        <x:f>F230-G230</x:f>
        <x:v>0</x:v>
      </x:c>
      <x:c r="M230" t="str">
        <x:f>IF(L230&lt;=0,"Payée",IF(G230=0,"Impayée","Partielle"))</x:f>
        <x:v>Payée</x:v>
      </x:c>
      <x:c r="N230" t="n">
        <x:f>IF(I230="","",I230-B230)</x:f>
        <x:v>86</x:v>
      </x:c>
      <x:c r="O230" t="str">
        <x:f>IF(TRIM(C230)&lt;&gt;TRIM(H230),"Oui","Non")</x:f>
        <x:v>Oui</x:v>
      </x:c>
      <x:c r="P230" t="str">
        <x:f>IFERROR(INDEX('02_REFERENTIEL_CLIENTS'!$B$2:$B$51,MATCH(TRIM(C230),'02_REFERENTIEL_CLIENTS'!$A$2:$A$51,0)),"Non trouvé")</x:f>
        <x:v>Particuliers</x:v>
      </x:c>
      <x:c r="Q230" t="str">
        <x:f>IFERROR(INDEX('02_REFERENTIEL_CLIENTS'!$C$2:$C$51,MATCH(TRIM(C230),'02_REFERENTIEL_CLIENTS'!$A$2:$A$51,0)),"Non trouvé")</x:f>
        <x:v>International</x:v>
      </x:c>
      <x:c r="R230" t="str">
        <x:f>IF(OR(F230&lt;=0,G230&lt;0,G230&gt;F230,N230&lt;0,P230="Non trouvé"),"À vérifier","OK")</x:f>
        <x:v>OK</x:v>
      </x:c>
    </x:row>
    <x:row r="231">
      <x:c r="A231" t="str">
        <x:v>DV-2024-00230</x:v>
      </x:c>
      <x:c r="B231" s="16" t="n">
        <x:v>45512</x:v>
      </x:c>
      <x:c r="C231" t="str">
        <x:v>Client 29</x:v>
      </x:c>
      <x:c r="D231" t="str">
        <x:v>Fret aérien</x:v>
      </x:c>
      <x:c r="E231" t="str">
        <x:v>Pôle A</x:v>
      </x:c>
      <x:c r="F231" s="18" t="n">
        <x:v>7635.94</x:v>
      </x:c>
      <x:c r="G231" s="18" t="n">
        <x:v>7635.94</x:v>
      </x:c>
      <x:c r="H231" t="str">
        <x:v>Client 29</x:v>
      </x:c>
      <x:c r="I231" s="16" t="n">
        <x:v>45542</x:v>
      </x:c>
      <x:c r="J231" t="n">
        <x:f>YEAR(B231)</x:f>
        <x:v>2024</x:v>
      </x:c>
      <x:c r="K231" s="20" t="n">
        <x:f>DATE(YEAR(B231),MONTH(B231),1)</x:f>
        <x:v>45505</x:v>
      </x:c>
      <x:c r="L231" s="18" t="n">
        <x:f>F231-G231</x:f>
        <x:v>0</x:v>
      </x:c>
      <x:c r="M231" t="str">
        <x:f>IF(L231&lt;=0,"Payée",IF(G231=0,"Impayée","Partielle"))</x:f>
        <x:v>Payée</x:v>
      </x:c>
      <x:c r="N231" t="n">
        <x:f>IF(I231="","",I231-B231)</x:f>
        <x:v>30</x:v>
      </x:c>
      <x:c r="O231" t="str">
        <x:f>IF(TRIM(C231)&lt;&gt;TRIM(H231),"Oui","Non")</x:f>
        <x:v>Non</x:v>
      </x:c>
      <x:c r="P231" t="str">
        <x:f>IFERROR(INDEX('02_REFERENTIEL_CLIENTS'!$B$2:$B$51,MATCH(TRIM(C231),'02_REFERENTIEL_CLIENTS'!$A$2:$A$51,0)),"Non trouvé")</x:f>
        <x:v>PME</x:v>
      </x:c>
      <x:c r="Q231" t="str">
        <x:f>IFERROR(INDEX('02_REFERENTIEL_CLIENTS'!$C$2:$C$51,MATCH(TRIM(C231),'02_REFERENTIEL_CLIENTS'!$A$2:$A$51,0)),"Non trouvé")</x:f>
        <x:v>Europe</x:v>
      </x:c>
      <x:c r="R231" t="str">
        <x:f>IF(OR(F231&lt;=0,G231&lt;0,G231&gt;F231,N231&lt;0,P231="Non trouvé"),"À vérifier","OK")</x:f>
        <x:v>OK</x:v>
      </x:c>
    </x:row>
    <x:row r="232">
      <x:c r="A232" t="str">
        <x:v>DV-2026-00231</x:v>
      </x:c>
      <x:c r="B232" s="16" t="n">
        <x:v>46280</x:v>
      </x:c>
      <x:c r="C232" t="str">
        <x:v>Client 13</x:v>
      </x:c>
      <x:c r="D232" t="str">
        <x:v>Fret maritime</x:v>
      </x:c>
      <x:c r="E232" t="str">
        <x:v>Pôle B</x:v>
      </x:c>
      <x:c r="F232" s="18" t="n">
        <x:v>18506.28</x:v>
      </x:c>
      <x:c r="G232" s="18" t="n">
        <x:v>18506.28</x:v>
      </x:c>
      <x:c r="H232" t="str">
        <x:v>Client 13</x:v>
      </x:c>
      <x:c r="I232" s="16" t="n">
        <x:v>46288</x:v>
      </x:c>
      <x:c r="J232" t="n">
        <x:f>YEAR(B232)</x:f>
        <x:v>2026</x:v>
      </x:c>
      <x:c r="K232" s="20" t="n">
        <x:f>DATE(YEAR(B232),MONTH(B232),1)</x:f>
        <x:v>46266</x:v>
      </x:c>
      <x:c r="L232" s="18" t="n">
        <x:f>F232-G232</x:f>
        <x:v>0</x:v>
      </x:c>
      <x:c r="M232" t="str">
        <x:f>IF(L232&lt;=0,"Payée",IF(G232=0,"Impayée","Partielle"))</x:f>
        <x:v>Payée</x:v>
      </x:c>
      <x:c r="N232" t="n">
        <x:f>IF(I232="","",I232-B232)</x:f>
        <x:v>8</x:v>
      </x:c>
      <x:c r="O232" t="str">
        <x:f>IF(TRIM(C232)&lt;&gt;TRIM(H232),"Oui","Non")</x:f>
        <x:v>Non</x:v>
      </x:c>
      <x:c r="P232" t="str">
        <x:f>IFERROR(INDEX('02_REFERENTIEL_CLIENTS'!$B$2:$B$51,MATCH(TRIM(C232),'02_REFERENTIEL_CLIENTS'!$A$2:$A$51,0)),"Non trouvé")</x:f>
        <x:v>Grands comptes</x:v>
      </x:c>
      <x:c r="Q232" t="str">
        <x:f>IFERROR(INDEX('02_REFERENTIEL_CLIENTS'!$C$2:$C$51,MATCH(TRIM(C232),'02_REFERENTIEL_CLIENTS'!$A$2:$A$51,0)),"Non trouvé")</x:f>
        <x:v>France</x:v>
      </x:c>
      <x:c r="R232" t="str">
        <x:f>IF(OR(F232&lt;=0,G232&lt;0,G232&gt;F232,N232&lt;0,P232="Non trouvé"),"À vérifier","OK")</x:f>
        <x:v>OK</x:v>
      </x:c>
    </x:row>
    <x:row r="233">
      <x:c r="A233" t="str">
        <x:v>DV-2024-00232</x:v>
      </x:c>
      <x:c r="B233" s="16" t="n">
        <x:v>45505</x:v>
      </x:c>
      <x:c r="C233" t="str">
        <x:v>Client 34</x:v>
      </x:c>
      <x:c r="D233" t="str">
        <x:v>Fret maritime</x:v>
      </x:c>
      <x:c r="E233" t="str">
        <x:v>Pôle B</x:v>
      </x:c>
      <x:c r="F233" s="18" t="n">
        <x:v>14069.55</x:v>
      </x:c>
      <x:c r="G233" s="18" t="n">
        <x:v>14069.55</x:v>
      </x:c>
      <x:c r="H233" t="str">
        <x:v>Client 34</x:v>
      </x:c>
      <x:c r="I233" s="16" t="n">
        <x:v>45597</x:v>
      </x:c>
      <x:c r="J233" t="n">
        <x:f>YEAR(B233)</x:f>
        <x:v>2024</x:v>
      </x:c>
      <x:c r="K233" s="20" t="n">
        <x:f>DATE(YEAR(B233),MONTH(B233),1)</x:f>
        <x:v>45505</x:v>
      </x:c>
      <x:c r="L233" s="18" t="n">
        <x:f>F233-G233</x:f>
        <x:v>0</x:v>
      </x:c>
      <x:c r="M233" t="str">
        <x:f>IF(L233&lt;=0,"Payée",IF(G233=0,"Impayée","Partielle"))</x:f>
        <x:v>Payée</x:v>
      </x:c>
      <x:c r="N233" t="n">
        <x:f>IF(I233="","",I233-B233)</x:f>
        <x:v>92</x:v>
      </x:c>
      <x:c r="O233" t="str">
        <x:f>IF(TRIM(C233)&lt;&gt;TRIM(H233),"Oui","Non")</x:f>
        <x:v>Non</x:v>
      </x:c>
      <x:c r="P233" t="str">
        <x:f>IFERROR(INDEX('02_REFERENTIEL_CLIENTS'!$B$2:$B$51,MATCH(TRIM(C233),'02_REFERENTIEL_CLIENTS'!$A$2:$A$51,0)),"Non trouvé")</x:f>
        <x:v>Grands comptes</x:v>
      </x:c>
      <x:c r="Q233" t="str">
        <x:f>IFERROR(INDEX('02_REFERENTIEL_CLIENTS'!$C$2:$C$51,MATCH(TRIM(C233),'02_REFERENTIEL_CLIENTS'!$A$2:$A$51,0)),"Non trouvé")</x:f>
        <x:v>France</x:v>
      </x:c>
      <x:c r="R233" t="str">
        <x:f>IF(OR(F233&lt;=0,G233&lt;0,G233&gt;F233,N233&lt;0,P233="Non trouvé"),"À vérifier","OK")</x:f>
        <x:v>OK</x:v>
      </x:c>
    </x:row>
    <x:row r="234">
      <x:c r="A234" t="str">
        <x:v>DV-2025-00233</x:v>
      </x:c>
      <x:c r="B234" s="16" t="n">
        <x:v>45739</x:v>
      </x:c>
      <x:c r="C234" t="str">
        <x:v>Client 12</x:v>
      </x:c>
      <x:c r="D234" t="str">
        <x:v>Logistique</x:v>
      </x:c>
      <x:c r="E234" t="str">
        <x:v>Pôle C</x:v>
      </x:c>
      <x:c r="F234" s="18" t="n">
        <x:v>22839.68</x:v>
      </x:c>
      <x:c r="G234" s="18" t="n">
        <x:v>8820.92</x:v>
      </x:c>
      <x:c r="H234" t="str">
        <x:v>Client 12</x:v>
      </x:c>
      <x:c r="I234" s="16" t="n">
        <x:v>45753</x:v>
      </x:c>
      <x:c r="J234" t="n">
        <x:f>YEAR(B234)</x:f>
        <x:v>2025</x:v>
      </x:c>
      <x:c r="K234" s="20" t="n">
        <x:f>DATE(YEAR(B234),MONTH(B234),1)</x:f>
        <x:v>45717</x:v>
      </x:c>
      <x:c r="L234" s="18" t="n">
        <x:f>F234-G234</x:f>
        <x:v>14018.76</x:v>
      </x:c>
      <x:c r="M234" t="str">
        <x:f>IF(L234&lt;=0,"Payée",IF(G234=0,"Impayée","Partielle"))</x:f>
        <x:v>Partielle</x:v>
      </x:c>
      <x:c r="N234" t="n">
        <x:f>IF(I234="","",I234-B234)</x:f>
        <x:v>14</x:v>
      </x:c>
      <x:c r="O234" t="str">
        <x:f>IF(TRIM(C234)&lt;&gt;TRIM(H234),"Oui","Non")</x:f>
        <x:v>Non</x:v>
      </x:c>
      <x:c r="P234" t="str">
        <x:f>IFERROR(INDEX('02_REFERENTIEL_CLIENTS'!$B$2:$B$51,MATCH(TRIM(C234),'02_REFERENTIEL_CLIENTS'!$A$2:$A$51,0)),"Non trouvé")</x:f>
        <x:v>Particuliers</x:v>
      </x:c>
      <x:c r="Q234" t="str">
        <x:f>IFERROR(INDEX('02_REFERENTIEL_CLIENTS'!$C$2:$C$51,MATCH(TRIM(C234),'02_REFERENTIEL_CLIENTS'!$A$2:$A$51,0)),"Non trouvé")</x:f>
        <x:v>International</x:v>
      </x:c>
      <x:c r="R234" t="str">
        <x:f>IF(OR(F234&lt;=0,G234&lt;0,G234&gt;F234,N234&lt;0,P234="Non trouvé"),"À vérifier","OK")</x:f>
        <x:v>OK</x:v>
      </x:c>
    </x:row>
    <x:row r="235">
      <x:c r="A235" t="str">
        <x:v>DV-2026-00234</x:v>
      </x:c>
      <x:c r="B235" s="16" t="n">
        <x:v>46257</x:v>
      </x:c>
      <x:c r="C235" t="str">
        <x:v>Client 13</x:v>
      </x:c>
      <x:c r="D235" t="str">
        <x:v>Logistique</x:v>
      </x:c>
      <x:c r="E235" t="str">
        <x:v>Pôle B</x:v>
      </x:c>
      <x:c r="F235" s="18" t="n">
        <x:v>9350.37</x:v>
      </x:c>
      <x:c r="G235" s="18" t="n">
        <x:v>0</x:v>
      </x:c>
      <x:c r="H235" t="str">
        <x:v>Client 13</x:v>
      </x:c>
      <x:c r="I235" s="16"/>
      <x:c r="J235" t="n">
        <x:f>YEAR(B235)</x:f>
        <x:v>2026</x:v>
      </x:c>
      <x:c r="K235" s="20" t="n">
        <x:f>DATE(YEAR(B235),MONTH(B235),1)</x:f>
        <x:v>46235</x:v>
      </x:c>
      <x:c r="L235" s="18" t="n">
        <x:f>F235-G235</x:f>
        <x:v>9350.37</x:v>
      </x:c>
      <x:c r="M235" t="str">
        <x:f>IF(L235&lt;=0,"Payée",IF(G235=0,"Impayée","Partielle"))</x:f>
        <x:v>Impayée</x:v>
      </x:c>
      <x:c r="N235" t="str">
        <x:f>IF(I235="","",I235-B235)</x:f>
      </x:c>
      <x:c r="O235" t="str">
        <x:f>IF(TRIM(C235)&lt;&gt;TRIM(H235),"Oui","Non")</x:f>
        <x:v>Non</x:v>
      </x:c>
      <x:c r="P235" t="str">
        <x:f>IFERROR(INDEX('02_REFERENTIEL_CLIENTS'!$B$2:$B$51,MATCH(TRIM(C235),'02_REFERENTIEL_CLIENTS'!$A$2:$A$51,0)),"Non trouvé")</x:f>
        <x:v>Grands comptes</x:v>
      </x:c>
      <x:c r="Q235" t="str">
        <x:f>IFERROR(INDEX('02_REFERENTIEL_CLIENTS'!$C$2:$C$51,MATCH(TRIM(C235),'02_REFERENTIEL_CLIENTS'!$A$2:$A$51,0)),"Non trouvé")</x:f>
        <x:v>France</x:v>
      </x:c>
      <x:c r="R235" t="str">
        <x:f>IF(OR(F235&lt;=0,G235&lt;0,G235&gt;F235,N235&lt;0,P235="Non trouvé"),"À vérifier","OK")</x:f>
        <x:v>OK</x:v>
      </x:c>
    </x:row>
    <x:row r="236">
      <x:c r="A236" t="str">
        <x:v>DV-2026-00235</x:v>
      </x:c>
      <x:c r="B236" s="16" t="n">
        <x:v>46136</x:v>
      </x:c>
      <x:c r="C236" t="str">
        <x:v>Client 10</x:v>
      </x:c>
      <x:c r="D236" t="str">
        <x:v>Douane</x:v>
      </x:c>
      <x:c r="E236" t="str">
        <x:v>Pôle D</x:v>
      </x:c>
      <x:c r="F236" s="18" t="n">
        <x:v>23650.06</x:v>
      </x:c>
      <x:c r="G236" s="18" t="n">
        <x:v>23650.06</x:v>
      </x:c>
      <x:c r="H236" t="str">
        <x:v>Client 10</x:v>
      </x:c>
      <x:c r="I236" s="16" t="n">
        <x:v>46216</x:v>
      </x:c>
      <x:c r="J236" t="n">
        <x:f>YEAR(B236)</x:f>
        <x:v>2026</x:v>
      </x:c>
      <x:c r="K236" s="20" t="n">
        <x:f>DATE(YEAR(B236),MONTH(B236),1)</x:f>
        <x:v>46113</x:v>
      </x:c>
      <x:c r="L236" s="18" t="n">
        <x:f>F236-G236</x:f>
        <x:v>0</x:v>
      </x:c>
      <x:c r="M236" t="str">
        <x:f>IF(L236&lt;=0,"Payée",IF(G236=0,"Impayée","Partielle"))</x:f>
        <x:v>Payée</x:v>
      </x:c>
      <x:c r="N236" t="n">
        <x:f>IF(I236="","",I236-B236)</x:f>
        <x:v>80</x:v>
      </x:c>
      <x:c r="O236" t="str">
        <x:f>IF(TRIM(C236)&lt;&gt;TRIM(H236),"Oui","Non")</x:f>
        <x:v>Non</x:v>
      </x:c>
      <x:c r="P236" t="str">
        <x:f>IFERROR(INDEX('02_REFERENTIEL_CLIENTS'!$B$2:$B$51,MATCH(TRIM(C236),'02_REFERENTIEL_CLIENTS'!$A$2:$A$51,0)),"Non trouvé")</x:f>
        <x:v>Grands comptes</x:v>
      </x:c>
      <x:c r="Q236" t="str">
        <x:f>IFERROR(INDEX('02_REFERENTIEL_CLIENTS'!$C$2:$C$51,MATCH(TRIM(C236),'02_REFERENTIEL_CLIENTS'!$A$2:$A$51,0)),"Non trouvé")</x:f>
        <x:v>France</x:v>
      </x:c>
      <x:c r="R236" t="str">
        <x:f>IF(OR(F236&lt;=0,G236&lt;0,G236&gt;F236,N236&lt;0,P236="Non trouvé"),"À vérifier","OK")</x:f>
        <x:v>OK</x:v>
      </x:c>
    </x:row>
    <x:row r="237">
      <x:c r="A237" t="str">
        <x:v>DV-2024-00236</x:v>
      </x:c>
      <x:c r="B237" s="16" t="n">
        <x:v>45648</x:v>
      </x:c>
      <x:c r="C237" t="str">
        <x:v>Client 11</x:v>
      </x:c>
      <x:c r="D237" t="str">
        <x:v>Douane</x:v>
      </x:c>
      <x:c r="E237" t="str">
        <x:v>Pôle E</x:v>
      </x:c>
      <x:c r="F237" s="18" t="n">
        <x:v>3323.82</x:v>
      </x:c>
      <x:c r="G237" s="18" t="n">
        <x:v>3323.82</x:v>
      </x:c>
      <x:c r="H237" t="str">
        <x:v>Client 11</x:v>
      </x:c>
      <x:c r="I237" s="16" t="n">
        <x:v>45655</x:v>
      </x:c>
      <x:c r="J237" t="n">
        <x:f>YEAR(B237)</x:f>
        <x:v>2024</x:v>
      </x:c>
      <x:c r="K237" s="20" t="n">
        <x:f>DATE(YEAR(B237),MONTH(B237),1)</x:f>
        <x:v>45627</x:v>
      </x:c>
      <x:c r="L237" s="18" t="n">
        <x:f>F237-G237</x:f>
        <x:v>0</x:v>
      </x:c>
      <x:c r="M237" t="str">
        <x:f>IF(L237&lt;=0,"Payée",IF(G237=0,"Impayée","Partielle"))</x:f>
        <x:v>Payée</x:v>
      </x:c>
      <x:c r="N237" t="n">
        <x:f>IF(I237="","",I237-B237)</x:f>
        <x:v>7</x:v>
      </x:c>
      <x:c r="O237" t="str">
        <x:f>IF(TRIM(C237)&lt;&gt;TRIM(H237),"Oui","Non")</x:f>
        <x:v>Non</x:v>
      </x:c>
      <x:c r="P237" t="str">
        <x:f>IFERROR(INDEX('02_REFERENTIEL_CLIENTS'!$B$2:$B$51,MATCH(TRIM(C237),'02_REFERENTIEL_CLIENTS'!$A$2:$A$51,0)),"Non trouvé")</x:f>
        <x:v>PME</x:v>
      </x:c>
      <x:c r="Q237" t="str">
        <x:f>IFERROR(INDEX('02_REFERENTIEL_CLIENTS'!$C$2:$C$51,MATCH(TRIM(C237),'02_REFERENTIEL_CLIENTS'!$A$2:$A$51,0)),"Non trouvé")</x:f>
        <x:v>Europe</x:v>
      </x:c>
      <x:c r="R237" t="str">
        <x:f>IF(OR(F237&lt;=0,G237&lt;0,G237&gt;F237,N237&lt;0,P237="Non trouvé"),"À vérifier","OK")</x:f>
        <x:v>OK</x:v>
      </x:c>
    </x:row>
    <x:row r="238">
      <x:c r="A238" t="str">
        <x:v>DV-2025-00237</x:v>
      </x:c>
      <x:c r="B238" s="16" t="n">
        <x:v>45758</x:v>
      </x:c>
      <x:c r="C238" t="str">
        <x:v>Client 19</x:v>
      </x:c>
      <x:c r="D238" t="str">
        <x:v>Logistique</x:v>
      </x:c>
      <x:c r="E238" t="str">
        <x:v>Pôle D</x:v>
      </x:c>
      <x:c r="F238" s="18" t="n">
        <x:v>24146.27</x:v>
      </x:c>
      <x:c r="G238" s="18" t="n">
        <x:v>24146.27</x:v>
      </x:c>
      <x:c r="H238" t="str">
        <x:v>Client 19</x:v>
      </x:c>
      <x:c r="I238" s="16" t="n">
        <x:v>45766</x:v>
      </x:c>
      <x:c r="J238" t="n">
        <x:f>YEAR(B238)</x:f>
        <x:v>2025</x:v>
      </x:c>
      <x:c r="K238" s="20" t="n">
        <x:f>DATE(YEAR(B238),MONTH(B238),1)</x:f>
        <x:v>45748</x:v>
      </x:c>
      <x:c r="L238" s="18" t="n">
        <x:f>F238-G238</x:f>
        <x:v>0</x:v>
      </x:c>
      <x:c r="M238" t="str">
        <x:f>IF(L238&lt;=0,"Payée",IF(G238=0,"Impayée","Partielle"))</x:f>
        <x:v>Payée</x:v>
      </x:c>
      <x:c r="N238" t="n">
        <x:f>IF(I238="","",I238-B238)</x:f>
        <x:v>8</x:v>
      </x:c>
      <x:c r="O238" t="str">
        <x:f>IF(TRIM(C238)&lt;&gt;TRIM(H238),"Oui","Non")</x:f>
        <x:v>Non</x:v>
      </x:c>
      <x:c r="P238" t="str">
        <x:f>IFERROR(INDEX('02_REFERENTIEL_CLIENTS'!$B$2:$B$51,MATCH(TRIM(C238),'02_REFERENTIEL_CLIENTS'!$A$2:$A$51,0)),"Non trouvé")</x:f>
        <x:v>Grands comptes</x:v>
      </x:c>
      <x:c r="Q238" t="str">
        <x:f>IFERROR(INDEX('02_REFERENTIEL_CLIENTS'!$C$2:$C$51,MATCH(TRIM(C238),'02_REFERENTIEL_CLIENTS'!$A$2:$A$51,0)),"Non trouvé")</x:f>
        <x:v>France</x:v>
      </x:c>
      <x:c r="R238" t="str">
        <x:f>IF(OR(F238&lt;=0,G238&lt;0,G238&gt;F238,N238&lt;0,P238="Non trouvé"),"À vérifier","OK")</x:f>
        <x:v>OK</x:v>
      </x:c>
    </x:row>
    <x:row r="239">
      <x:c r="A239" t="str">
        <x:v>DV-2026-00238</x:v>
      </x:c>
      <x:c r="B239" s="16" t="n">
        <x:v>46192</x:v>
      </x:c>
      <x:c r="C239" t="str">
        <x:v>Client 18</x:v>
      </x:c>
      <x:c r="D239" t="str">
        <x:v>Fret maritime</x:v>
      </x:c>
      <x:c r="E239" t="str">
        <x:v>Pôle B</x:v>
      </x:c>
      <x:c r="F239" s="18" t="n">
        <x:v>378.28</x:v>
      </x:c>
      <x:c r="G239" s="18" t="n">
        <x:v>91.62</x:v>
      </x:c>
      <x:c r="H239" t="str">
        <x:v>Client 18</x:v>
      </x:c>
      <x:c r="I239" s="16" t="n">
        <x:v>46234</x:v>
      </x:c>
      <x:c r="J239" t="n">
        <x:f>YEAR(B239)</x:f>
        <x:v>2026</x:v>
      </x:c>
      <x:c r="K239" s="20" t="n">
        <x:f>DATE(YEAR(B239),MONTH(B239),1)</x:f>
        <x:v>46174</x:v>
      </x:c>
      <x:c r="L239" s="18" t="n">
        <x:f>F239-G239</x:f>
        <x:v>286.65999999999997</x:v>
      </x:c>
      <x:c r="M239" t="str">
        <x:f>IF(L239&lt;=0,"Payée",IF(G239=0,"Impayée","Partielle"))</x:f>
        <x:v>Partielle</x:v>
      </x:c>
      <x:c r="N239" t="n">
        <x:f>IF(I239="","",I239-B239)</x:f>
        <x:v>42</x:v>
      </x:c>
      <x:c r="O239" t="str">
        <x:f>IF(TRIM(C239)&lt;&gt;TRIM(H239),"Oui","Non")</x:f>
        <x:v>Non</x:v>
      </x:c>
      <x:c r="P239" t="str">
        <x:f>IFERROR(INDEX('02_REFERENTIEL_CLIENTS'!$B$2:$B$51,MATCH(TRIM(C239),'02_REFERENTIEL_CLIENTS'!$A$2:$A$51,0)),"Non trouvé")</x:f>
        <x:v>Particuliers</x:v>
      </x:c>
      <x:c r="Q239" t="str">
        <x:f>IFERROR(INDEX('02_REFERENTIEL_CLIENTS'!$C$2:$C$51,MATCH(TRIM(C239),'02_REFERENTIEL_CLIENTS'!$A$2:$A$51,0)),"Non trouvé")</x:f>
        <x:v>International</x:v>
      </x:c>
      <x:c r="R239" t="str">
        <x:f>IF(OR(F239&lt;=0,G239&lt;0,G239&gt;F239,N239&lt;0,P239="Non trouvé"),"À vérifier","OK")</x:f>
        <x:v>OK</x:v>
      </x:c>
    </x:row>
    <x:row r="240">
      <x:c r="A240" t="str">
        <x:v>DV-2025-00239</x:v>
      </x:c>
      <x:c r="B240" s="16" t="n">
        <x:v>46022</x:v>
      </x:c>
      <x:c r="C240" t="str">
        <x:v>Client 25</x:v>
      </x:c>
      <x:c r="D240" t="str">
        <x:v>Fret maritime</x:v>
      </x:c>
      <x:c r="E240" t="str">
        <x:v>Pôle D</x:v>
      </x:c>
      <x:c r="F240" s="18" t="n">
        <x:v>19504.43</x:v>
      </x:c>
      <x:c r="G240" s="18" t="n">
        <x:v>19504.43</x:v>
      </x:c>
      <x:c r="H240" t="str">
        <x:v>Client 36</x:v>
      </x:c>
      <x:c r="I240" s="16" t="n">
        <x:v>46042</x:v>
      </x:c>
      <x:c r="J240" t="n">
        <x:f>YEAR(B240)</x:f>
        <x:v>2025</x:v>
      </x:c>
      <x:c r="K240" s="20" t="n">
        <x:f>DATE(YEAR(B240),MONTH(B240),1)</x:f>
        <x:v>45992</x:v>
      </x:c>
      <x:c r="L240" s="18" t="n">
        <x:f>F240-G240</x:f>
        <x:v>0</x:v>
      </x:c>
      <x:c r="M240" t="str">
        <x:f>IF(L240&lt;=0,"Payée",IF(G240=0,"Impayée","Partielle"))</x:f>
        <x:v>Payée</x:v>
      </x:c>
      <x:c r="N240" t="n">
        <x:f>IF(I240="","",I240-B240)</x:f>
        <x:v>20</x:v>
      </x:c>
      <x:c r="O240" t="str">
        <x:f>IF(TRIM(C240)&lt;&gt;TRIM(H240),"Oui","Non")</x:f>
        <x:v>Oui</x:v>
      </x:c>
      <x:c r="P240" t="str">
        <x:f>IFERROR(INDEX('02_REFERENTIEL_CLIENTS'!$B$2:$B$51,MATCH(TRIM(C240),'02_REFERENTIEL_CLIENTS'!$A$2:$A$51,0)),"Non trouvé")</x:f>
        <x:v>Grands comptes</x:v>
      </x:c>
      <x:c r="Q240" t="str">
        <x:f>IFERROR(INDEX('02_REFERENTIEL_CLIENTS'!$C$2:$C$51,MATCH(TRIM(C240),'02_REFERENTIEL_CLIENTS'!$A$2:$A$51,0)),"Non trouvé")</x:f>
        <x:v>France</x:v>
      </x:c>
      <x:c r="R240" t="str">
        <x:f>IF(OR(F240&lt;=0,G240&lt;0,G240&gt;F240,N240&lt;0,P240="Non trouvé"),"À vérifier","OK")</x:f>
        <x:v>OK</x:v>
      </x:c>
    </x:row>
    <x:row r="241">
      <x:c r="A241" t="str">
        <x:v>DV-2025-00240</x:v>
      </x:c>
      <x:c r="B241" s="16" t="n">
        <x:v>46004</x:v>
      </x:c>
      <x:c r="C241" t="str">
        <x:v>Client 09</x:v>
      </x:c>
      <x:c r="D241" t="str">
        <x:v>Douane</x:v>
      </x:c>
      <x:c r="E241" t="str">
        <x:v>Pôle D</x:v>
      </x:c>
      <x:c r="F241" s="18" t="n">
        <x:v>21543.44</x:v>
      </x:c>
      <x:c r="G241" s="18" t="n">
        <x:v>12991.05</x:v>
      </x:c>
      <x:c r="H241" t="str">
        <x:v>Client 09</x:v>
      </x:c>
      <x:c r="I241" s="16" t="n">
        <x:v>46021</x:v>
      </x:c>
      <x:c r="J241" t="n">
        <x:f>YEAR(B241)</x:f>
        <x:v>2025</x:v>
      </x:c>
      <x:c r="K241" s="20" t="n">
        <x:f>DATE(YEAR(B241),MONTH(B241),1)</x:f>
        <x:v>45992</x:v>
      </x:c>
      <x:c r="L241" s="18" t="n">
        <x:f>F241-G241</x:f>
        <x:v>8552.39</x:v>
      </x:c>
      <x:c r="M241" t="str">
        <x:f>IF(L241&lt;=0,"Payée",IF(G241=0,"Impayée","Partielle"))</x:f>
        <x:v>Partielle</x:v>
      </x:c>
      <x:c r="N241" t="n">
        <x:f>IF(I241="","",I241-B241)</x:f>
        <x:v>17</x:v>
      </x:c>
      <x:c r="O241" t="str">
        <x:f>IF(TRIM(C241)&lt;&gt;TRIM(H241),"Oui","Non")</x:f>
        <x:v>Non</x:v>
      </x:c>
      <x:c r="P241" t="str">
        <x:f>IFERROR(INDEX('02_REFERENTIEL_CLIENTS'!$B$2:$B$51,MATCH(TRIM(C241),'02_REFERENTIEL_CLIENTS'!$A$2:$A$51,0)),"Non trouvé")</x:f>
        <x:v>Particuliers</x:v>
      </x:c>
      <x:c r="Q241" t="str">
        <x:f>IFERROR(INDEX('02_REFERENTIEL_CLIENTS'!$C$2:$C$51,MATCH(TRIM(C241),'02_REFERENTIEL_CLIENTS'!$A$2:$A$51,0)),"Non trouvé")</x:f>
        <x:v>International</x:v>
      </x:c>
      <x:c r="R241" t="str">
        <x:f>IF(OR(F241&lt;=0,G241&lt;0,G241&gt;F241,N241&lt;0,P241="Non trouvé"),"À vérifier","OK")</x:f>
        <x:v>OK</x:v>
      </x:c>
    </x:row>
    <x:row r="242">
      <x:c r="A242" t="str">
        <x:v>DV-2024-00241</x:v>
      </x:c>
      <x:c r="B242" s="16" t="n">
        <x:v>45336</x:v>
      </x:c>
      <x:c r="C242" t="str">
        <x:v>Client 21</x:v>
      </x:c>
      <x:c r="D242" t="str">
        <x:v>Express</x:v>
      </x:c>
      <x:c r="E242" t="str">
        <x:v>Pôle A</x:v>
      </x:c>
      <x:c r="F242" s="18" t="n">
        <x:v>22505.86</x:v>
      </x:c>
      <x:c r="G242" s="18" t="n">
        <x:v>22505.86</x:v>
      </x:c>
      <x:c r="H242" t="str">
        <x:v>Client 27</x:v>
      </x:c>
      <x:c r="I242" s="16" t="n">
        <x:v>45373</x:v>
      </x:c>
      <x:c r="J242" t="n">
        <x:f>YEAR(B242)</x:f>
        <x:v>2024</x:v>
      </x:c>
      <x:c r="K242" s="20" t="n">
        <x:f>DATE(YEAR(B242),MONTH(B242),1)</x:f>
        <x:v>45323</x:v>
      </x:c>
      <x:c r="L242" s="18" t="n">
        <x:f>F242-G242</x:f>
        <x:v>0</x:v>
      </x:c>
      <x:c r="M242" t="str">
        <x:f>IF(L242&lt;=0,"Payée",IF(G242=0,"Impayée","Partielle"))</x:f>
        <x:v>Payée</x:v>
      </x:c>
      <x:c r="N242" t="n">
        <x:f>IF(I242="","",I242-B242)</x:f>
        <x:v>37</x:v>
      </x:c>
      <x:c r="O242" t="str">
        <x:f>IF(TRIM(C242)&lt;&gt;TRIM(H242),"Oui","Non")</x:f>
        <x:v>Oui</x:v>
      </x:c>
      <x:c r="P242" t="str">
        <x:f>IFERROR(INDEX('02_REFERENTIEL_CLIENTS'!$B$2:$B$51,MATCH(TRIM(C242),'02_REFERENTIEL_CLIENTS'!$A$2:$A$51,0)),"Non trouvé")</x:f>
        <x:v>Particuliers</x:v>
      </x:c>
      <x:c r="Q242" t="str">
        <x:f>IFERROR(INDEX('02_REFERENTIEL_CLIENTS'!$C$2:$C$51,MATCH(TRIM(C242),'02_REFERENTIEL_CLIENTS'!$A$2:$A$51,0)),"Non trouvé")</x:f>
        <x:v>International</x:v>
      </x:c>
      <x:c r="R242" t="str">
        <x:f>IF(OR(F242&lt;=0,G242&lt;0,G242&gt;F242,N242&lt;0,P242="Non trouvé"),"À vérifier","OK")</x:f>
        <x:v>OK</x:v>
      </x:c>
    </x:row>
    <x:row r="243">
      <x:c r="A243" t="str">
        <x:v>DV-2024-00242</x:v>
      </x:c>
      <x:c r="B243" s="16" t="n">
        <x:v>45309</x:v>
      </x:c>
      <x:c r="C243" t="str">
        <x:v>Client 06</x:v>
      </x:c>
      <x:c r="D243" t="str">
        <x:v>Express</x:v>
      </x:c>
      <x:c r="E243" t="str">
        <x:v>Pôle A</x:v>
      </x:c>
      <x:c r="F243" s="18" t="n">
        <x:v>14406.98</x:v>
      </x:c>
      <x:c r="G243" s="18" t="n">
        <x:v>14406.98</x:v>
      </x:c>
      <x:c r="H243" t="str">
        <x:v>Client 06</x:v>
      </x:c>
      <x:c r="I243" s="16" t="n">
        <x:v>45326</x:v>
      </x:c>
      <x:c r="J243" t="n">
        <x:f>YEAR(B243)</x:f>
        <x:v>2024</x:v>
      </x:c>
      <x:c r="K243" s="20" t="n">
        <x:f>DATE(YEAR(B243),MONTH(B243),1)</x:f>
        <x:v>45292</x:v>
      </x:c>
      <x:c r="L243" s="18" t="n">
        <x:f>F243-G243</x:f>
        <x:v>0</x:v>
      </x:c>
      <x:c r="M243" t="str">
        <x:f>IF(L243&lt;=0,"Payée",IF(G243=0,"Impayée","Partielle"))</x:f>
        <x:v>Payée</x:v>
      </x:c>
      <x:c r="N243" t="n">
        <x:f>IF(I243="","",I243-B243)</x:f>
        <x:v>17</x:v>
      </x:c>
      <x:c r="O243" t="str">
        <x:f>IF(TRIM(C243)&lt;&gt;TRIM(H243),"Oui","Non")</x:f>
        <x:v>Non</x:v>
      </x:c>
      <x:c r="P243" t="str">
        <x:f>IFERROR(INDEX('02_REFERENTIEL_CLIENTS'!$B$2:$B$51,MATCH(TRIM(C243),'02_REFERENTIEL_CLIENTS'!$A$2:$A$51,0)),"Non trouvé")</x:f>
        <x:v>Particuliers</x:v>
      </x:c>
      <x:c r="Q243" t="str">
        <x:f>IFERROR(INDEX('02_REFERENTIEL_CLIENTS'!$C$2:$C$51,MATCH(TRIM(C243),'02_REFERENTIEL_CLIENTS'!$A$2:$A$51,0)),"Non trouvé")</x:f>
        <x:v>International</x:v>
      </x:c>
      <x:c r="R243" t="str">
        <x:f>IF(OR(F243&lt;=0,G243&lt;0,G243&gt;F243,N243&lt;0,P243="Non trouvé"),"À vérifier","OK")</x:f>
        <x:v>OK</x:v>
      </x:c>
    </x:row>
    <x:row r="244">
      <x:c r="A244" t="str">
        <x:v>DV-2025-00243</x:v>
      </x:c>
      <x:c r="B244" s="16" t="n">
        <x:v>45953</x:v>
      </x:c>
      <x:c r="C244" t="str">
        <x:v>Client 48</x:v>
      </x:c>
      <x:c r="D244" t="str">
        <x:v>Douane</x:v>
      </x:c>
      <x:c r="E244" t="str">
        <x:v>Pôle C</x:v>
      </x:c>
      <x:c r="F244" s="18" t="n">
        <x:v>5653.14</x:v>
      </x:c>
      <x:c r="G244" s="18" t="n">
        <x:v>1581.47</x:v>
      </x:c>
      <x:c r="H244" t="str">
        <x:v>Client 48</x:v>
      </x:c>
      <x:c r="I244" s="16" t="n">
        <x:v>45975</x:v>
      </x:c>
      <x:c r="J244" t="n">
        <x:f>YEAR(B244)</x:f>
        <x:v>2025</x:v>
      </x:c>
      <x:c r="K244" s="20" t="n">
        <x:f>DATE(YEAR(B244),MONTH(B244),1)</x:f>
        <x:v>45931</x:v>
      </x:c>
      <x:c r="L244" s="18" t="n">
        <x:f>F244-G244</x:f>
        <x:v>4071.67</x:v>
      </x:c>
      <x:c r="M244" t="str">
        <x:f>IF(L244&lt;=0,"Payée",IF(G244=0,"Impayée","Partielle"))</x:f>
        <x:v>Partielle</x:v>
      </x:c>
      <x:c r="N244" t="n">
        <x:f>IF(I244="","",I244-B244)</x:f>
        <x:v>22</x:v>
      </x:c>
      <x:c r="O244" t="str">
        <x:f>IF(TRIM(C244)&lt;&gt;TRIM(H244),"Oui","Non")</x:f>
        <x:v>Non</x:v>
      </x:c>
      <x:c r="P244" t="str">
        <x:f>IFERROR(INDEX('02_REFERENTIEL_CLIENTS'!$B$2:$B$51,MATCH(TRIM(C244),'02_REFERENTIEL_CLIENTS'!$A$2:$A$51,0)),"Non trouvé")</x:f>
        <x:v>Particuliers</x:v>
      </x:c>
      <x:c r="Q244" t="str">
        <x:f>IFERROR(INDEX('02_REFERENTIEL_CLIENTS'!$C$2:$C$51,MATCH(TRIM(C244),'02_REFERENTIEL_CLIENTS'!$A$2:$A$51,0)),"Non trouvé")</x:f>
        <x:v>International</x:v>
      </x:c>
      <x:c r="R244" t="str">
        <x:f>IF(OR(F244&lt;=0,G244&lt;0,G244&gt;F244,N244&lt;0,P244="Non trouvé"),"À vérifier","OK")</x:f>
        <x:v>OK</x:v>
      </x:c>
    </x:row>
    <x:row r="245">
      <x:c r="A245" t="str">
        <x:v>DV-2026-00244</x:v>
      </x:c>
      <x:c r="B245" s="16" t="n">
        <x:v>46095</x:v>
      </x:c>
      <x:c r="C245" t="str">
        <x:v>Client 34</x:v>
      </x:c>
      <x:c r="D245" t="str">
        <x:v>Fret maritime</x:v>
      </x:c>
      <x:c r="E245" t="str">
        <x:v>Pôle A</x:v>
      </x:c>
      <x:c r="F245" s="18" t="n">
        <x:v>5183.89</x:v>
      </x:c>
      <x:c r="G245" s="18" t="n">
        <x:v>5183.89</x:v>
      </x:c>
      <x:c r="H245" t="str">
        <x:v>Client 34</x:v>
      </x:c>
      <x:c r="I245" s="16" t="n">
        <x:v>46109</x:v>
      </x:c>
      <x:c r="J245" t="n">
        <x:f>YEAR(B245)</x:f>
        <x:v>2026</x:v>
      </x:c>
      <x:c r="K245" s="20" t="n">
        <x:f>DATE(YEAR(B245),MONTH(B245),1)</x:f>
        <x:v>46082</x:v>
      </x:c>
      <x:c r="L245" s="18" t="n">
        <x:f>F245-G245</x:f>
        <x:v>0</x:v>
      </x:c>
      <x:c r="M245" t="str">
        <x:f>IF(L245&lt;=0,"Payée",IF(G245=0,"Impayée","Partielle"))</x:f>
        <x:v>Payée</x:v>
      </x:c>
      <x:c r="N245" t="n">
        <x:f>IF(I245="","",I245-B245)</x:f>
        <x:v>14</x:v>
      </x:c>
      <x:c r="O245" t="str">
        <x:f>IF(TRIM(C245)&lt;&gt;TRIM(H245),"Oui","Non")</x:f>
        <x:v>Non</x:v>
      </x:c>
      <x:c r="P245" t="str">
        <x:f>IFERROR(INDEX('02_REFERENTIEL_CLIENTS'!$B$2:$B$51,MATCH(TRIM(C245),'02_REFERENTIEL_CLIENTS'!$A$2:$A$51,0)),"Non trouvé")</x:f>
        <x:v>Grands comptes</x:v>
      </x:c>
      <x:c r="Q245" t="str">
        <x:f>IFERROR(INDEX('02_REFERENTIEL_CLIENTS'!$C$2:$C$51,MATCH(TRIM(C245),'02_REFERENTIEL_CLIENTS'!$A$2:$A$51,0)),"Non trouvé")</x:f>
        <x:v>France</x:v>
      </x:c>
      <x:c r="R245" t="str">
        <x:f>IF(OR(F245&lt;=0,G245&lt;0,G245&gt;F245,N245&lt;0,P245="Non trouvé"),"À vérifier","OK")</x:f>
        <x:v>OK</x:v>
      </x:c>
    </x:row>
    <x:row r="246">
      <x:c r="A246" t="str">
        <x:v>DV-2024-00245</x:v>
      </x:c>
      <x:c r="B246" s="16" t="n">
        <x:v>45339</x:v>
      </x:c>
      <x:c r="C246" t="str">
        <x:v>Client 43</x:v>
      </x:c>
      <x:c r="D246" t="str">
        <x:v>Fret maritime</x:v>
      </x:c>
      <x:c r="E246" t="str">
        <x:v>Pôle C</x:v>
      </x:c>
      <x:c r="F246" s="18" t="n">
        <x:v>18383.62</x:v>
      </x:c>
      <x:c r="G246" s="18" t="n">
        <x:v>18383.62</x:v>
      </x:c>
      <x:c r="H246" t="str">
        <x:v>Client 43</x:v>
      </x:c>
      <x:c r="I246" s="16" t="n">
        <x:v>45430</x:v>
      </x:c>
      <x:c r="J246" t="n">
        <x:f>YEAR(B246)</x:f>
        <x:v>2024</x:v>
      </x:c>
      <x:c r="K246" s="20" t="n">
        <x:f>DATE(YEAR(B246),MONTH(B246),1)</x:f>
        <x:v>45323</x:v>
      </x:c>
      <x:c r="L246" s="18" t="n">
        <x:f>F246-G246</x:f>
        <x:v>0</x:v>
      </x:c>
      <x:c r="M246" t="str">
        <x:f>IF(L246&lt;=0,"Payée",IF(G246=0,"Impayée","Partielle"))</x:f>
        <x:v>Payée</x:v>
      </x:c>
      <x:c r="N246" t="n">
        <x:f>IF(I246="","",I246-B246)</x:f>
        <x:v>91</x:v>
      </x:c>
      <x:c r="O246" t="str">
        <x:f>IF(TRIM(C246)&lt;&gt;TRIM(H246),"Oui","Non")</x:f>
        <x:v>Non</x:v>
      </x:c>
      <x:c r="P246" t="str">
        <x:f>IFERROR(INDEX('02_REFERENTIEL_CLIENTS'!$B$2:$B$51,MATCH(TRIM(C246),'02_REFERENTIEL_CLIENTS'!$A$2:$A$51,0)),"Non trouvé")</x:f>
        <x:v>Grands comptes</x:v>
      </x:c>
      <x:c r="Q246" t="str">
        <x:f>IFERROR(INDEX('02_REFERENTIEL_CLIENTS'!$C$2:$C$51,MATCH(TRIM(C246),'02_REFERENTIEL_CLIENTS'!$A$2:$A$51,0)),"Non trouvé")</x:f>
        <x:v>France</x:v>
      </x:c>
      <x:c r="R246" t="str">
        <x:f>IF(OR(F246&lt;=0,G246&lt;0,G246&gt;F246,N246&lt;0,P246="Non trouvé"),"À vérifier","OK")</x:f>
        <x:v>OK</x:v>
      </x:c>
    </x:row>
    <x:row r="247">
      <x:c r="A247" t="str">
        <x:v>DV-2025-00246</x:v>
      </x:c>
      <x:c r="B247" s="16" t="n">
        <x:v>45689</x:v>
      </x:c>
      <x:c r="C247" t="str">
        <x:v>Client 26</x:v>
      </x:c>
      <x:c r="D247" t="str">
        <x:v>Express</x:v>
      </x:c>
      <x:c r="E247" t="str">
        <x:v>Pôle E</x:v>
      </x:c>
      <x:c r="F247" s="18" t="n">
        <x:v>21195.17</x:v>
      </x:c>
      <x:c r="G247" s="18" t="n">
        <x:v>21195.17</x:v>
      </x:c>
      <x:c r="H247" t="str">
        <x:v>Client 26</x:v>
      </x:c>
      <x:c r="I247" s="16" t="n">
        <x:v>45780</x:v>
      </x:c>
      <x:c r="J247" t="n">
        <x:f>YEAR(B247)</x:f>
        <x:v>2025</x:v>
      </x:c>
      <x:c r="K247" s="20" t="n">
        <x:f>DATE(YEAR(B247),MONTH(B247),1)</x:f>
        <x:v>45689</x:v>
      </x:c>
      <x:c r="L247" s="18" t="n">
        <x:f>F247-G247</x:f>
        <x:v>0</x:v>
      </x:c>
      <x:c r="M247" t="str">
        <x:f>IF(L247&lt;=0,"Payée",IF(G247=0,"Impayée","Partielle"))</x:f>
        <x:v>Payée</x:v>
      </x:c>
      <x:c r="N247" t="n">
        <x:f>IF(I247="","",I247-B247)</x:f>
        <x:v>91</x:v>
      </x:c>
      <x:c r="O247" t="str">
        <x:f>IF(TRIM(C247)&lt;&gt;TRIM(H247),"Oui","Non")</x:f>
        <x:v>Non</x:v>
      </x:c>
      <x:c r="P247" t="str">
        <x:f>IFERROR(INDEX('02_REFERENTIEL_CLIENTS'!$B$2:$B$51,MATCH(TRIM(C247),'02_REFERENTIEL_CLIENTS'!$A$2:$A$51,0)),"Non trouvé")</x:f>
        <x:v>PME</x:v>
      </x:c>
      <x:c r="Q247" t="str">
        <x:f>IFERROR(INDEX('02_REFERENTIEL_CLIENTS'!$C$2:$C$51,MATCH(TRIM(C247),'02_REFERENTIEL_CLIENTS'!$A$2:$A$51,0)),"Non trouvé")</x:f>
        <x:v>Europe</x:v>
      </x:c>
      <x:c r="R247" t="str">
        <x:f>IF(OR(F247&lt;=0,G247&lt;0,G247&gt;F247,N247&lt;0,P247="Non trouvé"),"À vérifier","OK")</x:f>
        <x:v>OK</x:v>
      </x:c>
    </x:row>
    <x:row r="248">
      <x:c r="A248" t="str">
        <x:v>DV-2025-00247</x:v>
      </x:c>
      <x:c r="B248" s="16" t="n">
        <x:v>45728</x:v>
      </x:c>
      <x:c r="C248" t="str">
        <x:v>Client 20</x:v>
      </x:c>
      <x:c r="D248" t="str">
        <x:v>Fret maritime</x:v>
      </x:c>
      <x:c r="E248" t="str">
        <x:v>Pôle A</x:v>
      </x:c>
      <x:c r="F248" s="18" t="n">
        <x:v>13015.91</x:v>
      </x:c>
      <x:c r="G248" s="18" t="n">
        <x:v>0</x:v>
      </x:c>
      <x:c r="H248" t="str">
        <x:v>Client 20</x:v>
      </x:c>
      <x:c r="I248" s="16"/>
      <x:c r="J248" t="n">
        <x:f>YEAR(B248)</x:f>
        <x:v>2025</x:v>
      </x:c>
      <x:c r="K248" s="20" t="n">
        <x:f>DATE(YEAR(B248),MONTH(B248),1)</x:f>
        <x:v>45717</x:v>
      </x:c>
      <x:c r="L248" s="18" t="n">
        <x:f>F248-G248</x:f>
        <x:v>13015.91</x:v>
      </x:c>
      <x:c r="M248" t="str">
        <x:f>IF(L248&lt;=0,"Payée",IF(G248=0,"Impayée","Partielle"))</x:f>
        <x:v>Impayée</x:v>
      </x:c>
      <x:c r="N248" t="str">
        <x:f>IF(I248="","",I248-B248)</x:f>
      </x:c>
      <x:c r="O248" t="str">
        <x:f>IF(TRIM(C248)&lt;&gt;TRIM(H248),"Oui","Non")</x:f>
        <x:v>Non</x:v>
      </x:c>
      <x:c r="P248" t="str">
        <x:f>IFERROR(INDEX('02_REFERENTIEL_CLIENTS'!$B$2:$B$51,MATCH(TRIM(C248),'02_REFERENTIEL_CLIENTS'!$A$2:$A$51,0)),"Non trouvé")</x:f>
        <x:v>PME</x:v>
      </x:c>
      <x:c r="Q248" t="str">
        <x:f>IFERROR(INDEX('02_REFERENTIEL_CLIENTS'!$C$2:$C$51,MATCH(TRIM(C248),'02_REFERENTIEL_CLIENTS'!$A$2:$A$51,0)),"Non trouvé")</x:f>
        <x:v>Europe</x:v>
      </x:c>
      <x:c r="R248" t="str">
        <x:f>IF(OR(F248&lt;=0,G248&lt;0,G248&gt;F248,N248&lt;0,P248="Non trouvé"),"À vérifier","OK")</x:f>
        <x:v>OK</x:v>
      </x:c>
    </x:row>
    <x:row r="249">
      <x:c r="A249" t="str">
        <x:v>DV-2024-00248</x:v>
      </x:c>
      <x:c r="B249" s="16" t="n">
        <x:v>45409</x:v>
      </x:c>
      <x:c r="C249" t="str">
        <x:v>Client 42</x:v>
      </x:c>
      <x:c r="D249" t="str">
        <x:v>Fret maritime</x:v>
      </x:c>
      <x:c r="E249" t="str">
        <x:v>Pôle D</x:v>
      </x:c>
      <x:c r="F249" s="18" t="n">
        <x:v>17082.13</x:v>
      </x:c>
      <x:c r="G249" s="18" t="n">
        <x:v>17082.13</x:v>
      </x:c>
      <x:c r="H249" t="str">
        <x:v>Client 42</x:v>
      </x:c>
      <x:c r="I249" s="16" t="n">
        <x:v>45424</x:v>
      </x:c>
      <x:c r="J249" t="n">
        <x:f>YEAR(B249)</x:f>
        <x:v>2024</x:v>
      </x:c>
      <x:c r="K249" s="20" t="n">
        <x:f>DATE(YEAR(B249),MONTH(B249),1)</x:f>
        <x:v>45383</x:v>
      </x:c>
      <x:c r="L249" s="18" t="n">
        <x:f>F249-G249</x:f>
        <x:v>0</x:v>
      </x:c>
      <x:c r="M249" t="str">
        <x:f>IF(L249&lt;=0,"Payée",IF(G249=0,"Impayée","Partielle"))</x:f>
        <x:v>Payée</x:v>
      </x:c>
      <x:c r="N249" t="n">
        <x:f>IF(I249="","",I249-B249)</x:f>
        <x:v>15</x:v>
      </x:c>
      <x:c r="O249" t="str">
        <x:f>IF(TRIM(C249)&lt;&gt;TRIM(H249),"Oui","Non")</x:f>
        <x:v>Non</x:v>
      </x:c>
      <x:c r="P249" t="str">
        <x:f>IFERROR(INDEX('02_REFERENTIEL_CLIENTS'!$B$2:$B$51,MATCH(TRIM(C249),'02_REFERENTIEL_CLIENTS'!$A$2:$A$51,0)),"Non trouvé")</x:f>
        <x:v>Particuliers</x:v>
      </x:c>
      <x:c r="Q249" t="str">
        <x:f>IFERROR(INDEX('02_REFERENTIEL_CLIENTS'!$C$2:$C$51,MATCH(TRIM(C249),'02_REFERENTIEL_CLIENTS'!$A$2:$A$51,0)),"Non trouvé")</x:f>
        <x:v>International</x:v>
      </x:c>
      <x:c r="R249" t="str">
        <x:f>IF(OR(F249&lt;=0,G249&lt;0,G249&gt;F249,N249&lt;0,P249="Non trouvé"),"À vérifier","OK")</x:f>
        <x:v>OK</x:v>
      </x:c>
    </x:row>
    <x:row r="250">
      <x:c r="A250" t="str">
        <x:v>DV-2024-00249</x:v>
      </x:c>
      <x:c r="B250" s="16" t="n">
        <x:v>45535</x:v>
      </x:c>
      <x:c r="C250" t="str">
        <x:v>Client 33</x:v>
      </x:c>
      <x:c r="D250" t="str">
        <x:v>Douane</x:v>
      </x:c>
      <x:c r="E250" t="str">
        <x:v>Pôle B</x:v>
      </x:c>
      <x:c r="F250" s="18" t="n">
        <x:v>11145.66</x:v>
      </x:c>
      <x:c r="G250" s="18" t="n">
        <x:v>11145.66</x:v>
      </x:c>
      <x:c r="H250" t="str">
        <x:v>Client 33</x:v>
      </x:c>
      <x:c r="I250" s="16" t="n">
        <x:v>45594</x:v>
      </x:c>
      <x:c r="J250" t="n">
        <x:f>YEAR(B250)</x:f>
        <x:v>2024</x:v>
      </x:c>
      <x:c r="K250" s="20" t="n">
        <x:f>DATE(YEAR(B250),MONTH(B250),1)</x:f>
        <x:v>45505</x:v>
      </x:c>
      <x:c r="L250" s="18" t="n">
        <x:f>F250-G250</x:f>
        <x:v>0</x:v>
      </x:c>
      <x:c r="M250" t="str">
        <x:f>IF(L250&lt;=0,"Payée",IF(G250=0,"Impayée","Partielle"))</x:f>
        <x:v>Payée</x:v>
      </x:c>
      <x:c r="N250" t="n">
        <x:f>IF(I250="","",I250-B250)</x:f>
        <x:v>59</x:v>
      </x:c>
      <x:c r="O250" t="str">
        <x:f>IF(TRIM(C250)&lt;&gt;TRIM(H250),"Oui","Non")</x:f>
        <x:v>Non</x:v>
      </x:c>
      <x:c r="P250" t="str">
        <x:f>IFERROR(INDEX('02_REFERENTIEL_CLIENTS'!$B$2:$B$51,MATCH(TRIM(C250),'02_REFERENTIEL_CLIENTS'!$A$2:$A$51,0)),"Non trouvé")</x:f>
        <x:v>Particuliers</x:v>
      </x:c>
      <x:c r="Q250" t="str">
        <x:f>IFERROR(INDEX('02_REFERENTIEL_CLIENTS'!$C$2:$C$51,MATCH(TRIM(C250),'02_REFERENTIEL_CLIENTS'!$A$2:$A$51,0)),"Non trouvé")</x:f>
        <x:v>International</x:v>
      </x:c>
      <x:c r="R250" t="str">
        <x:f>IF(OR(F250&lt;=0,G250&lt;0,G250&gt;F250,N250&lt;0,P250="Non trouvé"),"À vérifier","OK")</x:f>
        <x:v>OK</x:v>
      </x:c>
    </x:row>
    <x:row r="251">
      <x:c r="A251" t="str">
        <x:v>DV-2025-00250</x:v>
      </x:c>
      <x:c r="B251" s="16" t="n">
        <x:v>45683</x:v>
      </x:c>
      <x:c r="C251" t="str">
        <x:v>Client 41</x:v>
      </x:c>
      <x:c r="D251" t="str">
        <x:v>Express</x:v>
      </x:c>
      <x:c r="E251" t="str">
        <x:v>Pôle A</x:v>
      </x:c>
      <x:c r="F251" s="18" t="n">
        <x:v>16871.07</x:v>
      </x:c>
      <x:c r="G251" s="18" t="n">
        <x:v>13993.09</x:v>
      </x:c>
      <x:c r="H251" t="str">
        <x:v>Client 41</x:v>
      </x:c>
      <x:c r="I251" s="16" t="n">
        <x:v>45771</x:v>
      </x:c>
      <x:c r="J251" t="n">
        <x:f>YEAR(B251)</x:f>
        <x:v>2025</x:v>
      </x:c>
      <x:c r="K251" s="20" t="n">
        <x:f>DATE(YEAR(B251),MONTH(B251),1)</x:f>
        <x:v>45658</x:v>
      </x:c>
      <x:c r="L251" s="18" t="n">
        <x:f>F251-G251</x:f>
        <x:v>2877.9799999999996</x:v>
      </x:c>
      <x:c r="M251" t="str">
        <x:f>IF(L251&lt;=0,"Payée",IF(G251=0,"Impayée","Partielle"))</x:f>
        <x:v>Partielle</x:v>
      </x:c>
      <x:c r="N251" t="n">
        <x:f>IF(I251="","",I251-B251)</x:f>
        <x:v>88</x:v>
      </x:c>
      <x:c r="O251" t="str">
        <x:f>IF(TRIM(C251)&lt;&gt;TRIM(H251),"Oui","Non")</x:f>
        <x:v>Non</x:v>
      </x:c>
      <x:c r="P251" t="str">
        <x:f>IFERROR(INDEX('02_REFERENTIEL_CLIENTS'!$B$2:$B$51,MATCH(TRIM(C251),'02_REFERENTIEL_CLIENTS'!$A$2:$A$51,0)),"Non trouvé")</x:f>
        <x:v>PME</x:v>
      </x:c>
      <x:c r="Q251" t="str">
        <x:f>IFERROR(INDEX('02_REFERENTIEL_CLIENTS'!$C$2:$C$51,MATCH(TRIM(C251),'02_REFERENTIEL_CLIENTS'!$A$2:$A$51,0)),"Non trouvé")</x:f>
        <x:v>Europe</x:v>
      </x:c>
      <x:c r="R251" t="str">
        <x:f>IF(OR(F251&lt;=0,G251&lt;0,G251&gt;F251,N251&lt;0,P251="Non trouvé"),"À vérifier","OK")</x:f>
        <x:v>OK</x:v>
      </x:c>
    </x:row>
    <x:row r="252">
      <x:c r="A252" t="str">
        <x:v>DV-2025-00251</x:v>
      </x:c>
      <x:c r="B252" s="16" t="n">
        <x:v>45762</x:v>
      </x:c>
      <x:c r="C252" t="str">
        <x:v>Client 13</x:v>
      </x:c>
      <x:c r="D252" t="str">
        <x:v>Fret maritime</x:v>
      </x:c>
      <x:c r="E252" t="str">
        <x:v>Pôle C</x:v>
      </x:c>
      <x:c r="F252" s="18" t="n">
        <x:v>4710.53</x:v>
      </x:c>
      <x:c r="G252" s="18" t="n">
        <x:v>0</x:v>
      </x:c>
      <x:c r="H252" t="str">
        <x:v>Client 13</x:v>
      </x:c>
      <x:c r="I252" s="16"/>
      <x:c r="J252" t="n">
        <x:f>YEAR(B252)</x:f>
        <x:v>2025</x:v>
      </x:c>
      <x:c r="K252" s="20" t="n">
        <x:f>DATE(YEAR(B252),MONTH(B252),1)</x:f>
        <x:v>45748</x:v>
      </x:c>
      <x:c r="L252" s="18" t="n">
        <x:f>F252-G252</x:f>
        <x:v>4710.53</x:v>
      </x:c>
      <x:c r="M252" t="str">
        <x:f>IF(L252&lt;=0,"Payée",IF(G252=0,"Impayée","Partielle"))</x:f>
        <x:v>Impayée</x:v>
      </x:c>
      <x:c r="N252" t="str">
        <x:f>IF(I252="","",I252-B252)</x:f>
      </x:c>
      <x:c r="O252" t="str">
        <x:f>IF(TRIM(C252)&lt;&gt;TRIM(H252),"Oui","Non")</x:f>
        <x:v>Non</x:v>
      </x:c>
      <x:c r="P252" t="str">
        <x:f>IFERROR(INDEX('02_REFERENTIEL_CLIENTS'!$B$2:$B$51,MATCH(TRIM(C252),'02_REFERENTIEL_CLIENTS'!$A$2:$A$51,0)),"Non trouvé")</x:f>
        <x:v>Grands comptes</x:v>
      </x:c>
      <x:c r="Q252" t="str">
        <x:f>IFERROR(INDEX('02_REFERENTIEL_CLIENTS'!$C$2:$C$51,MATCH(TRIM(C252),'02_REFERENTIEL_CLIENTS'!$A$2:$A$51,0)),"Non trouvé")</x:f>
        <x:v>France</x:v>
      </x:c>
      <x:c r="R252" t="str">
        <x:f>IF(OR(F252&lt;=0,G252&lt;0,G252&gt;F252,N252&lt;0,P252="Non trouvé"),"À vérifier","OK")</x:f>
        <x:v>OK</x:v>
      </x:c>
    </x:row>
    <x:row r="253">
      <x:c r="A253" t="str">
        <x:v>DV-2025-00252</x:v>
      </x:c>
      <x:c r="B253" s="16" t="n">
        <x:v>45734</x:v>
      </x:c>
      <x:c r="C253" t="str">
        <x:v>Client 18</x:v>
      </x:c>
      <x:c r="D253" t="str">
        <x:v>Fret maritime</x:v>
      </x:c>
      <x:c r="E253" t="str">
        <x:v>Pôle C</x:v>
      </x:c>
      <x:c r="F253" s="18" t="n">
        <x:v>4258.1</x:v>
      </x:c>
      <x:c r="G253" s="18" t="n">
        <x:v>4258.1</x:v>
      </x:c>
      <x:c r="H253" t="str">
        <x:v>Client 34</x:v>
      </x:c>
      <x:c r="I253" s="16" t="n">
        <x:v>45775</x:v>
      </x:c>
      <x:c r="J253" t="n">
        <x:f>YEAR(B253)</x:f>
        <x:v>2025</x:v>
      </x:c>
      <x:c r="K253" s="20" t="n">
        <x:f>DATE(YEAR(B253),MONTH(B253),1)</x:f>
        <x:v>45717</x:v>
      </x:c>
      <x:c r="L253" s="18" t="n">
        <x:f>F253-G253</x:f>
        <x:v>0</x:v>
      </x:c>
      <x:c r="M253" t="str">
        <x:f>IF(L253&lt;=0,"Payée",IF(G253=0,"Impayée","Partielle"))</x:f>
        <x:v>Payée</x:v>
      </x:c>
      <x:c r="N253" t="n">
        <x:f>IF(I253="","",I253-B253)</x:f>
        <x:v>41</x:v>
      </x:c>
      <x:c r="O253" t="str">
        <x:f>IF(TRIM(C253)&lt;&gt;TRIM(H253),"Oui","Non")</x:f>
        <x:v>Oui</x:v>
      </x:c>
      <x:c r="P253" t="str">
        <x:f>IFERROR(INDEX('02_REFERENTIEL_CLIENTS'!$B$2:$B$51,MATCH(TRIM(C253),'02_REFERENTIEL_CLIENTS'!$A$2:$A$51,0)),"Non trouvé")</x:f>
        <x:v>Particuliers</x:v>
      </x:c>
      <x:c r="Q253" t="str">
        <x:f>IFERROR(INDEX('02_REFERENTIEL_CLIENTS'!$C$2:$C$51,MATCH(TRIM(C253),'02_REFERENTIEL_CLIENTS'!$A$2:$A$51,0)),"Non trouvé")</x:f>
        <x:v>International</x:v>
      </x:c>
      <x:c r="R253" t="str">
        <x:f>IF(OR(F253&lt;=0,G253&lt;0,G253&gt;F253,N253&lt;0,P253="Non trouvé"),"À vérifier","OK")</x:f>
        <x:v>OK</x:v>
      </x:c>
    </x:row>
    <x:row r="254">
      <x:c r="A254" t="str">
        <x:v>DV-2024-00253</x:v>
      </x:c>
      <x:c r="B254" s="16" t="n">
        <x:v>45554</x:v>
      </x:c>
      <x:c r="C254" t="str">
        <x:v>Client 03</x:v>
      </x:c>
      <x:c r="D254" t="str">
        <x:v>Fret maritime</x:v>
      </x:c>
      <x:c r="E254" t="str">
        <x:v>Pôle B</x:v>
      </x:c>
      <x:c r="F254" s="18" t="n">
        <x:v>11060.32</x:v>
      </x:c>
      <x:c r="G254" s="18" t="n">
        <x:v>4018.97</x:v>
      </x:c>
      <x:c r="H254" t="str">
        <x:v>Client 03</x:v>
      </x:c>
      <x:c r="I254" s="16" t="n">
        <x:v>45642</x:v>
      </x:c>
      <x:c r="J254" t="n">
        <x:f>YEAR(B254)</x:f>
        <x:v>2024</x:v>
      </x:c>
      <x:c r="K254" s="20" t="n">
        <x:f>DATE(YEAR(B254),MONTH(B254),1)</x:f>
        <x:v>45536</x:v>
      </x:c>
      <x:c r="L254" s="18" t="n">
        <x:f>F254-G254</x:f>
        <x:v>7041.35</x:v>
      </x:c>
      <x:c r="M254" t="str">
        <x:f>IF(L254&lt;=0,"Payée",IF(G254=0,"Impayée","Partielle"))</x:f>
        <x:v>Partielle</x:v>
      </x:c>
      <x:c r="N254" t="n">
        <x:f>IF(I254="","",I254-B254)</x:f>
        <x:v>88</x:v>
      </x:c>
      <x:c r="O254" t="str">
        <x:f>IF(TRIM(C254)&lt;&gt;TRIM(H254),"Oui","Non")</x:f>
        <x:v>Non</x:v>
      </x:c>
      <x:c r="P254" t="str">
        <x:f>IFERROR(INDEX('02_REFERENTIEL_CLIENTS'!$B$2:$B$51,MATCH(TRIM(C254),'02_REFERENTIEL_CLIENTS'!$A$2:$A$51,0)),"Non trouvé")</x:f>
        <x:v>Particuliers</x:v>
      </x:c>
      <x:c r="Q254" t="str">
        <x:f>IFERROR(INDEX('02_REFERENTIEL_CLIENTS'!$C$2:$C$51,MATCH(TRIM(C254),'02_REFERENTIEL_CLIENTS'!$A$2:$A$51,0)),"Non trouvé")</x:f>
        <x:v>International</x:v>
      </x:c>
      <x:c r="R254" t="str">
        <x:f>IF(OR(F254&lt;=0,G254&lt;0,G254&gt;F254,N254&lt;0,P254="Non trouvé"),"À vérifier","OK")</x:f>
        <x:v>OK</x:v>
      </x:c>
    </x:row>
    <x:row r="255">
      <x:c r="A255" t="str">
        <x:v>DV-2026-00254</x:v>
      </x:c>
      <x:c r="B255" s="16" t="n">
        <x:v>46169</x:v>
      </x:c>
      <x:c r="C255" t="str">
        <x:v>Client 34</x:v>
      </x:c>
      <x:c r="D255" t="str">
        <x:v>Douane</x:v>
      </x:c>
      <x:c r="E255" t="str">
        <x:v>Pôle E</x:v>
      </x:c>
      <x:c r="F255" s="18" t="n">
        <x:v>19059.29</x:v>
      </x:c>
      <x:c r="G255" s="18" t="n">
        <x:v>19059.29</x:v>
      </x:c>
      <x:c r="H255" t="str">
        <x:v>Client 34</x:v>
      </x:c>
      <x:c r="I255" s="16" t="n">
        <x:v>46228</x:v>
      </x:c>
      <x:c r="J255" t="n">
        <x:f>YEAR(B255)</x:f>
        <x:v>2026</x:v>
      </x:c>
      <x:c r="K255" s="20" t="n">
        <x:f>DATE(YEAR(B255),MONTH(B255),1)</x:f>
        <x:v>46143</x:v>
      </x:c>
      <x:c r="L255" s="18" t="n">
        <x:f>F255-G255</x:f>
        <x:v>0</x:v>
      </x:c>
      <x:c r="M255" t="str">
        <x:f>IF(L255&lt;=0,"Payée",IF(G255=0,"Impayée","Partielle"))</x:f>
        <x:v>Payée</x:v>
      </x:c>
      <x:c r="N255" t="n">
        <x:f>IF(I255="","",I255-B255)</x:f>
        <x:v>59</x:v>
      </x:c>
      <x:c r="O255" t="str">
        <x:f>IF(TRIM(C255)&lt;&gt;TRIM(H255),"Oui","Non")</x:f>
        <x:v>Non</x:v>
      </x:c>
      <x:c r="P255" t="str">
        <x:f>IFERROR(INDEX('02_REFERENTIEL_CLIENTS'!$B$2:$B$51,MATCH(TRIM(C255),'02_REFERENTIEL_CLIENTS'!$A$2:$A$51,0)),"Non trouvé")</x:f>
        <x:v>Grands comptes</x:v>
      </x:c>
      <x:c r="Q255" t="str">
        <x:f>IFERROR(INDEX('02_REFERENTIEL_CLIENTS'!$C$2:$C$51,MATCH(TRIM(C255),'02_REFERENTIEL_CLIENTS'!$A$2:$A$51,0)),"Non trouvé")</x:f>
        <x:v>France</x:v>
      </x:c>
      <x:c r="R255" t="str">
        <x:f>IF(OR(F255&lt;=0,G255&lt;0,G255&gt;F255,N255&lt;0,P255="Non trouvé"),"À vérifier","OK")</x:f>
        <x:v>OK</x:v>
      </x:c>
    </x:row>
    <x:row r="256">
      <x:c r="A256" t="str">
        <x:v>DV-2024-00255</x:v>
      </x:c>
      <x:c r="B256" s="16" t="n">
        <x:v>45544</x:v>
      </x:c>
      <x:c r="C256" t="str">
        <x:v>Client 01</x:v>
      </x:c>
      <x:c r="D256" t="str">
        <x:v>Fret aérien</x:v>
      </x:c>
      <x:c r="E256" t="str">
        <x:v>Pôle E</x:v>
      </x:c>
      <x:c r="F256" s="18" t="n">
        <x:v>18234.48</x:v>
      </x:c>
      <x:c r="G256" s="18" t="n">
        <x:v>18234.48</x:v>
      </x:c>
      <x:c r="H256" t="str">
        <x:v>Client 11</x:v>
      </x:c>
      <x:c r="I256" s="16" t="n">
        <x:v>45624</x:v>
      </x:c>
      <x:c r="J256" t="n">
        <x:f>YEAR(B256)</x:f>
        <x:v>2024</x:v>
      </x:c>
      <x:c r="K256" s="20" t="n">
        <x:f>DATE(YEAR(B256),MONTH(B256),1)</x:f>
        <x:v>45536</x:v>
      </x:c>
      <x:c r="L256" s="18" t="n">
        <x:f>F256-G256</x:f>
        <x:v>0</x:v>
      </x:c>
      <x:c r="M256" t="str">
        <x:f>IF(L256&lt;=0,"Payée",IF(G256=0,"Impayée","Partielle"))</x:f>
        <x:v>Payée</x:v>
      </x:c>
      <x:c r="N256" t="n">
        <x:f>IF(I256="","",I256-B256)</x:f>
        <x:v>80</x:v>
      </x:c>
      <x:c r="O256" t="str">
        <x:f>IF(TRIM(C256)&lt;&gt;TRIM(H256),"Oui","Non")</x:f>
        <x:v>Oui</x:v>
      </x:c>
      <x:c r="P256" t="str">
        <x:f>IFERROR(INDEX('02_REFERENTIEL_CLIENTS'!$B$2:$B$51,MATCH(TRIM(C256),'02_REFERENTIEL_CLIENTS'!$A$2:$A$51,0)),"Non trouvé")</x:f>
        <x:v>Grands comptes</x:v>
      </x:c>
      <x:c r="Q256" t="str">
        <x:f>IFERROR(INDEX('02_REFERENTIEL_CLIENTS'!$C$2:$C$51,MATCH(TRIM(C256),'02_REFERENTIEL_CLIENTS'!$A$2:$A$51,0)),"Non trouvé")</x:f>
        <x:v>France</x:v>
      </x:c>
      <x:c r="R256" t="str">
        <x:f>IF(OR(F256&lt;=0,G256&lt;0,G256&gt;F256,N256&lt;0,P256="Non trouvé"),"À vérifier","OK")</x:f>
        <x:v>OK</x:v>
      </x:c>
    </x:row>
    <x:row r="257">
      <x:c r="A257" t="str">
        <x:v>DV-2025-00256</x:v>
      </x:c>
      <x:c r="B257" s="16" t="n">
        <x:v>45825</x:v>
      </x:c>
      <x:c r="C257" t="str">
        <x:v>Client 01</x:v>
      </x:c>
      <x:c r="D257" t="str">
        <x:v>Fret maritime</x:v>
      </x:c>
      <x:c r="E257" t="str">
        <x:v>Pôle D</x:v>
      </x:c>
      <x:c r="F257" s="18" t="n">
        <x:v>1607.83</x:v>
      </x:c>
      <x:c r="G257" s="18" t="n">
        <x:v>0</x:v>
      </x:c>
      <x:c r="H257" t="str">
        <x:v>Client 01</x:v>
      </x:c>
      <x:c r="I257" s="16"/>
      <x:c r="J257" t="n">
        <x:f>YEAR(B257)</x:f>
        <x:v>2025</x:v>
      </x:c>
      <x:c r="K257" s="20" t="n">
        <x:f>DATE(YEAR(B257),MONTH(B257),1)</x:f>
        <x:v>45809</x:v>
      </x:c>
      <x:c r="L257" s="18" t="n">
        <x:f>F257-G257</x:f>
        <x:v>1607.83</x:v>
      </x:c>
      <x:c r="M257" t="str">
        <x:f>IF(L257&lt;=0,"Payée",IF(G257=0,"Impayée","Partielle"))</x:f>
        <x:v>Impayée</x:v>
      </x:c>
      <x:c r="N257" t="str">
        <x:f>IF(I257="","",I257-B257)</x:f>
      </x:c>
      <x:c r="O257" t="str">
        <x:f>IF(TRIM(C257)&lt;&gt;TRIM(H257),"Oui","Non")</x:f>
        <x:v>Non</x:v>
      </x:c>
      <x:c r="P257" t="str">
        <x:f>IFERROR(INDEX('02_REFERENTIEL_CLIENTS'!$B$2:$B$51,MATCH(TRIM(C257),'02_REFERENTIEL_CLIENTS'!$A$2:$A$51,0)),"Non trouvé")</x:f>
        <x:v>Grands comptes</x:v>
      </x:c>
      <x:c r="Q257" t="str">
        <x:f>IFERROR(INDEX('02_REFERENTIEL_CLIENTS'!$C$2:$C$51,MATCH(TRIM(C257),'02_REFERENTIEL_CLIENTS'!$A$2:$A$51,0)),"Non trouvé")</x:f>
        <x:v>France</x:v>
      </x:c>
      <x:c r="R257" t="str">
        <x:f>IF(OR(F257&lt;=0,G257&lt;0,G257&gt;F257,N257&lt;0,P257="Non trouvé"),"À vérifier","OK")</x:f>
        <x:v>OK</x:v>
      </x:c>
    </x:row>
    <x:row r="258">
      <x:c r="A258" t="str">
        <x:v>DV-2024-00257</x:v>
      </x:c>
      <x:c r="B258" s="16" t="n">
        <x:v>45559</x:v>
      </x:c>
      <x:c r="C258" t="str">
        <x:v>Client 32</x:v>
      </x:c>
      <x:c r="D258" t="str">
        <x:v>Douane</x:v>
      </x:c>
      <x:c r="E258" t="str">
        <x:v>Pôle B</x:v>
      </x:c>
      <x:c r="F258" s="18" t="n">
        <x:v>6183.55</x:v>
      </x:c>
      <x:c r="G258" s="18" t="n">
        <x:v>4551.08</x:v>
      </x:c>
      <x:c r="H258" t="str">
        <x:v>Client 32</x:v>
      </x:c>
      <x:c r="I258" s="16" t="n">
        <x:v>45607</x:v>
      </x:c>
      <x:c r="J258" t="n">
        <x:f>YEAR(B258)</x:f>
        <x:v>2024</x:v>
      </x:c>
      <x:c r="K258" s="20" t="n">
        <x:f>DATE(YEAR(B258),MONTH(B258),1)</x:f>
        <x:v>45536</x:v>
      </x:c>
      <x:c r="L258" s="18" t="n">
        <x:f>F258-G258</x:f>
        <x:v>1632.4700000000003</x:v>
      </x:c>
      <x:c r="M258" t="str">
        <x:f>IF(L258&lt;=0,"Payée",IF(G258=0,"Impayée","Partielle"))</x:f>
        <x:v>Partielle</x:v>
      </x:c>
      <x:c r="N258" t="n">
        <x:f>IF(I258="","",I258-B258)</x:f>
        <x:v>48</x:v>
      </x:c>
      <x:c r="O258" t="str">
        <x:f>IF(TRIM(C258)&lt;&gt;TRIM(H258),"Oui","Non")</x:f>
        <x:v>Non</x:v>
      </x:c>
      <x:c r="P258" t="str">
        <x:f>IFERROR(INDEX('02_REFERENTIEL_CLIENTS'!$B$2:$B$51,MATCH(TRIM(C258),'02_REFERENTIEL_CLIENTS'!$A$2:$A$51,0)),"Non trouvé")</x:f>
        <x:v>PME</x:v>
      </x:c>
      <x:c r="Q258" t="str">
        <x:f>IFERROR(INDEX('02_REFERENTIEL_CLIENTS'!$C$2:$C$51,MATCH(TRIM(C258),'02_REFERENTIEL_CLIENTS'!$A$2:$A$51,0)),"Non trouvé")</x:f>
        <x:v>Europe</x:v>
      </x:c>
      <x:c r="R258" t="str">
        <x:f>IF(OR(F258&lt;=0,G258&lt;0,G258&gt;F258,N258&lt;0,P258="Non trouvé"),"À vérifier","OK")</x:f>
        <x:v>OK</x:v>
      </x:c>
    </x:row>
    <x:row r="259">
      <x:c r="A259" t="str">
        <x:v>DV-2024-00258</x:v>
      </x:c>
      <x:c r="B259" s="16" t="n">
        <x:v>45416</x:v>
      </x:c>
      <x:c r="C259" t="str">
        <x:v>Client 27</x:v>
      </x:c>
      <x:c r="D259" t="str">
        <x:v>Logistique</x:v>
      </x:c>
      <x:c r="E259" t="str">
        <x:v>Pôle D</x:v>
      </x:c>
      <x:c r="F259" s="18" t="n">
        <x:v>2198.43</x:v>
      </x:c>
      <x:c r="G259" s="18" t="n">
        <x:v>2198.43</x:v>
      </x:c>
      <x:c r="H259" t="str">
        <x:v>Client 27</x:v>
      </x:c>
      <x:c r="I259" s="16" t="n">
        <x:v>45429</x:v>
      </x:c>
      <x:c r="J259" t="n">
        <x:f>YEAR(B259)</x:f>
        <x:v>2024</x:v>
      </x:c>
      <x:c r="K259" s="20" t="n">
        <x:f>DATE(YEAR(B259),MONTH(B259),1)</x:f>
        <x:v>45413</x:v>
      </x:c>
      <x:c r="L259" s="18" t="n">
        <x:f>F259-G259</x:f>
        <x:v>0</x:v>
      </x:c>
      <x:c r="M259" t="str">
        <x:f>IF(L259&lt;=0,"Payée",IF(G259=0,"Impayée","Partielle"))</x:f>
        <x:v>Payée</x:v>
      </x:c>
      <x:c r="N259" t="n">
        <x:f>IF(I259="","",I259-B259)</x:f>
        <x:v>13</x:v>
      </x:c>
      <x:c r="O259" t="str">
        <x:f>IF(TRIM(C259)&lt;&gt;TRIM(H259),"Oui","Non")</x:f>
        <x:v>Non</x:v>
      </x:c>
      <x:c r="P259" t="str">
        <x:f>IFERROR(INDEX('02_REFERENTIEL_CLIENTS'!$B$2:$B$51,MATCH(TRIM(C259),'02_REFERENTIEL_CLIENTS'!$A$2:$A$51,0)),"Non trouvé")</x:f>
        <x:v>Particuliers</x:v>
      </x:c>
      <x:c r="Q259" t="str">
        <x:f>IFERROR(INDEX('02_REFERENTIEL_CLIENTS'!$C$2:$C$51,MATCH(TRIM(C259),'02_REFERENTIEL_CLIENTS'!$A$2:$A$51,0)),"Non trouvé")</x:f>
        <x:v>International</x:v>
      </x:c>
      <x:c r="R259" t="str">
        <x:f>IF(OR(F259&lt;=0,G259&lt;0,G259&gt;F259,N259&lt;0,P259="Non trouvé"),"À vérifier","OK")</x:f>
        <x:v>OK</x:v>
      </x:c>
    </x:row>
    <x:row r="260">
      <x:c r="A260" t="str">
        <x:v>DV-2024-00259</x:v>
      </x:c>
      <x:c r="B260" s="16" t="n">
        <x:v>45649</x:v>
      </x:c>
      <x:c r="C260" t="str">
        <x:v>Client 40</x:v>
      </x:c>
      <x:c r="D260" t="str">
        <x:v>Express</x:v>
      </x:c>
      <x:c r="E260" t="str">
        <x:v>Pôle C</x:v>
      </x:c>
      <x:c r="F260" s="18" t="n">
        <x:v>5161.78</x:v>
      </x:c>
      <x:c r="G260" s="18" t="n">
        <x:v>5161.78</x:v>
      </x:c>
      <x:c r="H260" t="str">
        <x:v>Client 40</x:v>
      </x:c>
      <x:c r="I260" s="16" t="n">
        <x:v>45663</x:v>
      </x:c>
      <x:c r="J260" t="n">
        <x:f>YEAR(B260)</x:f>
        <x:v>2024</x:v>
      </x:c>
      <x:c r="K260" s="20" t="n">
        <x:f>DATE(YEAR(B260),MONTH(B260),1)</x:f>
        <x:v>45627</x:v>
      </x:c>
      <x:c r="L260" s="18" t="n">
        <x:f>F260-G260</x:f>
        <x:v>0</x:v>
      </x:c>
      <x:c r="M260" t="str">
        <x:f>IF(L260&lt;=0,"Payée",IF(G260=0,"Impayée","Partielle"))</x:f>
        <x:v>Payée</x:v>
      </x:c>
      <x:c r="N260" t="n">
        <x:f>IF(I260="","",I260-B260)</x:f>
        <x:v>14</x:v>
      </x:c>
      <x:c r="O260" t="str">
        <x:f>IF(TRIM(C260)&lt;&gt;TRIM(H260),"Oui","Non")</x:f>
        <x:v>Non</x:v>
      </x:c>
      <x:c r="P260" t="str">
        <x:f>IFERROR(INDEX('02_REFERENTIEL_CLIENTS'!$B$2:$B$51,MATCH(TRIM(C260),'02_REFERENTIEL_CLIENTS'!$A$2:$A$51,0)),"Non trouvé")</x:f>
        <x:v>Grands comptes</x:v>
      </x:c>
      <x:c r="Q260" t="str">
        <x:f>IFERROR(INDEX('02_REFERENTIEL_CLIENTS'!$C$2:$C$51,MATCH(TRIM(C260),'02_REFERENTIEL_CLIENTS'!$A$2:$A$51,0)),"Non trouvé")</x:f>
        <x:v>France</x:v>
      </x:c>
      <x:c r="R260" t="str">
        <x:f>IF(OR(F260&lt;=0,G260&lt;0,G260&gt;F260,N260&lt;0,P260="Non trouvé"),"À vérifier","OK")</x:f>
        <x:v>OK</x:v>
      </x:c>
    </x:row>
    <x:row r="261">
      <x:c r="A261" t="str">
        <x:v>DV-2026-00260</x:v>
      </x:c>
      <x:c r="B261" s="16" t="n">
        <x:v>46184</x:v>
      </x:c>
      <x:c r="C261" t="str">
        <x:v>Client 45</x:v>
      </x:c>
      <x:c r="D261" t="str">
        <x:v>Logistique</x:v>
      </x:c>
      <x:c r="E261" t="str">
        <x:v>Pôle B</x:v>
      </x:c>
      <x:c r="F261" s="18" t="n">
        <x:v>22053.78</x:v>
      </x:c>
      <x:c r="G261" s="18" t="n">
        <x:v>22053.78</x:v>
      </x:c>
      <x:c r="H261" t="str">
        <x:v>Client 07</x:v>
      </x:c>
      <x:c r="I261" s="16" t="n">
        <x:v>46252</x:v>
      </x:c>
      <x:c r="J261" t="n">
        <x:f>YEAR(B261)</x:f>
        <x:v>2026</x:v>
      </x:c>
      <x:c r="K261" s="20" t="n">
        <x:f>DATE(YEAR(B261),MONTH(B261),1)</x:f>
        <x:v>46174</x:v>
      </x:c>
      <x:c r="L261" s="18" t="n">
        <x:f>F261-G261</x:f>
        <x:v>0</x:v>
      </x:c>
      <x:c r="M261" t="str">
        <x:f>IF(L261&lt;=0,"Payée",IF(G261=0,"Impayée","Partielle"))</x:f>
        <x:v>Payée</x:v>
      </x:c>
      <x:c r="N261" t="n">
        <x:f>IF(I261="","",I261-B261)</x:f>
        <x:v>68</x:v>
      </x:c>
      <x:c r="O261" t="str">
        <x:f>IF(TRIM(C261)&lt;&gt;TRIM(H261),"Oui","Non")</x:f>
        <x:v>Oui</x:v>
      </x:c>
      <x:c r="P261" t="str">
        <x:f>IFERROR(INDEX('02_REFERENTIEL_CLIENTS'!$B$2:$B$51,MATCH(TRIM(C261),'02_REFERENTIEL_CLIENTS'!$A$2:$A$51,0)),"Non trouvé")</x:f>
        <x:v>Particuliers</x:v>
      </x:c>
      <x:c r="Q261" t="str">
        <x:f>IFERROR(INDEX('02_REFERENTIEL_CLIENTS'!$C$2:$C$51,MATCH(TRIM(C261),'02_REFERENTIEL_CLIENTS'!$A$2:$A$51,0)),"Non trouvé")</x:f>
        <x:v>International</x:v>
      </x:c>
      <x:c r="R261" t="str">
        <x:f>IF(OR(F261&lt;=0,G261&lt;0,G261&gt;F261,N261&lt;0,P261="Non trouvé"),"À vérifier","OK")</x:f>
        <x:v>OK</x:v>
      </x:c>
    </x:row>
    <x:row r="262">
      <x:c r="A262" t="str">
        <x:v>DV-2026-00261</x:v>
      </x:c>
      <x:c r="B262" s="16" t="n">
        <x:v>46212</x:v>
      </x:c>
      <x:c r="C262" t="str">
        <x:v>Client 09</x:v>
      </x:c>
      <x:c r="D262" t="str">
        <x:v>Fret maritime</x:v>
      </x:c>
      <x:c r="E262" t="str">
        <x:v>Pôle C</x:v>
      </x:c>
      <x:c r="F262" s="18" t="n">
        <x:v>11494.22</x:v>
      </x:c>
      <x:c r="G262" s="18" t="n">
        <x:v>11494.22</x:v>
      </x:c>
      <x:c r="H262" t="str">
        <x:v>Client 09</x:v>
      </x:c>
      <x:c r="I262" s="16" t="n">
        <x:v>46241</x:v>
      </x:c>
      <x:c r="J262" t="n">
        <x:f>YEAR(B262)</x:f>
        <x:v>2026</x:v>
      </x:c>
      <x:c r="K262" s="20" t="n">
        <x:f>DATE(YEAR(B262),MONTH(B262),1)</x:f>
        <x:v>46204</x:v>
      </x:c>
      <x:c r="L262" s="18" t="n">
        <x:f>F262-G262</x:f>
        <x:v>0</x:v>
      </x:c>
      <x:c r="M262" t="str">
        <x:f>IF(L262&lt;=0,"Payée",IF(G262=0,"Impayée","Partielle"))</x:f>
        <x:v>Payée</x:v>
      </x:c>
      <x:c r="N262" t="n">
        <x:f>IF(I262="","",I262-B262)</x:f>
        <x:v>29</x:v>
      </x:c>
      <x:c r="O262" t="str">
        <x:f>IF(TRIM(C262)&lt;&gt;TRIM(H262),"Oui","Non")</x:f>
        <x:v>Non</x:v>
      </x:c>
      <x:c r="P262" t="str">
        <x:f>IFERROR(INDEX('02_REFERENTIEL_CLIENTS'!$B$2:$B$51,MATCH(TRIM(C262),'02_REFERENTIEL_CLIENTS'!$A$2:$A$51,0)),"Non trouvé")</x:f>
        <x:v>Particuliers</x:v>
      </x:c>
      <x:c r="Q262" t="str">
        <x:f>IFERROR(INDEX('02_REFERENTIEL_CLIENTS'!$C$2:$C$51,MATCH(TRIM(C262),'02_REFERENTIEL_CLIENTS'!$A$2:$A$51,0)),"Non trouvé")</x:f>
        <x:v>International</x:v>
      </x:c>
      <x:c r="R262" t="str">
        <x:f>IF(OR(F262&lt;=0,G262&lt;0,G262&gt;F262,N262&lt;0,P262="Non trouvé"),"À vérifier","OK")</x:f>
        <x:v>OK</x:v>
      </x:c>
    </x:row>
    <x:row r="263">
      <x:c r="A263" t="str">
        <x:v>DV-2025-00262</x:v>
      </x:c>
      <x:c r="B263" s="16" t="n">
        <x:v>46022</x:v>
      </x:c>
      <x:c r="C263" t="str">
        <x:v>Client 33</x:v>
      </x:c>
      <x:c r="D263" t="str">
        <x:v>Fret aérien</x:v>
      </x:c>
      <x:c r="E263" t="str">
        <x:v>Pôle B</x:v>
      </x:c>
      <x:c r="F263" s="18" t="n">
        <x:v>18269.7</x:v>
      </x:c>
      <x:c r="G263" s="18" t="n">
        <x:v>3698.93</x:v>
      </x:c>
      <x:c r="H263" t="str">
        <x:v>Client 33</x:v>
      </x:c>
      <x:c r="I263" s="16" t="n">
        <x:v>46051</x:v>
      </x:c>
      <x:c r="J263" t="n">
        <x:f>YEAR(B263)</x:f>
        <x:v>2025</x:v>
      </x:c>
      <x:c r="K263" s="20" t="n">
        <x:f>DATE(YEAR(B263),MONTH(B263),1)</x:f>
        <x:v>45992</x:v>
      </x:c>
      <x:c r="L263" s="18" t="n">
        <x:f>F263-G263</x:f>
        <x:v>14570.77</x:v>
      </x:c>
      <x:c r="M263" t="str">
        <x:f>IF(L263&lt;=0,"Payée",IF(G263=0,"Impayée","Partielle"))</x:f>
        <x:v>Partielle</x:v>
      </x:c>
      <x:c r="N263" t="n">
        <x:f>IF(I263="","",I263-B263)</x:f>
        <x:v>29</x:v>
      </x:c>
      <x:c r="O263" t="str">
        <x:f>IF(TRIM(C263)&lt;&gt;TRIM(H263),"Oui","Non")</x:f>
        <x:v>Non</x:v>
      </x:c>
      <x:c r="P263" t="str">
        <x:f>IFERROR(INDEX('02_REFERENTIEL_CLIENTS'!$B$2:$B$51,MATCH(TRIM(C263),'02_REFERENTIEL_CLIENTS'!$A$2:$A$51,0)),"Non trouvé")</x:f>
        <x:v>Particuliers</x:v>
      </x:c>
      <x:c r="Q263" t="str">
        <x:f>IFERROR(INDEX('02_REFERENTIEL_CLIENTS'!$C$2:$C$51,MATCH(TRIM(C263),'02_REFERENTIEL_CLIENTS'!$A$2:$A$51,0)),"Non trouvé")</x:f>
        <x:v>International</x:v>
      </x:c>
      <x:c r="R263" t="str">
        <x:f>IF(OR(F263&lt;=0,G263&lt;0,G263&gt;F263,N263&lt;0,P263="Non trouvé"),"À vérifier","OK")</x:f>
        <x:v>OK</x:v>
      </x:c>
    </x:row>
    <x:row r="264">
      <x:c r="A264" t="str">
        <x:v>DV-2024-00263</x:v>
      </x:c>
      <x:c r="B264" s="16" t="n">
        <x:v>45533</x:v>
      </x:c>
      <x:c r="C264" t="str">
        <x:v>Client 40</x:v>
      </x:c>
      <x:c r="D264" t="str">
        <x:v>Fret aérien</x:v>
      </x:c>
      <x:c r="E264" t="str">
        <x:v>Pôle C</x:v>
      </x:c>
      <x:c r="F264" s="18" t="n">
        <x:v>14633.42</x:v>
      </x:c>
      <x:c r="G264" s="18" t="n">
        <x:v>14633.42</x:v>
      </x:c>
      <x:c r="H264" t="str">
        <x:v>Client 40</x:v>
      </x:c>
      <x:c r="I264" s="16" t="n">
        <x:v>45558</x:v>
      </x:c>
      <x:c r="J264" t="n">
        <x:f>YEAR(B264)</x:f>
        <x:v>2024</x:v>
      </x:c>
      <x:c r="K264" s="20" t="n">
        <x:f>DATE(YEAR(B264),MONTH(B264),1)</x:f>
        <x:v>45505</x:v>
      </x:c>
      <x:c r="L264" s="18" t="n">
        <x:f>F264-G264</x:f>
        <x:v>0</x:v>
      </x:c>
      <x:c r="M264" t="str">
        <x:f>IF(L264&lt;=0,"Payée",IF(G264=0,"Impayée","Partielle"))</x:f>
        <x:v>Payée</x:v>
      </x:c>
      <x:c r="N264" t="n">
        <x:f>IF(I264="","",I264-B264)</x:f>
        <x:v>25</x:v>
      </x:c>
      <x:c r="O264" t="str">
        <x:f>IF(TRIM(C264)&lt;&gt;TRIM(H264),"Oui","Non")</x:f>
        <x:v>Non</x:v>
      </x:c>
      <x:c r="P264" t="str">
        <x:f>IFERROR(INDEX('02_REFERENTIEL_CLIENTS'!$B$2:$B$51,MATCH(TRIM(C264),'02_REFERENTIEL_CLIENTS'!$A$2:$A$51,0)),"Non trouvé")</x:f>
        <x:v>Grands comptes</x:v>
      </x:c>
      <x:c r="Q264" t="str">
        <x:f>IFERROR(INDEX('02_REFERENTIEL_CLIENTS'!$C$2:$C$51,MATCH(TRIM(C264),'02_REFERENTIEL_CLIENTS'!$A$2:$A$51,0)),"Non trouvé")</x:f>
        <x:v>France</x:v>
      </x:c>
      <x:c r="R264" t="str">
        <x:f>IF(OR(F264&lt;=0,G264&lt;0,G264&gt;F264,N264&lt;0,P264="Non trouvé"),"À vérifier","OK")</x:f>
        <x:v>OK</x:v>
      </x:c>
    </x:row>
    <x:row r="265">
      <x:c r="A265" t="str">
        <x:v>DV-2026-00264</x:v>
      </x:c>
      <x:c r="B265" s="16" t="n">
        <x:v>46180</x:v>
      </x:c>
      <x:c r="C265" t="str">
        <x:v>Client 13</x:v>
      </x:c>
      <x:c r="D265" t="str">
        <x:v>Express</x:v>
      </x:c>
      <x:c r="E265" t="str">
        <x:v>Pôle D</x:v>
      </x:c>
      <x:c r="F265" s="18" t="n">
        <x:v>2145.24</x:v>
      </x:c>
      <x:c r="G265" s="18" t="n">
        <x:v>724.37</x:v>
      </x:c>
      <x:c r="H265" t="str">
        <x:v>Client 13</x:v>
      </x:c>
      <x:c r="I265" s="16" t="n">
        <x:v>46227</x:v>
      </x:c>
      <x:c r="J265" t="n">
        <x:f>YEAR(B265)</x:f>
        <x:v>2026</x:v>
      </x:c>
      <x:c r="K265" s="20" t="n">
        <x:f>DATE(YEAR(B265),MONTH(B265),1)</x:f>
        <x:v>46174</x:v>
      </x:c>
      <x:c r="L265" s="18" t="n">
        <x:f>F265-G265</x:f>
        <x:v>1420.87</x:v>
      </x:c>
      <x:c r="M265" t="str">
        <x:f>IF(L265&lt;=0,"Payée",IF(G265=0,"Impayée","Partielle"))</x:f>
        <x:v>Partielle</x:v>
      </x:c>
      <x:c r="N265" t="n">
        <x:f>IF(I265="","",I265-B265)</x:f>
        <x:v>47</x:v>
      </x:c>
      <x:c r="O265" t="str">
        <x:f>IF(TRIM(C265)&lt;&gt;TRIM(H265),"Oui","Non")</x:f>
        <x:v>Non</x:v>
      </x:c>
      <x:c r="P265" t="str">
        <x:f>IFERROR(INDEX('02_REFERENTIEL_CLIENTS'!$B$2:$B$51,MATCH(TRIM(C265),'02_REFERENTIEL_CLIENTS'!$A$2:$A$51,0)),"Non trouvé")</x:f>
        <x:v>Grands comptes</x:v>
      </x:c>
      <x:c r="Q265" t="str">
        <x:f>IFERROR(INDEX('02_REFERENTIEL_CLIENTS'!$C$2:$C$51,MATCH(TRIM(C265),'02_REFERENTIEL_CLIENTS'!$A$2:$A$51,0)),"Non trouvé")</x:f>
        <x:v>France</x:v>
      </x:c>
      <x:c r="R265" t="str">
        <x:f>IF(OR(F265&lt;=0,G265&lt;0,G265&gt;F265,N265&lt;0,P265="Non trouvé"),"À vérifier","OK")</x:f>
        <x:v>OK</x:v>
      </x:c>
    </x:row>
    <x:row r="266">
      <x:c r="A266" t="str">
        <x:v>DV-2026-00265</x:v>
      </x:c>
      <x:c r="B266" s="16" t="n">
        <x:v>46193</x:v>
      </x:c>
      <x:c r="C266" t="str">
        <x:v>Client 33</x:v>
      </x:c>
      <x:c r="D266" t="str">
        <x:v>Fret maritime</x:v>
      </x:c>
      <x:c r="E266" t="str">
        <x:v>Pôle A</x:v>
      </x:c>
      <x:c r="F266" s="18" t="n">
        <x:v>19650.87</x:v>
      </x:c>
      <x:c r="G266" s="18" t="n">
        <x:v>9751.88</x:v>
      </x:c>
      <x:c r="H266" t="str">
        <x:v>Client 33</x:v>
      </x:c>
      <x:c r="I266" s="16" t="n">
        <x:v>46255</x:v>
      </x:c>
      <x:c r="J266" t="n">
        <x:f>YEAR(B266)</x:f>
        <x:v>2026</x:v>
      </x:c>
      <x:c r="K266" s="20" t="n">
        <x:f>DATE(YEAR(B266),MONTH(B266),1)</x:f>
        <x:v>46174</x:v>
      </x:c>
      <x:c r="L266" s="18" t="n">
        <x:f>F266-G266</x:f>
        <x:v>9898.99</x:v>
      </x:c>
      <x:c r="M266" t="str">
        <x:f>IF(L266&lt;=0,"Payée",IF(G266=0,"Impayée","Partielle"))</x:f>
        <x:v>Partielle</x:v>
      </x:c>
      <x:c r="N266" t="n">
        <x:f>IF(I266="","",I266-B266)</x:f>
        <x:v>62</x:v>
      </x:c>
      <x:c r="O266" t="str">
        <x:f>IF(TRIM(C266)&lt;&gt;TRIM(H266),"Oui","Non")</x:f>
        <x:v>Non</x:v>
      </x:c>
      <x:c r="P266" t="str">
        <x:f>IFERROR(INDEX('02_REFERENTIEL_CLIENTS'!$B$2:$B$51,MATCH(TRIM(C266),'02_REFERENTIEL_CLIENTS'!$A$2:$A$51,0)),"Non trouvé")</x:f>
        <x:v>Particuliers</x:v>
      </x:c>
      <x:c r="Q266" t="str">
        <x:f>IFERROR(INDEX('02_REFERENTIEL_CLIENTS'!$C$2:$C$51,MATCH(TRIM(C266),'02_REFERENTIEL_CLIENTS'!$A$2:$A$51,0)),"Non trouvé")</x:f>
        <x:v>International</x:v>
      </x:c>
      <x:c r="R266" t="str">
        <x:f>IF(OR(F266&lt;=0,G266&lt;0,G266&gt;F266,N266&lt;0,P266="Non trouvé"),"À vérifier","OK")</x:f>
        <x:v>OK</x:v>
      </x:c>
    </x:row>
    <x:row r="267">
      <x:c r="A267" t="str">
        <x:v>DV-2026-00266</x:v>
      </x:c>
      <x:c r="B267" s="16" t="n">
        <x:v>46142</x:v>
      </x:c>
      <x:c r="C267" t="str">
        <x:v>Client 40</x:v>
      </x:c>
      <x:c r="D267" t="str">
        <x:v>Fret aérien</x:v>
      </x:c>
      <x:c r="E267" t="str">
        <x:v>Pôle D</x:v>
      </x:c>
      <x:c r="F267" s="18" t="n">
        <x:v>17018.77</x:v>
      </x:c>
      <x:c r="G267" s="18" t="n">
        <x:v>17018.77</x:v>
      </x:c>
      <x:c r="H267" t="str">
        <x:v>Client 40</x:v>
      </x:c>
      <x:c r="I267" s="16" t="n">
        <x:v>46189</x:v>
      </x:c>
      <x:c r="J267" t="n">
        <x:f>YEAR(B267)</x:f>
        <x:v>2026</x:v>
      </x:c>
      <x:c r="K267" s="20" t="n">
        <x:f>DATE(YEAR(B267),MONTH(B267),1)</x:f>
        <x:v>46113</x:v>
      </x:c>
      <x:c r="L267" s="18" t="n">
        <x:f>F267-G267</x:f>
        <x:v>0</x:v>
      </x:c>
      <x:c r="M267" t="str">
        <x:f>IF(L267&lt;=0,"Payée",IF(G267=0,"Impayée","Partielle"))</x:f>
        <x:v>Payée</x:v>
      </x:c>
      <x:c r="N267" t="n">
        <x:f>IF(I267="","",I267-B267)</x:f>
        <x:v>47</x:v>
      </x:c>
      <x:c r="O267" t="str">
        <x:f>IF(TRIM(C267)&lt;&gt;TRIM(H267),"Oui","Non")</x:f>
        <x:v>Non</x:v>
      </x:c>
      <x:c r="P267" t="str">
        <x:f>IFERROR(INDEX('02_REFERENTIEL_CLIENTS'!$B$2:$B$51,MATCH(TRIM(C267),'02_REFERENTIEL_CLIENTS'!$A$2:$A$51,0)),"Non trouvé")</x:f>
        <x:v>Grands comptes</x:v>
      </x:c>
      <x:c r="Q267" t="str">
        <x:f>IFERROR(INDEX('02_REFERENTIEL_CLIENTS'!$C$2:$C$51,MATCH(TRIM(C267),'02_REFERENTIEL_CLIENTS'!$A$2:$A$51,0)),"Non trouvé")</x:f>
        <x:v>France</x:v>
      </x:c>
      <x:c r="R267" t="str">
        <x:f>IF(OR(F267&lt;=0,G267&lt;0,G267&gt;F267,N267&lt;0,P267="Non trouvé"),"À vérifier","OK")</x:f>
        <x:v>OK</x:v>
      </x:c>
    </x:row>
    <x:row r="268">
      <x:c r="A268" t="str">
        <x:v>DV-2024-00267</x:v>
      </x:c>
      <x:c r="B268" s="16" t="n">
        <x:v>45344</x:v>
      </x:c>
      <x:c r="C268" t="str">
        <x:v>Client 43</x:v>
      </x:c>
      <x:c r="D268" t="str">
        <x:v>Fret maritime</x:v>
      </x:c>
      <x:c r="E268" t="str">
        <x:v>Pôle A</x:v>
      </x:c>
      <x:c r="F268" s="18" t="n">
        <x:v>5970.97</x:v>
      </x:c>
      <x:c r="G268" s="18" t="n">
        <x:v>5970.97</x:v>
      </x:c>
      <x:c r="H268" t="str">
        <x:v>Client 43</x:v>
      </x:c>
      <x:c r="I268" s="16" t="n">
        <x:v>45437</x:v>
      </x:c>
      <x:c r="J268" t="n">
        <x:f>YEAR(B268)</x:f>
        <x:v>2024</x:v>
      </x:c>
      <x:c r="K268" s="20" t="n">
        <x:f>DATE(YEAR(B268),MONTH(B268),1)</x:f>
        <x:v>45323</x:v>
      </x:c>
      <x:c r="L268" s="18" t="n">
        <x:f>F268-G268</x:f>
        <x:v>0</x:v>
      </x:c>
      <x:c r="M268" t="str">
        <x:f>IF(L268&lt;=0,"Payée",IF(G268=0,"Impayée","Partielle"))</x:f>
        <x:v>Payée</x:v>
      </x:c>
      <x:c r="N268" t="n">
        <x:f>IF(I268="","",I268-B268)</x:f>
        <x:v>93</x:v>
      </x:c>
      <x:c r="O268" t="str">
        <x:f>IF(TRIM(C268)&lt;&gt;TRIM(H268),"Oui","Non")</x:f>
        <x:v>Non</x:v>
      </x:c>
      <x:c r="P268" t="str">
        <x:f>IFERROR(INDEX('02_REFERENTIEL_CLIENTS'!$B$2:$B$51,MATCH(TRIM(C268),'02_REFERENTIEL_CLIENTS'!$A$2:$A$51,0)),"Non trouvé")</x:f>
        <x:v>Grands comptes</x:v>
      </x:c>
      <x:c r="Q268" t="str">
        <x:f>IFERROR(INDEX('02_REFERENTIEL_CLIENTS'!$C$2:$C$51,MATCH(TRIM(C268),'02_REFERENTIEL_CLIENTS'!$A$2:$A$51,0)),"Non trouvé")</x:f>
        <x:v>France</x:v>
      </x:c>
      <x:c r="R268" t="str">
        <x:f>IF(OR(F268&lt;=0,G268&lt;0,G268&gt;F268,N268&lt;0,P268="Non trouvé"),"À vérifier","OK")</x:f>
        <x:v>OK</x:v>
      </x:c>
    </x:row>
    <x:row r="269">
      <x:c r="A269" t="str">
        <x:v>DV-2025-00268</x:v>
      </x:c>
      <x:c r="B269" s="16" t="n">
        <x:v>45877</x:v>
      </x:c>
      <x:c r="C269" t="str">
        <x:v>Client 33</x:v>
      </x:c>
      <x:c r="D269" t="str">
        <x:v>Fret maritime</x:v>
      </x:c>
      <x:c r="E269" t="str">
        <x:v>Pôle C</x:v>
      </x:c>
      <x:c r="F269" s="18" t="n">
        <x:v>4356.74</x:v>
      </x:c>
      <x:c r="G269" s="18" t="n">
        <x:v>4356.74</x:v>
      </x:c>
      <x:c r="H269" t="str">
        <x:v>Client 33</x:v>
      </x:c>
      <x:c r="I269" s="16" t="n">
        <x:v>45964</x:v>
      </x:c>
      <x:c r="J269" t="n">
        <x:f>YEAR(B269)</x:f>
        <x:v>2025</x:v>
      </x:c>
      <x:c r="K269" s="20" t="n">
        <x:f>DATE(YEAR(B269),MONTH(B269),1)</x:f>
        <x:v>45870</x:v>
      </x:c>
      <x:c r="L269" s="18" t="n">
        <x:f>F269-G269</x:f>
        <x:v>0</x:v>
      </x:c>
      <x:c r="M269" t="str">
        <x:f>IF(L269&lt;=0,"Payée",IF(G269=0,"Impayée","Partielle"))</x:f>
        <x:v>Payée</x:v>
      </x:c>
      <x:c r="N269" t="n">
        <x:f>IF(I269="","",I269-B269)</x:f>
        <x:v>87</x:v>
      </x:c>
      <x:c r="O269" t="str">
        <x:f>IF(TRIM(C269)&lt;&gt;TRIM(H269),"Oui","Non")</x:f>
        <x:v>Non</x:v>
      </x:c>
      <x:c r="P269" t="str">
        <x:f>IFERROR(INDEX('02_REFERENTIEL_CLIENTS'!$B$2:$B$51,MATCH(TRIM(C269),'02_REFERENTIEL_CLIENTS'!$A$2:$A$51,0)),"Non trouvé")</x:f>
        <x:v>Particuliers</x:v>
      </x:c>
      <x:c r="Q269" t="str">
        <x:f>IFERROR(INDEX('02_REFERENTIEL_CLIENTS'!$C$2:$C$51,MATCH(TRIM(C269),'02_REFERENTIEL_CLIENTS'!$A$2:$A$51,0)),"Non trouvé")</x:f>
        <x:v>International</x:v>
      </x:c>
      <x:c r="R269" t="str">
        <x:f>IF(OR(F269&lt;=0,G269&lt;0,G269&gt;F269,N269&lt;0,P269="Non trouvé"),"À vérifier","OK")</x:f>
        <x:v>OK</x:v>
      </x:c>
    </x:row>
    <x:row r="270">
      <x:c r="A270" t="str">
        <x:v>DV-2026-00269</x:v>
      </x:c>
      <x:c r="B270" s="16" t="n">
        <x:v>46212</x:v>
      </x:c>
      <x:c r="C270" t="str">
        <x:v>Client 50</x:v>
      </x:c>
      <x:c r="D270" t="str">
        <x:v>Douane</x:v>
      </x:c>
      <x:c r="E270" t="str">
        <x:v>Pôle C</x:v>
      </x:c>
      <x:c r="F270" s="18" t="n">
        <x:v>14202.11</x:v>
      </x:c>
      <x:c r="G270" s="18" t="n">
        <x:v>14202.11</x:v>
      </x:c>
      <x:c r="H270" t="str">
        <x:v>Client 50</x:v>
      </x:c>
      <x:c r="I270" s="16" t="n">
        <x:v>46252</x:v>
      </x:c>
      <x:c r="J270" t="n">
        <x:f>YEAR(B270)</x:f>
        <x:v>2026</x:v>
      </x:c>
      <x:c r="K270" s="20" t="n">
        <x:f>DATE(YEAR(B270),MONTH(B270),1)</x:f>
        <x:v>46204</x:v>
      </x:c>
      <x:c r="L270" s="18" t="n">
        <x:f>F270-G270</x:f>
        <x:v>0</x:v>
      </x:c>
      <x:c r="M270" t="str">
        <x:f>IF(L270&lt;=0,"Payée",IF(G270=0,"Impayée","Partielle"))</x:f>
        <x:v>Payée</x:v>
      </x:c>
      <x:c r="N270" t="n">
        <x:f>IF(I270="","",I270-B270)</x:f>
        <x:v>40</x:v>
      </x:c>
      <x:c r="O270" t="str">
        <x:f>IF(TRIM(C270)&lt;&gt;TRIM(H270),"Oui","Non")</x:f>
        <x:v>Non</x:v>
      </x:c>
      <x:c r="P270" t="str">
        <x:f>IFERROR(INDEX('02_REFERENTIEL_CLIENTS'!$B$2:$B$51,MATCH(TRIM(C270),'02_REFERENTIEL_CLIENTS'!$A$2:$A$51,0)),"Non trouvé")</x:f>
        <x:v>PME</x:v>
      </x:c>
      <x:c r="Q270" t="str">
        <x:f>IFERROR(INDEX('02_REFERENTIEL_CLIENTS'!$C$2:$C$51,MATCH(TRIM(C270),'02_REFERENTIEL_CLIENTS'!$A$2:$A$51,0)),"Non trouvé")</x:f>
        <x:v>Europe</x:v>
      </x:c>
      <x:c r="R270" t="str">
        <x:f>IF(OR(F270&lt;=0,G270&lt;0,G270&gt;F270,N270&lt;0,P270="Non trouvé"),"À vérifier","OK")</x:f>
        <x:v>OK</x:v>
      </x:c>
    </x:row>
    <x:row r="271">
      <x:c r="A271" t="str">
        <x:v>DV-2024-00270</x:v>
      </x:c>
      <x:c r="B271" s="16" t="n">
        <x:v>45582</x:v>
      </x:c>
      <x:c r="C271" t="str">
        <x:v>Client 38</x:v>
      </x:c>
      <x:c r="D271" t="str">
        <x:v>Express</x:v>
      </x:c>
      <x:c r="E271" t="str">
        <x:v>Pôle A</x:v>
      </x:c>
      <x:c r="F271" s="18" t="n">
        <x:v>17702.02</x:v>
      </x:c>
      <x:c r="G271" s="18" t="n">
        <x:v>17702.02</x:v>
      </x:c>
      <x:c r="H271" t="str">
        <x:v>Client 38</x:v>
      </x:c>
      <x:c r="I271" s="16" t="n">
        <x:v>45662</x:v>
      </x:c>
      <x:c r="J271" t="n">
        <x:f>YEAR(B271)</x:f>
        <x:v>2024</x:v>
      </x:c>
      <x:c r="K271" s="20" t="n">
        <x:f>DATE(YEAR(B271),MONTH(B271),1)</x:f>
        <x:v>45566</x:v>
      </x:c>
      <x:c r="L271" s="18" t="n">
        <x:f>F271-G271</x:f>
        <x:v>0</x:v>
      </x:c>
      <x:c r="M271" t="str">
        <x:f>IF(L271&lt;=0,"Payée",IF(G271=0,"Impayée","Partielle"))</x:f>
        <x:v>Payée</x:v>
      </x:c>
      <x:c r="N271" t="n">
        <x:f>IF(I271="","",I271-B271)</x:f>
        <x:v>80</x:v>
      </x:c>
      <x:c r="O271" t="str">
        <x:f>IF(TRIM(C271)&lt;&gt;TRIM(H271),"Oui","Non")</x:f>
        <x:v>Non</x:v>
      </x:c>
      <x:c r="P271" t="str">
        <x:f>IFERROR(INDEX('02_REFERENTIEL_CLIENTS'!$B$2:$B$51,MATCH(TRIM(C271),'02_REFERENTIEL_CLIENTS'!$A$2:$A$51,0)),"Non trouvé")</x:f>
        <x:v>PME</x:v>
      </x:c>
      <x:c r="Q271" t="str">
        <x:f>IFERROR(INDEX('02_REFERENTIEL_CLIENTS'!$C$2:$C$51,MATCH(TRIM(C271),'02_REFERENTIEL_CLIENTS'!$A$2:$A$51,0)),"Non trouvé")</x:f>
        <x:v>Europe</x:v>
      </x:c>
      <x:c r="R271" t="str">
        <x:f>IF(OR(F271&lt;=0,G271&lt;0,G271&gt;F271,N271&lt;0,P271="Non trouvé"),"À vérifier","OK")</x:f>
        <x:v>OK</x:v>
      </x:c>
    </x:row>
    <x:row r="272">
      <x:c r="A272" t="str">
        <x:v>DV-2024-00271</x:v>
      </x:c>
      <x:c r="B272" s="16" t="n">
        <x:v>45634</x:v>
      </x:c>
      <x:c r="C272" t="str">
        <x:v>Client 34</x:v>
      </x:c>
      <x:c r="D272" t="str">
        <x:v>Fret aérien</x:v>
      </x:c>
      <x:c r="E272" t="str">
        <x:v>Pôle C</x:v>
      </x:c>
      <x:c r="F272" s="18" t="n">
        <x:v>24086.54</x:v>
      </x:c>
      <x:c r="G272" s="18" t="n">
        <x:v>20405.98</x:v>
      </x:c>
      <x:c r="H272" t="str">
        <x:v>Client 34</x:v>
      </x:c>
      <x:c r="I272" s="16" t="n">
        <x:v>45654</x:v>
      </x:c>
      <x:c r="J272" t="n">
        <x:f>YEAR(B272)</x:f>
        <x:v>2024</x:v>
      </x:c>
      <x:c r="K272" s="20" t="n">
        <x:f>DATE(YEAR(B272),MONTH(B272),1)</x:f>
        <x:v>45627</x:v>
      </x:c>
      <x:c r="L272" s="18" t="n">
        <x:f>F272-G272</x:f>
        <x:v>3680.5600000000013</x:v>
      </x:c>
      <x:c r="M272" t="str">
        <x:f>IF(L272&lt;=0,"Payée",IF(G272=0,"Impayée","Partielle"))</x:f>
        <x:v>Partielle</x:v>
      </x:c>
      <x:c r="N272" t="n">
        <x:f>IF(I272="","",I272-B272)</x:f>
        <x:v>20</x:v>
      </x:c>
      <x:c r="O272" t="str">
        <x:f>IF(TRIM(C272)&lt;&gt;TRIM(H272),"Oui","Non")</x:f>
        <x:v>Non</x:v>
      </x:c>
      <x:c r="P272" t="str">
        <x:f>IFERROR(INDEX('02_REFERENTIEL_CLIENTS'!$B$2:$B$51,MATCH(TRIM(C272),'02_REFERENTIEL_CLIENTS'!$A$2:$A$51,0)),"Non trouvé")</x:f>
        <x:v>Grands comptes</x:v>
      </x:c>
      <x:c r="Q272" t="str">
        <x:f>IFERROR(INDEX('02_REFERENTIEL_CLIENTS'!$C$2:$C$51,MATCH(TRIM(C272),'02_REFERENTIEL_CLIENTS'!$A$2:$A$51,0)),"Non trouvé")</x:f>
        <x:v>France</x:v>
      </x:c>
      <x:c r="R272" t="str">
        <x:f>IF(OR(F272&lt;=0,G272&lt;0,G272&gt;F272,N272&lt;0,P272="Non trouvé"),"À vérifier","OK")</x:f>
        <x:v>OK</x:v>
      </x:c>
    </x:row>
    <x:row r="273">
      <x:c r="A273" t="str">
        <x:v>DV-2025-00272</x:v>
      </x:c>
      <x:c r="B273" s="16" t="n">
        <x:v>45698</x:v>
      </x:c>
      <x:c r="C273" t="str">
        <x:v>Client 16</x:v>
      </x:c>
      <x:c r="D273" t="str">
        <x:v>Fret maritime</x:v>
      </x:c>
      <x:c r="E273" t="str">
        <x:v>Pôle A</x:v>
      </x:c>
      <x:c r="F273" s="18" t="n">
        <x:v>5738.09</x:v>
      </x:c>
      <x:c r="G273" s="18" t="n">
        <x:v>5738.09</x:v>
      </x:c>
      <x:c r="H273" t="str">
        <x:v>Client 16</x:v>
      </x:c>
      <x:c r="I273" s="16" t="n">
        <x:v>45724</x:v>
      </x:c>
      <x:c r="J273" t="n">
        <x:f>YEAR(B273)</x:f>
        <x:v>2025</x:v>
      </x:c>
      <x:c r="K273" s="20" t="n">
        <x:f>DATE(YEAR(B273),MONTH(B273),1)</x:f>
        <x:v>45689</x:v>
      </x:c>
      <x:c r="L273" s="18" t="n">
        <x:f>F273-G273</x:f>
        <x:v>0</x:v>
      </x:c>
      <x:c r="M273" t="str">
        <x:f>IF(L273&lt;=0,"Payée",IF(G273=0,"Impayée","Partielle"))</x:f>
        <x:v>Payée</x:v>
      </x:c>
      <x:c r="N273" t="n">
        <x:f>IF(I273="","",I273-B273)</x:f>
        <x:v>26</x:v>
      </x:c>
      <x:c r="O273" t="str">
        <x:f>IF(TRIM(C273)&lt;&gt;TRIM(H273),"Oui","Non")</x:f>
        <x:v>Non</x:v>
      </x:c>
      <x:c r="P273" t="str">
        <x:f>IFERROR(INDEX('02_REFERENTIEL_CLIENTS'!$B$2:$B$51,MATCH(TRIM(C273),'02_REFERENTIEL_CLIENTS'!$A$2:$A$51,0)),"Non trouvé")</x:f>
        <x:v>Grands comptes</x:v>
      </x:c>
      <x:c r="Q273" t="str">
        <x:f>IFERROR(INDEX('02_REFERENTIEL_CLIENTS'!$C$2:$C$51,MATCH(TRIM(C273),'02_REFERENTIEL_CLIENTS'!$A$2:$A$51,0)),"Non trouvé")</x:f>
        <x:v>France</x:v>
      </x:c>
      <x:c r="R273" t="str">
        <x:f>IF(OR(F273&lt;=0,G273&lt;0,G273&gt;F273,N273&lt;0,P273="Non trouvé"),"À vérifier","OK")</x:f>
        <x:v>OK</x:v>
      </x:c>
    </x:row>
    <x:row r="274">
      <x:c r="A274" t="str">
        <x:v>DV-2024-00273</x:v>
      </x:c>
      <x:c r="B274" s="16" t="n">
        <x:v>45552</x:v>
      </x:c>
      <x:c r="C274" t="str">
        <x:v>Client 19</x:v>
      </x:c>
      <x:c r="D274" t="str">
        <x:v>Logistique</x:v>
      </x:c>
      <x:c r="E274" t="str">
        <x:v>Pôle A</x:v>
      </x:c>
      <x:c r="F274" s="18" t="n">
        <x:v>17961.25</x:v>
      </x:c>
      <x:c r="G274" s="18" t="n">
        <x:v>17961.25</x:v>
      </x:c>
      <x:c r="H274" t="str">
        <x:v>Client 19</x:v>
      </x:c>
      <x:c r="I274" s="16" t="n">
        <x:v>45646</x:v>
      </x:c>
      <x:c r="J274" t="n">
        <x:f>YEAR(B274)</x:f>
        <x:v>2024</x:v>
      </x:c>
      <x:c r="K274" s="20" t="n">
        <x:f>DATE(YEAR(B274),MONTH(B274),1)</x:f>
        <x:v>45536</x:v>
      </x:c>
      <x:c r="L274" s="18" t="n">
        <x:f>F274-G274</x:f>
        <x:v>0</x:v>
      </x:c>
      <x:c r="M274" t="str">
        <x:f>IF(L274&lt;=0,"Payée",IF(G274=0,"Impayée","Partielle"))</x:f>
        <x:v>Payée</x:v>
      </x:c>
      <x:c r="N274" t="n">
        <x:f>IF(I274="","",I274-B274)</x:f>
        <x:v>94</x:v>
      </x:c>
      <x:c r="O274" t="str">
        <x:f>IF(TRIM(C274)&lt;&gt;TRIM(H274),"Oui","Non")</x:f>
        <x:v>Non</x:v>
      </x:c>
      <x:c r="P274" t="str">
        <x:f>IFERROR(INDEX('02_REFERENTIEL_CLIENTS'!$B$2:$B$51,MATCH(TRIM(C274),'02_REFERENTIEL_CLIENTS'!$A$2:$A$51,0)),"Non trouvé")</x:f>
        <x:v>Grands comptes</x:v>
      </x:c>
      <x:c r="Q274" t="str">
        <x:f>IFERROR(INDEX('02_REFERENTIEL_CLIENTS'!$C$2:$C$51,MATCH(TRIM(C274),'02_REFERENTIEL_CLIENTS'!$A$2:$A$51,0)),"Non trouvé")</x:f>
        <x:v>France</x:v>
      </x:c>
      <x:c r="R274" t="str">
        <x:f>IF(OR(F274&lt;=0,G274&lt;0,G274&gt;F274,N274&lt;0,P274="Non trouvé"),"À vérifier","OK")</x:f>
        <x:v>OK</x:v>
      </x:c>
    </x:row>
    <x:row r="275">
      <x:c r="A275" t="str">
        <x:v>DV-2025-00274</x:v>
      </x:c>
      <x:c r="B275" s="16" t="n">
        <x:v>45804</x:v>
      </x:c>
      <x:c r="C275" t="str">
        <x:v>Client 02</x:v>
      </x:c>
      <x:c r="D275" t="str">
        <x:v>Express</x:v>
      </x:c>
      <x:c r="E275" t="str">
        <x:v>Pôle A</x:v>
      </x:c>
      <x:c r="F275" s="18" t="n">
        <x:v>15278.51</x:v>
      </x:c>
      <x:c r="G275" s="18" t="n">
        <x:v>15278.51</x:v>
      </x:c>
      <x:c r="H275" t="str">
        <x:v>Client 02</x:v>
      </x:c>
      <x:c r="I275" s="16" t="n">
        <x:v>45898</x:v>
      </x:c>
      <x:c r="J275" t="n">
        <x:f>YEAR(B275)</x:f>
        <x:v>2025</x:v>
      </x:c>
      <x:c r="K275" s="20" t="n">
        <x:f>DATE(YEAR(B275),MONTH(B275),1)</x:f>
        <x:v>45778</x:v>
      </x:c>
      <x:c r="L275" s="18" t="n">
        <x:f>F275-G275</x:f>
        <x:v>0</x:v>
      </x:c>
      <x:c r="M275" t="str">
        <x:f>IF(L275&lt;=0,"Payée",IF(G275=0,"Impayée","Partielle"))</x:f>
        <x:v>Payée</x:v>
      </x:c>
      <x:c r="N275" t="n">
        <x:f>IF(I275="","",I275-B275)</x:f>
        <x:v>94</x:v>
      </x:c>
      <x:c r="O275" t="str">
        <x:f>IF(TRIM(C275)&lt;&gt;TRIM(H275),"Oui","Non")</x:f>
        <x:v>Non</x:v>
      </x:c>
      <x:c r="P275" t="str">
        <x:f>IFERROR(INDEX('02_REFERENTIEL_CLIENTS'!$B$2:$B$51,MATCH(TRIM(C275),'02_REFERENTIEL_CLIENTS'!$A$2:$A$51,0)),"Non trouvé")</x:f>
        <x:v>PME</x:v>
      </x:c>
      <x:c r="Q275" t="str">
        <x:f>IFERROR(INDEX('02_REFERENTIEL_CLIENTS'!$C$2:$C$51,MATCH(TRIM(C275),'02_REFERENTIEL_CLIENTS'!$A$2:$A$51,0)),"Non trouvé")</x:f>
        <x:v>Europe</x:v>
      </x:c>
      <x:c r="R275" t="str">
        <x:f>IF(OR(F275&lt;=0,G275&lt;0,G275&gt;F275,N275&lt;0,P275="Non trouvé"),"À vérifier","OK")</x:f>
        <x:v>OK</x:v>
      </x:c>
    </x:row>
    <x:row r="276">
      <x:c r="A276" t="str">
        <x:v>DV-2024-00275</x:v>
      </x:c>
      <x:c r="B276" s="16" t="n">
        <x:v>45484</x:v>
      </x:c>
      <x:c r="C276" t="str">
        <x:v>Client 44 </x:v>
      </x:c>
      <x:c r="D276" t="str">
        <x:v>Express</x:v>
      </x:c>
      <x:c r="E276" t="str">
        <x:v>Pôle B</x:v>
      </x:c>
      <x:c r="F276" s="18" t="n">
        <x:v>10044.04</x:v>
      </x:c>
      <x:c r="G276" s="18" t="n">
        <x:v>10044.04</x:v>
      </x:c>
      <x:c r="H276" t="str">
        <x:v>Client 27</x:v>
      </x:c>
      <x:c r="I276" s="16" t="n">
        <x:v>45548</x:v>
      </x:c>
      <x:c r="J276" t="n">
        <x:f>YEAR(B276)</x:f>
        <x:v>2024</x:v>
      </x:c>
      <x:c r="K276" s="20" t="n">
        <x:f>DATE(YEAR(B276),MONTH(B276),1)</x:f>
        <x:v>45474</x:v>
      </x:c>
      <x:c r="L276" s="18" t="n">
        <x:f>F276-G276</x:f>
        <x:v>0</x:v>
      </x:c>
      <x:c r="M276" t="str">
        <x:f>IF(L276&lt;=0,"Payée",IF(G276=0,"Impayée","Partielle"))</x:f>
        <x:v>Payée</x:v>
      </x:c>
      <x:c r="N276" t="n">
        <x:f>IF(I276="","",I276-B276)</x:f>
        <x:v>64</x:v>
      </x:c>
      <x:c r="O276" t="str">
        <x:f>IF(TRIM(C276)&lt;&gt;TRIM(H276),"Oui","Non")</x:f>
        <x:v>Oui</x:v>
      </x:c>
      <x:c r="P276" t="str">
        <x:f>IFERROR(INDEX('02_REFERENTIEL_CLIENTS'!$B$2:$B$51,MATCH(TRIM(C276),'02_REFERENTIEL_CLIENTS'!$A$2:$A$51,0)),"Non trouvé")</x:f>
        <x:v>PME</x:v>
      </x:c>
      <x:c r="Q276" t="str">
        <x:f>IFERROR(INDEX('02_REFERENTIEL_CLIENTS'!$C$2:$C$51,MATCH(TRIM(C276),'02_REFERENTIEL_CLIENTS'!$A$2:$A$51,0)),"Non trouvé")</x:f>
        <x:v>Europe</x:v>
      </x:c>
      <x:c r="R276" t="str">
        <x:f>IF(OR(F276&lt;=0,G276&lt;0,G276&gt;F276,N276&lt;0,P276="Non trouvé"),"À vérifier","OK")</x:f>
        <x:v>OK</x:v>
      </x:c>
    </x:row>
    <x:row r="277">
      <x:c r="A277" t="str">
        <x:v>DV-2025-00276</x:v>
      </x:c>
      <x:c r="B277" s="16" t="n">
        <x:v>45731</x:v>
      </x:c>
      <x:c r="C277" t="str">
        <x:v>Client 30</x:v>
      </x:c>
      <x:c r="D277" t="str">
        <x:v>Fret maritime</x:v>
      </x:c>
      <x:c r="E277" t="str">
        <x:v>Pôle C</x:v>
      </x:c>
      <x:c r="F277" s="18" t="n">
        <x:v>18194.95</x:v>
      </x:c>
      <x:c r="G277" s="18" t="n">
        <x:v>0</x:v>
      </x:c>
      <x:c r="H277" t="str">
        <x:v>Client 30</x:v>
      </x:c>
      <x:c r="I277" s="16"/>
      <x:c r="J277" t="n">
        <x:f>YEAR(B277)</x:f>
        <x:v>2025</x:v>
      </x:c>
      <x:c r="K277" s="20" t="n">
        <x:f>DATE(YEAR(B277),MONTH(B277),1)</x:f>
        <x:v>45717</x:v>
      </x:c>
      <x:c r="L277" s="18" t="n">
        <x:f>F277-G277</x:f>
        <x:v>18194.95</x:v>
      </x:c>
      <x:c r="M277" t="str">
        <x:f>IF(L277&lt;=0,"Payée",IF(G277=0,"Impayée","Partielle"))</x:f>
        <x:v>Impayée</x:v>
      </x:c>
      <x:c r="N277" t="str">
        <x:f>IF(I277="","",I277-B277)</x:f>
      </x:c>
      <x:c r="O277" t="str">
        <x:f>IF(TRIM(C277)&lt;&gt;TRIM(H277),"Oui","Non")</x:f>
        <x:v>Non</x:v>
      </x:c>
      <x:c r="P277" t="str">
        <x:f>IFERROR(INDEX('02_REFERENTIEL_CLIENTS'!$B$2:$B$51,MATCH(TRIM(C277),'02_REFERENTIEL_CLIENTS'!$A$2:$A$51,0)),"Non trouvé")</x:f>
        <x:v>Particuliers</x:v>
      </x:c>
      <x:c r="Q277" t="str">
        <x:f>IFERROR(INDEX('02_REFERENTIEL_CLIENTS'!$C$2:$C$51,MATCH(TRIM(C277),'02_REFERENTIEL_CLIENTS'!$A$2:$A$51,0)),"Non trouvé")</x:f>
        <x:v>International</x:v>
      </x:c>
      <x:c r="R277" t="str">
        <x:f>IF(OR(F277&lt;=0,G277&lt;0,G277&gt;F277,N277&lt;0,P277="Non trouvé"),"À vérifier","OK")</x:f>
        <x:v>OK</x:v>
      </x:c>
    </x:row>
    <x:row r="278">
      <x:c r="A278" t="str">
        <x:v>DV-2024-00277</x:v>
      </x:c>
      <x:c r="B278" s="16" t="n">
        <x:v>45353</x:v>
      </x:c>
      <x:c r="C278" t="str">
        <x:v>Client 29</x:v>
      </x:c>
      <x:c r="D278" t="str">
        <x:v>Logistique</x:v>
      </x:c>
      <x:c r="E278" t="str">
        <x:v>Pôle B</x:v>
      </x:c>
      <x:c r="F278" s="18" t="n">
        <x:v>254.68</x:v>
      </x:c>
      <x:c r="G278" s="18" t="n">
        <x:v>254.68</x:v>
      </x:c>
      <x:c r="H278" t="str">
        <x:v>Client 29</x:v>
      </x:c>
      <x:c r="I278" s="16" t="n">
        <x:v>45365</x:v>
      </x:c>
      <x:c r="J278" t="n">
        <x:f>YEAR(B278)</x:f>
        <x:v>2024</x:v>
      </x:c>
      <x:c r="K278" s="20" t="n">
        <x:f>DATE(YEAR(B278),MONTH(B278),1)</x:f>
        <x:v>45352</x:v>
      </x:c>
      <x:c r="L278" s="18" t="n">
        <x:f>F278-G278</x:f>
        <x:v>0</x:v>
      </x:c>
      <x:c r="M278" t="str">
        <x:f>IF(L278&lt;=0,"Payée",IF(G278=0,"Impayée","Partielle"))</x:f>
        <x:v>Payée</x:v>
      </x:c>
      <x:c r="N278" t="n">
        <x:f>IF(I278="","",I278-B278)</x:f>
        <x:v>12</x:v>
      </x:c>
      <x:c r="O278" t="str">
        <x:f>IF(TRIM(C278)&lt;&gt;TRIM(H278),"Oui","Non")</x:f>
        <x:v>Non</x:v>
      </x:c>
      <x:c r="P278" t="str">
        <x:f>IFERROR(INDEX('02_REFERENTIEL_CLIENTS'!$B$2:$B$51,MATCH(TRIM(C278),'02_REFERENTIEL_CLIENTS'!$A$2:$A$51,0)),"Non trouvé")</x:f>
        <x:v>PME</x:v>
      </x:c>
      <x:c r="Q278" t="str">
        <x:f>IFERROR(INDEX('02_REFERENTIEL_CLIENTS'!$C$2:$C$51,MATCH(TRIM(C278),'02_REFERENTIEL_CLIENTS'!$A$2:$A$51,0)),"Non trouvé")</x:f>
        <x:v>Europe</x:v>
      </x:c>
      <x:c r="R278" t="str">
        <x:f>IF(OR(F278&lt;=0,G278&lt;0,G278&gt;F278,N278&lt;0,P278="Non trouvé"),"À vérifier","OK")</x:f>
        <x:v>OK</x:v>
      </x:c>
    </x:row>
    <x:row r="279">
      <x:c r="A279" t="str">
        <x:v>DV-2026-00278</x:v>
      </x:c>
      <x:c r="B279" s="16" t="n">
        <x:v>46148</x:v>
      </x:c>
      <x:c r="C279" t="str">
        <x:v>Client 05</x:v>
      </x:c>
      <x:c r="D279" t="str">
        <x:v>Fret maritime</x:v>
      </x:c>
      <x:c r="E279" t="str">
        <x:v>Pôle D</x:v>
      </x:c>
      <x:c r="F279" s="18" t="n">
        <x:v>2856.7</x:v>
      </x:c>
      <x:c r="G279" s="18" t="n">
        <x:v>2856.7</x:v>
      </x:c>
      <x:c r="H279" t="str">
        <x:v>Client 18</x:v>
      </x:c>
      <x:c r="I279" s="16" t="n">
        <x:v>46206</x:v>
      </x:c>
      <x:c r="J279" t="n">
        <x:f>YEAR(B279)</x:f>
        <x:v>2026</x:v>
      </x:c>
      <x:c r="K279" s="20" t="n">
        <x:f>DATE(YEAR(B279),MONTH(B279),1)</x:f>
        <x:v>46143</x:v>
      </x:c>
      <x:c r="L279" s="18" t="n">
        <x:f>F279-G279</x:f>
        <x:v>0</x:v>
      </x:c>
      <x:c r="M279" t="str">
        <x:f>IF(L279&lt;=0,"Payée",IF(G279=0,"Impayée","Partielle"))</x:f>
        <x:v>Payée</x:v>
      </x:c>
      <x:c r="N279" t="n">
        <x:f>IF(I279="","",I279-B279)</x:f>
        <x:v>58</x:v>
      </x:c>
      <x:c r="O279" t="str">
        <x:f>IF(TRIM(C279)&lt;&gt;TRIM(H279),"Oui","Non")</x:f>
        <x:v>Oui</x:v>
      </x:c>
      <x:c r="P279" t="str">
        <x:f>IFERROR(INDEX('02_REFERENTIEL_CLIENTS'!$B$2:$B$51,MATCH(TRIM(C279),'02_REFERENTIEL_CLIENTS'!$A$2:$A$51,0)),"Non trouvé")</x:f>
        <x:v>PME</x:v>
      </x:c>
      <x:c r="Q279" t="str">
        <x:f>IFERROR(INDEX('02_REFERENTIEL_CLIENTS'!$C$2:$C$51,MATCH(TRIM(C279),'02_REFERENTIEL_CLIENTS'!$A$2:$A$51,0)),"Non trouvé")</x:f>
        <x:v>Europe</x:v>
      </x:c>
      <x:c r="R279" t="str">
        <x:f>IF(OR(F279&lt;=0,G279&lt;0,G279&gt;F279,N279&lt;0,P279="Non trouvé"),"À vérifier","OK")</x:f>
        <x:v>OK</x:v>
      </x:c>
    </x:row>
    <x:row r="280">
      <x:c r="A280" t="str">
        <x:v>DV-2024-00279</x:v>
      </x:c>
      <x:c r="B280" s="16" t="n">
        <x:v>45324</x:v>
      </x:c>
      <x:c r="C280" t="str">
        <x:v>Client 43</x:v>
      </x:c>
      <x:c r="D280" t="str">
        <x:v>Logistique</x:v>
      </x:c>
      <x:c r="E280" t="str">
        <x:v>Pôle A</x:v>
      </x:c>
      <x:c r="F280" s="18" t="n">
        <x:v>6109.86</x:v>
      </x:c>
      <x:c r="G280" s="18" t="n">
        <x:v>6109.86</x:v>
      </x:c>
      <x:c r="H280" t="str">
        <x:v>Client 43</x:v>
      </x:c>
      <x:c r="I280" s="16" t="n">
        <x:v>45384</x:v>
      </x:c>
      <x:c r="J280" t="n">
        <x:f>YEAR(B280)</x:f>
        <x:v>2024</x:v>
      </x:c>
      <x:c r="K280" s="20" t="n">
        <x:f>DATE(YEAR(B280),MONTH(B280),1)</x:f>
        <x:v>45323</x:v>
      </x:c>
      <x:c r="L280" s="18" t="n">
        <x:f>F280-G280</x:f>
        <x:v>0</x:v>
      </x:c>
      <x:c r="M280" t="str">
        <x:f>IF(L280&lt;=0,"Payée",IF(G280=0,"Impayée","Partielle"))</x:f>
        <x:v>Payée</x:v>
      </x:c>
      <x:c r="N280" t="n">
        <x:f>IF(I280="","",I280-B280)</x:f>
        <x:v>60</x:v>
      </x:c>
      <x:c r="O280" t="str">
        <x:f>IF(TRIM(C280)&lt;&gt;TRIM(H280),"Oui","Non")</x:f>
        <x:v>Non</x:v>
      </x:c>
      <x:c r="P280" t="str">
        <x:f>IFERROR(INDEX('02_REFERENTIEL_CLIENTS'!$B$2:$B$51,MATCH(TRIM(C280),'02_REFERENTIEL_CLIENTS'!$A$2:$A$51,0)),"Non trouvé")</x:f>
        <x:v>Grands comptes</x:v>
      </x:c>
      <x:c r="Q280" t="str">
        <x:f>IFERROR(INDEX('02_REFERENTIEL_CLIENTS'!$C$2:$C$51,MATCH(TRIM(C280),'02_REFERENTIEL_CLIENTS'!$A$2:$A$51,0)),"Non trouvé")</x:f>
        <x:v>France</x:v>
      </x:c>
      <x:c r="R280" t="str">
        <x:f>IF(OR(F280&lt;=0,G280&lt;0,G280&gt;F280,N280&lt;0,P280="Non trouvé"),"À vérifier","OK")</x:f>
        <x:v>OK</x:v>
      </x:c>
    </x:row>
    <x:row r="281">
      <x:c r="A281" t="str">
        <x:v>DV-2026-00280</x:v>
      </x:c>
      <x:c r="B281" s="16" t="n">
        <x:v>46037</x:v>
      </x:c>
      <x:c r="C281" t="str">
        <x:v>Client 10</x:v>
      </x:c>
      <x:c r="D281" t="str">
        <x:v>Logistique</x:v>
      </x:c>
      <x:c r="E281" t="str">
        <x:v>Pôle B</x:v>
      </x:c>
      <x:c r="F281" s="18" t="n">
        <x:v>20006.8</x:v>
      </x:c>
      <x:c r="G281" s="18" t="n">
        <x:v>20006.8</x:v>
      </x:c>
      <x:c r="H281" t="str">
        <x:v>Client 10</x:v>
      </x:c>
      <x:c r="I281" s="16" t="n">
        <x:v>46057</x:v>
      </x:c>
      <x:c r="J281" t="n">
        <x:f>YEAR(B281)</x:f>
        <x:v>2026</x:v>
      </x:c>
      <x:c r="K281" s="20" t="n">
        <x:f>DATE(YEAR(B281),MONTH(B281),1)</x:f>
        <x:v>46023</x:v>
      </x:c>
      <x:c r="L281" s="18" t="n">
        <x:f>F281-G281</x:f>
        <x:v>0</x:v>
      </x:c>
      <x:c r="M281" t="str">
        <x:f>IF(L281&lt;=0,"Payée",IF(G281=0,"Impayée","Partielle"))</x:f>
        <x:v>Payée</x:v>
      </x:c>
      <x:c r="N281" t="n">
        <x:f>IF(I281="","",I281-B281)</x:f>
        <x:v>20</x:v>
      </x:c>
      <x:c r="O281" t="str">
        <x:f>IF(TRIM(C281)&lt;&gt;TRIM(H281),"Oui","Non")</x:f>
        <x:v>Non</x:v>
      </x:c>
      <x:c r="P281" t="str">
        <x:f>IFERROR(INDEX('02_REFERENTIEL_CLIENTS'!$B$2:$B$51,MATCH(TRIM(C281),'02_REFERENTIEL_CLIENTS'!$A$2:$A$51,0)),"Non trouvé")</x:f>
        <x:v>Grands comptes</x:v>
      </x:c>
      <x:c r="Q281" t="str">
        <x:f>IFERROR(INDEX('02_REFERENTIEL_CLIENTS'!$C$2:$C$51,MATCH(TRIM(C281),'02_REFERENTIEL_CLIENTS'!$A$2:$A$51,0)),"Non trouvé")</x:f>
        <x:v>France</x:v>
      </x:c>
      <x:c r="R281" t="str">
        <x:f>IF(OR(F281&lt;=0,G281&lt;0,G281&gt;F281,N281&lt;0,P281="Non trouvé"),"À vérifier","OK")</x:f>
        <x:v>OK</x:v>
      </x:c>
    </x:row>
    <x:row r="282">
      <x:c r="A282" t="str">
        <x:v>DV-2025-00281</x:v>
      </x:c>
      <x:c r="B282" s="16" t="n">
        <x:v>45910</x:v>
      </x:c>
      <x:c r="C282" t="str">
        <x:v>Client 21</x:v>
      </x:c>
      <x:c r="D282" t="str">
        <x:v>Fret maritime</x:v>
      </x:c>
      <x:c r="E282" t="str">
        <x:v>Pôle B</x:v>
      </x:c>
      <x:c r="F282" s="18" t="n">
        <x:v>5952.41</x:v>
      </x:c>
      <x:c r="G282" s="18" t="n">
        <x:v>0</x:v>
      </x:c>
      <x:c r="H282" t="str">
        <x:v>Client 21</x:v>
      </x:c>
      <x:c r="I282" s="16"/>
      <x:c r="J282" t="n">
        <x:f>YEAR(B282)</x:f>
        <x:v>2025</x:v>
      </x:c>
      <x:c r="K282" s="20" t="n">
        <x:f>DATE(YEAR(B282),MONTH(B282),1)</x:f>
        <x:v>45901</x:v>
      </x:c>
      <x:c r="L282" s="18" t="n">
        <x:f>F282-G282</x:f>
        <x:v>5952.41</x:v>
      </x:c>
      <x:c r="M282" t="str">
        <x:f>IF(L282&lt;=0,"Payée",IF(G282=0,"Impayée","Partielle"))</x:f>
        <x:v>Impayée</x:v>
      </x:c>
      <x:c r="N282" t="str">
        <x:f>IF(I282="","",I282-B282)</x:f>
      </x:c>
      <x:c r="O282" t="str">
        <x:f>IF(TRIM(C282)&lt;&gt;TRIM(H282),"Oui","Non")</x:f>
        <x:v>Non</x:v>
      </x:c>
      <x:c r="P282" t="str">
        <x:f>IFERROR(INDEX('02_REFERENTIEL_CLIENTS'!$B$2:$B$51,MATCH(TRIM(C282),'02_REFERENTIEL_CLIENTS'!$A$2:$A$51,0)),"Non trouvé")</x:f>
        <x:v>Particuliers</x:v>
      </x:c>
      <x:c r="Q282" t="str">
        <x:f>IFERROR(INDEX('02_REFERENTIEL_CLIENTS'!$C$2:$C$51,MATCH(TRIM(C282),'02_REFERENTIEL_CLIENTS'!$A$2:$A$51,0)),"Non trouvé")</x:f>
        <x:v>International</x:v>
      </x:c>
      <x:c r="R282" t="str">
        <x:f>IF(OR(F282&lt;=0,G282&lt;0,G282&gt;F282,N282&lt;0,P282="Non trouvé"),"À vérifier","OK")</x:f>
        <x:v>OK</x:v>
      </x:c>
    </x:row>
    <x:row r="283">
      <x:c r="A283" t="str">
        <x:v>DV-2024-00282</x:v>
      </x:c>
      <x:c r="B283" s="16" t="n">
        <x:v>45458</x:v>
      </x:c>
      <x:c r="C283" t="str">
        <x:v>Client 39</x:v>
      </x:c>
      <x:c r="D283" t="str">
        <x:v>Fret aérien</x:v>
      </x:c>
      <x:c r="E283" t="str">
        <x:v>Pôle C</x:v>
      </x:c>
      <x:c r="F283" s="18" t="n">
        <x:v>19353.29</x:v>
      </x:c>
      <x:c r="G283" s="18" t="n">
        <x:v>19353.29</x:v>
      </x:c>
      <x:c r="H283" t="str">
        <x:v>Client 39</x:v>
      </x:c>
      <x:c r="I283" s="16" t="n">
        <x:v>45522</x:v>
      </x:c>
      <x:c r="J283" t="n">
        <x:f>YEAR(B283)</x:f>
        <x:v>2024</x:v>
      </x:c>
      <x:c r="K283" s="20" t="n">
        <x:f>DATE(YEAR(B283),MONTH(B283),1)</x:f>
        <x:v>45444</x:v>
      </x:c>
      <x:c r="L283" s="18" t="n">
        <x:f>F283-G283</x:f>
        <x:v>0</x:v>
      </x:c>
      <x:c r="M283" t="str">
        <x:f>IF(L283&lt;=0,"Payée",IF(G283=0,"Impayée","Partielle"))</x:f>
        <x:v>Payée</x:v>
      </x:c>
      <x:c r="N283" t="n">
        <x:f>IF(I283="","",I283-B283)</x:f>
        <x:v>64</x:v>
      </x:c>
      <x:c r="O283" t="str">
        <x:f>IF(TRIM(C283)&lt;&gt;TRIM(H283),"Oui","Non")</x:f>
        <x:v>Non</x:v>
      </x:c>
      <x:c r="P283" t="str">
        <x:f>IFERROR(INDEX('02_REFERENTIEL_CLIENTS'!$B$2:$B$51,MATCH(TRIM(C283),'02_REFERENTIEL_CLIENTS'!$A$2:$A$51,0)),"Non trouvé")</x:f>
        <x:v>Particuliers</x:v>
      </x:c>
      <x:c r="Q283" t="str">
        <x:f>IFERROR(INDEX('02_REFERENTIEL_CLIENTS'!$C$2:$C$51,MATCH(TRIM(C283),'02_REFERENTIEL_CLIENTS'!$A$2:$A$51,0)),"Non trouvé")</x:f>
        <x:v>International</x:v>
      </x:c>
      <x:c r="R283" t="str">
        <x:f>IF(OR(F283&lt;=0,G283&lt;0,G283&gt;F283,N283&lt;0,P283="Non trouvé"),"À vérifier","OK")</x:f>
        <x:v>OK</x:v>
      </x:c>
    </x:row>
    <x:row r="284">
      <x:c r="A284" t="str">
        <x:v>DV-2025-00283</x:v>
      </x:c>
      <x:c r="B284" s="16" t="n">
        <x:v>45683</x:v>
      </x:c>
      <x:c r="C284" t="str">
        <x:v>Client 34</x:v>
      </x:c>
      <x:c r="D284" t="str">
        <x:v>Fret aérien</x:v>
      </x:c>
      <x:c r="E284" t="str">
        <x:v>Pôle E</x:v>
      </x:c>
      <x:c r="F284" s="18" t="n">
        <x:v>16550.08</x:v>
      </x:c>
      <x:c r="G284" s="18" t="n">
        <x:v>16550.08</x:v>
      </x:c>
      <x:c r="H284" t="str">
        <x:v>Client 34</x:v>
      </x:c>
      <x:c r="I284" s="16" t="n">
        <x:v>45713</x:v>
      </x:c>
      <x:c r="J284" t="n">
        <x:f>YEAR(B284)</x:f>
        <x:v>2025</x:v>
      </x:c>
      <x:c r="K284" s="20" t="n">
        <x:f>DATE(YEAR(B284),MONTH(B284),1)</x:f>
        <x:v>45658</x:v>
      </x:c>
      <x:c r="L284" s="18" t="n">
        <x:f>F284-G284</x:f>
        <x:v>0</x:v>
      </x:c>
      <x:c r="M284" t="str">
        <x:f>IF(L284&lt;=0,"Payée",IF(G284=0,"Impayée","Partielle"))</x:f>
        <x:v>Payée</x:v>
      </x:c>
      <x:c r="N284" t="n">
        <x:f>IF(I284="","",I284-B284)</x:f>
        <x:v>30</x:v>
      </x:c>
      <x:c r="O284" t="str">
        <x:f>IF(TRIM(C284)&lt;&gt;TRIM(H284),"Oui","Non")</x:f>
        <x:v>Non</x:v>
      </x:c>
      <x:c r="P284" t="str">
        <x:f>IFERROR(INDEX('02_REFERENTIEL_CLIENTS'!$B$2:$B$51,MATCH(TRIM(C284),'02_REFERENTIEL_CLIENTS'!$A$2:$A$51,0)),"Non trouvé")</x:f>
        <x:v>Grands comptes</x:v>
      </x:c>
      <x:c r="Q284" t="str">
        <x:f>IFERROR(INDEX('02_REFERENTIEL_CLIENTS'!$C$2:$C$51,MATCH(TRIM(C284),'02_REFERENTIEL_CLIENTS'!$A$2:$A$51,0)),"Non trouvé")</x:f>
        <x:v>France</x:v>
      </x:c>
      <x:c r="R284" t="str">
        <x:f>IF(OR(F284&lt;=0,G284&lt;0,G284&gt;F284,N284&lt;0,P284="Non trouvé"),"À vérifier","OK")</x:f>
        <x:v>OK</x:v>
      </x:c>
    </x:row>
    <x:row r="285">
      <x:c r="A285" t="str">
        <x:v>DV-2026-00284</x:v>
      </x:c>
      <x:c r="B285" s="16" t="n">
        <x:v>46137</x:v>
      </x:c>
      <x:c r="C285" t="str">
        <x:v>Client 11</x:v>
      </x:c>
      <x:c r="D285" t="str">
        <x:v>Logistique</x:v>
      </x:c>
      <x:c r="E285" t="str">
        <x:v>Pôle B</x:v>
      </x:c>
      <x:c r="F285" s="18" t="n">
        <x:v>5119.29</x:v>
      </x:c>
      <x:c r="G285" s="18" t="n">
        <x:v>5119.29</x:v>
      </x:c>
      <x:c r="H285" t="str">
        <x:v>Client 11</x:v>
      </x:c>
      <x:c r="I285" s="16" t="n">
        <x:v>46191</x:v>
      </x:c>
      <x:c r="J285" t="n">
        <x:f>YEAR(B285)</x:f>
        <x:v>2026</x:v>
      </x:c>
      <x:c r="K285" s="20" t="n">
        <x:f>DATE(YEAR(B285),MONTH(B285),1)</x:f>
        <x:v>46113</x:v>
      </x:c>
      <x:c r="L285" s="18" t="n">
        <x:f>F285-G285</x:f>
        <x:v>0</x:v>
      </x:c>
      <x:c r="M285" t="str">
        <x:f>IF(L285&lt;=0,"Payée",IF(G285=0,"Impayée","Partielle"))</x:f>
        <x:v>Payée</x:v>
      </x:c>
      <x:c r="N285" t="n">
        <x:f>IF(I285="","",I285-B285)</x:f>
        <x:v>54</x:v>
      </x:c>
      <x:c r="O285" t="str">
        <x:f>IF(TRIM(C285)&lt;&gt;TRIM(H285),"Oui","Non")</x:f>
        <x:v>Non</x:v>
      </x:c>
      <x:c r="P285" t="str">
        <x:f>IFERROR(INDEX('02_REFERENTIEL_CLIENTS'!$B$2:$B$51,MATCH(TRIM(C285),'02_REFERENTIEL_CLIENTS'!$A$2:$A$51,0)),"Non trouvé")</x:f>
        <x:v>PME</x:v>
      </x:c>
      <x:c r="Q285" t="str">
        <x:f>IFERROR(INDEX('02_REFERENTIEL_CLIENTS'!$C$2:$C$51,MATCH(TRIM(C285),'02_REFERENTIEL_CLIENTS'!$A$2:$A$51,0)),"Non trouvé")</x:f>
        <x:v>Europe</x:v>
      </x:c>
      <x:c r="R285" t="str">
        <x:f>IF(OR(F285&lt;=0,G285&lt;0,G285&gt;F285,N285&lt;0,P285="Non trouvé"),"À vérifier","OK")</x:f>
        <x:v>OK</x:v>
      </x:c>
    </x:row>
    <x:row r="286">
      <x:c r="A286" t="str">
        <x:v>DV-2026-00285</x:v>
      </x:c>
      <x:c r="B286" s="16" t="n">
        <x:v>46145</x:v>
      </x:c>
      <x:c r="C286" t="str">
        <x:v>Client 07</x:v>
      </x:c>
      <x:c r="D286" t="str">
        <x:v>Douane</x:v>
      </x:c>
      <x:c r="E286" t="str">
        <x:v>Pôle C</x:v>
      </x:c>
      <x:c r="F286" s="18" t="n">
        <x:v>14087.65</x:v>
      </x:c>
      <x:c r="G286" s="18" t="n">
        <x:v>14087.65</x:v>
      </x:c>
      <x:c r="H286" t="str">
        <x:v>Client 28</x:v>
      </x:c>
      <x:c r="I286" s="16" t="n">
        <x:v>46183</x:v>
      </x:c>
      <x:c r="J286" t="n">
        <x:f>YEAR(B286)</x:f>
        <x:v>2026</x:v>
      </x:c>
      <x:c r="K286" s="20" t="n">
        <x:f>DATE(YEAR(B286),MONTH(B286),1)</x:f>
        <x:v>46143</x:v>
      </x:c>
      <x:c r="L286" s="18" t="n">
        <x:f>F286-G286</x:f>
        <x:v>0</x:v>
      </x:c>
      <x:c r="M286" t="str">
        <x:f>IF(L286&lt;=0,"Payée",IF(G286=0,"Impayée","Partielle"))</x:f>
        <x:v>Payée</x:v>
      </x:c>
      <x:c r="N286" t="n">
        <x:f>IF(I286="","",I286-B286)</x:f>
        <x:v>38</x:v>
      </x:c>
      <x:c r="O286" t="str">
        <x:f>IF(TRIM(C286)&lt;&gt;TRIM(H286),"Oui","Non")</x:f>
        <x:v>Oui</x:v>
      </x:c>
      <x:c r="P286" t="str">
        <x:f>IFERROR(INDEX('02_REFERENTIEL_CLIENTS'!$B$2:$B$51,MATCH(TRIM(C286),'02_REFERENTIEL_CLIENTS'!$A$2:$A$51,0)),"Non trouvé")</x:f>
        <x:v>Grands comptes</x:v>
      </x:c>
      <x:c r="Q286" t="str">
        <x:f>IFERROR(INDEX('02_REFERENTIEL_CLIENTS'!$C$2:$C$51,MATCH(TRIM(C286),'02_REFERENTIEL_CLIENTS'!$A$2:$A$51,0)),"Non trouvé")</x:f>
        <x:v>France</x:v>
      </x:c>
      <x:c r="R286" t="str">
        <x:f>IF(OR(F286&lt;=0,G286&lt;0,G286&gt;F286,N286&lt;0,P286="Non trouvé"),"À vérifier","OK")</x:f>
        <x:v>OK</x:v>
      </x:c>
    </x:row>
    <x:row r="287">
      <x:c r="A287" t="str">
        <x:v>DV-2026-00286</x:v>
      </x:c>
      <x:c r="B287" s="16" t="n">
        <x:v>46230</x:v>
      </x:c>
      <x:c r="C287" t="str">
        <x:v>Client 45</x:v>
      </x:c>
      <x:c r="D287" t="str">
        <x:v>Fret maritime</x:v>
      </x:c>
      <x:c r="E287" t="str">
        <x:v>Pôle E</x:v>
      </x:c>
      <x:c r="F287" s="18" t="n">
        <x:v>14405.99</x:v>
      </x:c>
      <x:c r="G287" s="18" t="n">
        <x:v>14405.99</x:v>
      </x:c>
      <x:c r="H287" t="str">
        <x:v>Client 45</x:v>
      </x:c>
      <x:c r="I287" s="16" t="n">
        <x:v>46272</x:v>
      </x:c>
      <x:c r="J287" t="n">
        <x:f>YEAR(B287)</x:f>
        <x:v>2026</x:v>
      </x:c>
      <x:c r="K287" s="20" t="n">
        <x:f>DATE(YEAR(B287),MONTH(B287),1)</x:f>
        <x:v>46204</x:v>
      </x:c>
      <x:c r="L287" s="18" t="n">
        <x:f>F287-G287</x:f>
        <x:v>0</x:v>
      </x:c>
      <x:c r="M287" t="str">
        <x:f>IF(L287&lt;=0,"Payée",IF(G287=0,"Impayée","Partielle"))</x:f>
        <x:v>Payée</x:v>
      </x:c>
      <x:c r="N287" t="n">
        <x:f>IF(I287="","",I287-B287)</x:f>
        <x:v>42</x:v>
      </x:c>
      <x:c r="O287" t="str">
        <x:f>IF(TRIM(C287)&lt;&gt;TRIM(H287),"Oui","Non")</x:f>
        <x:v>Non</x:v>
      </x:c>
      <x:c r="P287" t="str">
        <x:f>IFERROR(INDEX('02_REFERENTIEL_CLIENTS'!$B$2:$B$51,MATCH(TRIM(C287),'02_REFERENTIEL_CLIENTS'!$A$2:$A$51,0)),"Non trouvé")</x:f>
        <x:v>Particuliers</x:v>
      </x:c>
      <x:c r="Q287" t="str">
        <x:f>IFERROR(INDEX('02_REFERENTIEL_CLIENTS'!$C$2:$C$51,MATCH(TRIM(C287),'02_REFERENTIEL_CLIENTS'!$A$2:$A$51,0)),"Non trouvé")</x:f>
        <x:v>International</x:v>
      </x:c>
      <x:c r="R287" t="str">
        <x:f>IF(OR(F287&lt;=0,G287&lt;0,G287&gt;F287,N287&lt;0,P287="Non trouvé"),"À vérifier","OK")</x:f>
        <x:v>OK</x:v>
      </x:c>
    </x:row>
    <x:row r="288">
      <x:c r="A288" t="str">
        <x:v>DV-2025-00287</x:v>
      </x:c>
      <x:c r="B288" s="16" t="n">
        <x:v>45675</x:v>
      </x:c>
      <x:c r="C288" t="str">
        <x:v>Client 10</x:v>
      </x:c>
      <x:c r="D288" t="str">
        <x:v>Fret maritime</x:v>
      </x:c>
      <x:c r="E288" t="str">
        <x:v>Pôle A</x:v>
      </x:c>
      <x:c r="F288" s="18" t="n">
        <x:v>8458.46</x:v>
      </x:c>
      <x:c r="G288" s="18" t="n">
        <x:v>8458.46</x:v>
      </x:c>
      <x:c r="H288" t="str">
        <x:v>Client 10</x:v>
      </x:c>
      <x:c r="I288" s="16" t="n">
        <x:v>45756</x:v>
      </x:c>
      <x:c r="J288" t="n">
        <x:f>YEAR(B288)</x:f>
        <x:v>2025</x:v>
      </x:c>
      <x:c r="K288" s="20" t="n">
        <x:f>DATE(YEAR(B288),MONTH(B288),1)</x:f>
        <x:v>45658</x:v>
      </x:c>
      <x:c r="L288" s="18" t="n">
        <x:f>F288-G288</x:f>
        <x:v>0</x:v>
      </x:c>
      <x:c r="M288" t="str">
        <x:f>IF(L288&lt;=0,"Payée",IF(G288=0,"Impayée","Partielle"))</x:f>
        <x:v>Payée</x:v>
      </x:c>
      <x:c r="N288" t="n">
        <x:f>IF(I288="","",I288-B288)</x:f>
        <x:v>81</x:v>
      </x:c>
      <x:c r="O288" t="str">
        <x:f>IF(TRIM(C288)&lt;&gt;TRIM(H288),"Oui","Non")</x:f>
        <x:v>Non</x:v>
      </x:c>
      <x:c r="P288" t="str">
        <x:f>IFERROR(INDEX('02_REFERENTIEL_CLIENTS'!$B$2:$B$51,MATCH(TRIM(C288),'02_REFERENTIEL_CLIENTS'!$A$2:$A$51,0)),"Non trouvé")</x:f>
        <x:v>Grands comptes</x:v>
      </x:c>
      <x:c r="Q288" t="str">
        <x:f>IFERROR(INDEX('02_REFERENTIEL_CLIENTS'!$C$2:$C$51,MATCH(TRIM(C288),'02_REFERENTIEL_CLIENTS'!$A$2:$A$51,0)),"Non trouvé")</x:f>
        <x:v>France</x:v>
      </x:c>
      <x:c r="R288" t="str">
        <x:f>IF(OR(F288&lt;=0,G288&lt;0,G288&gt;F288,N288&lt;0,P288="Non trouvé"),"À vérifier","OK")</x:f>
        <x:v>OK</x:v>
      </x:c>
    </x:row>
    <x:row r="289">
      <x:c r="A289" t="str">
        <x:v>DV-2026-00288</x:v>
      </x:c>
      <x:c r="B289" s="16" t="n">
        <x:v>46029</x:v>
      </x:c>
      <x:c r="C289" t="str">
        <x:v>Client 09</x:v>
      </x:c>
      <x:c r="D289" t="str">
        <x:v>Fret maritime</x:v>
      </x:c>
      <x:c r="E289" t="str">
        <x:v>Pôle C</x:v>
      </x:c>
      <x:c r="F289" s="18" t="n">
        <x:v>7425.05</x:v>
      </x:c>
      <x:c r="G289" s="18" t="n">
        <x:v>7425.05</x:v>
      </x:c>
      <x:c r="H289" t="str">
        <x:v>Client 09</x:v>
      </x:c>
      <x:c r="I289" s="16" t="n">
        <x:v>46120</x:v>
      </x:c>
      <x:c r="J289" t="n">
        <x:f>YEAR(B289)</x:f>
        <x:v>2026</x:v>
      </x:c>
      <x:c r="K289" s="20" t="n">
        <x:f>DATE(YEAR(B289),MONTH(B289),1)</x:f>
        <x:v>46023</x:v>
      </x:c>
      <x:c r="L289" s="18" t="n">
        <x:f>F289-G289</x:f>
        <x:v>0</x:v>
      </x:c>
      <x:c r="M289" t="str">
        <x:f>IF(L289&lt;=0,"Payée",IF(G289=0,"Impayée","Partielle"))</x:f>
        <x:v>Payée</x:v>
      </x:c>
      <x:c r="N289" t="n">
        <x:f>IF(I289="","",I289-B289)</x:f>
        <x:v>91</x:v>
      </x:c>
      <x:c r="O289" t="str">
        <x:f>IF(TRIM(C289)&lt;&gt;TRIM(H289),"Oui","Non")</x:f>
        <x:v>Non</x:v>
      </x:c>
      <x:c r="P289" t="str">
        <x:f>IFERROR(INDEX('02_REFERENTIEL_CLIENTS'!$B$2:$B$51,MATCH(TRIM(C289),'02_REFERENTIEL_CLIENTS'!$A$2:$A$51,0)),"Non trouvé")</x:f>
        <x:v>Particuliers</x:v>
      </x:c>
      <x:c r="Q289" t="str">
        <x:f>IFERROR(INDEX('02_REFERENTIEL_CLIENTS'!$C$2:$C$51,MATCH(TRIM(C289),'02_REFERENTIEL_CLIENTS'!$A$2:$A$51,0)),"Non trouvé")</x:f>
        <x:v>International</x:v>
      </x:c>
      <x:c r="R289" t="str">
        <x:f>IF(OR(F289&lt;=0,G289&lt;0,G289&gt;F289,N289&lt;0,P289="Non trouvé"),"À vérifier","OK")</x:f>
        <x:v>OK</x:v>
      </x:c>
    </x:row>
    <x:row r="290">
      <x:c r="A290" t="str">
        <x:v>DV-2025-00289</x:v>
      </x:c>
      <x:c r="B290" s="16" t="n">
        <x:v>45717</x:v>
      </x:c>
      <x:c r="C290" t="str">
        <x:v>Client 28</x:v>
      </x:c>
      <x:c r="D290" t="str">
        <x:v>Fret maritime</x:v>
      </x:c>
      <x:c r="E290" t="str">
        <x:v>Pôle E</x:v>
      </x:c>
      <x:c r="F290" s="18" t="n">
        <x:v>18753.07</x:v>
      </x:c>
      <x:c r="G290" s="18" t="n">
        <x:v>8454.79</x:v>
      </x:c>
      <x:c r="H290" t="str">
        <x:v>Client 28</x:v>
      </x:c>
      <x:c r="I290" s="16" t="n">
        <x:v>45770</x:v>
      </x:c>
      <x:c r="J290" t="n">
        <x:f>YEAR(B290)</x:f>
        <x:v>2025</x:v>
      </x:c>
      <x:c r="K290" s="20" t="n">
        <x:f>DATE(YEAR(B290),MONTH(B290),1)</x:f>
        <x:v>45717</x:v>
      </x:c>
      <x:c r="L290" s="18" t="n">
        <x:f>F290-G290</x:f>
        <x:v>10298.279999999999</x:v>
      </x:c>
      <x:c r="M290" t="str">
        <x:f>IF(L290&lt;=0,"Payée",IF(G290=0,"Impayée","Partielle"))</x:f>
        <x:v>Partielle</x:v>
      </x:c>
      <x:c r="N290" t="n">
        <x:f>IF(I290="","",I290-B290)</x:f>
        <x:v>53</x:v>
      </x:c>
      <x:c r="O290" t="str">
        <x:f>IF(TRIM(C290)&lt;&gt;TRIM(H290),"Oui","Non")</x:f>
        <x:v>Non</x:v>
      </x:c>
      <x:c r="P290" t="str">
        <x:f>IFERROR(INDEX('02_REFERENTIEL_CLIENTS'!$B$2:$B$51,MATCH(TRIM(C290),'02_REFERENTIEL_CLIENTS'!$A$2:$A$51,0)),"Non trouvé")</x:f>
        <x:v>Grands comptes</x:v>
      </x:c>
      <x:c r="Q290" t="str">
        <x:f>IFERROR(INDEX('02_REFERENTIEL_CLIENTS'!$C$2:$C$51,MATCH(TRIM(C290),'02_REFERENTIEL_CLIENTS'!$A$2:$A$51,0)),"Non trouvé")</x:f>
        <x:v>France</x:v>
      </x:c>
      <x:c r="R290" t="str">
        <x:f>IF(OR(F290&lt;=0,G290&lt;0,G290&gt;F290,N290&lt;0,P290="Non trouvé"),"À vérifier","OK")</x:f>
        <x:v>OK</x:v>
      </x:c>
    </x:row>
    <x:row r="291">
      <x:c r="A291" t="str">
        <x:v>DV-2025-00290</x:v>
      </x:c>
      <x:c r="B291" s="16" t="n">
        <x:v>45977</x:v>
      </x:c>
      <x:c r="C291" t="str">
        <x:v>Client 05</x:v>
      </x:c>
      <x:c r="D291" t="str">
        <x:v>Express</x:v>
      </x:c>
      <x:c r="E291" t="str">
        <x:v>Pôle B</x:v>
      </x:c>
      <x:c r="F291" s="18" t="n">
        <x:v>14139.42</x:v>
      </x:c>
      <x:c r="G291" s="18" t="n">
        <x:v>14139.42</x:v>
      </x:c>
      <x:c r="H291" t="str">
        <x:v>Client 05</x:v>
      </x:c>
      <x:c r="I291" s="16" t="n">
        <x:v>46020</x:v>
      </x:c>
      <x:c r="J291" t="n">
        <x:f>YEAR(B291)</x:f>
        <x:v>2025</x:v>
      </x:c>
      <x:c r="K291" s="20" t="n">
        <x:f>DATE(YEAR(B291),MONTH(B291),1)</x:f>
        <x:v>45962</x:v>
      </x:c>
      <x:c r="L291" s="18" t="n">
        <x:f>F291-G291</x:f>
        <x:v>0</x:v>
      </x:c>
      <x:c r="M291" t="str">
        <x:f>IF(L291&lt;=0,"Payée",IF(G291=0,"Impayée","Partielle"))</x:f>
        <x:v>Payée</x:v>
      </x:c>
      <x:c r="N291" t="n">
        <x:f>IF(I291="","",I291-B291)</x:f>
        <x:v>43</x:v>
      </x:c>
      <x:c r="O291" t="str">
        <x:f>IF(TRIM(C291)&lt;&gt;TRIM(H291),"Oui","Non")</x:f>
        <x:v>Non</x:v>
      </x:c>
      <x:c r="P291" t="str">
        <x:f>IFERROR(INDEX('02_REFERENTIEL_CLIENTS'!$B$2:$B$51,MATCH(TRIM(C291),'02_REFERENTIEL_CLIENTS'!$A$2:$A$51,0)),"Non trouvé")</x:f>
        <x:v>PME</x:v>
      </x:c>
      <x:c r="Q291" t="str">
        <x:f>IFERROR(INDEX('02_REFERENTIEL_CLIENTS'!$C$2:$C$51,MATCH(TRIM(C291),'02_REFERENTIEL_CLIENTS'!$A$2:$A$51,0)),"Non trouvé")</x:f>
        <x:v>Europe</x:v>
      </x:c>
      <x:c r="R291" t="str">
        <x:f>IF(OR(F291&lt;=0,G291&lt;0,G291&gt;F291,N291&lt;0,P291="Non trouvé"),"À vérifier","OK")</x:f>
        <x:v>OK</x:v>
      </x:c>
    </x:row>
    <x:row r="292">
      <x:c r="A292" t="str">
        <x:v>DV-2026-00291</x:v>
      </x:c>
      <x:c r="B292" s="16" t="n">
        <x:v>46137</x:v>
      </x:c>
      <x:c r="C292" t="str">
        <x:v>Client 26</x:v>
      </x:c>
      <x:c r="D292" t="str">
        <x:v>Express</x:v>
      </x:c>
      <x:c r="E292" t="str">
        <x:v>Pôle C</x:v>
      </x:c>
      <x:c r="F292" s="18" t="n">
        <x:v>16772.81</x:v>
      </x:c>
      <x:c r="G292" s="18" t="n">
        <x:v>2589</x:v>
      </x:c>
      <x:c r="H292" t="str">
        <x:v>Client 26</x:v>
      </x:c>
      <x:c r="I292" s="16" t="n">
        <x:v>46218</x:v>
      </x:c>
      <x:c r="J292" t="n">
        <x:f>YEAR(B292)</x:f>
        <x:v>2026</x:v>
      </x:c>
      <x:c r="K292" s="20" t="n">
        <x:f>DATE(YEAR(B292),MONTH(B292),1)</x:f>
        <x:v>46113</x:v>
      </x:c>
      <x:c r="L292" s="18" t="n">
        <x:f>F292-G292</x:f>
        <x:v>14183.810000000001</x:v>
      </x:c>
      <x:c r="M292" t="str">
        <x:f>IF(L292&lt;=0,"Payée",IF(G292=0,"Impayée","Partielle"))</x:f>
        <x:v>Partielle</x:v>
      </x:c>
      <x:c r="N292" t="n">
        <x:f>IF(I292="","",I292-B292)</x:f>
        <x:v>81</x:v>
      </x:c>
      <x:c r="O292" t="str">
        <x:f>IF(TRIM(C292)&lt;&gt;TRIM(H292),"Oui","Non")</x:f>
        <x:v>Non</x:v>
      </x:c>
      <x:c r="P292" t="str">
        <x:f>IFERROR(INDEX('02_REFERENTIEL_CLIENTS'!$B$2:$B$51,MATCH(TRIM(C292),'02_REFERENTIEL_CLIENTS'!$A$2:$A$51,0)),"Non trouvé")</x:f>
        <x:v>PME</x:v>
      </x:c>
      <x:c r="Q292" t="str">
        <x:f>IFERROR(INDEX('02_REFERENTIEL_CLIENTS'!$C$2:$C$51,MATCH(TRIM(C292),'02_REFERENTIEL_CLIENTS'!$A$2:$A$51,0)),"Non trouvé")</x:f>
        <x:v>Europe</x:v>
      </x:c>
      <x:c r="R292" t="str">
        <x:f>IF(OR(F292&lt;=0,G292&lt;0,G292&gt;F292,N292&lt;0,P292="Non trouvé"),"À vérifier","OK")</x:f>
        <x:v>OK</x:v>
      </x:c>
    </x:row>
    <x:row r="293">
      <x:c r="A293" t="str">
        <x:v>DV-2024-00292</x:v>
      </x:c>
      <x:c r="B293" s="16" t="n">
        <x:v>45464</x:v>
      </x:c>
      <x:c r="C293" t="str">
        <x:v>Client 50</x:v>
      </x:c>
      <x:c r="D293" t="str">
        <x:v>Douane</x:v>
      </x:c>
      <x:c r="E293" t="str">
        <x:v>Pôle A</x:v>
      </x:c>
      <x:c r="F293" s="18" t="n">
        <x:v>2690.69</x:v>
      </x:c>
      <x:c r="G293" s="18" t="n">
        <x:v>1583.65</x:v>
      </x:c>
      <x:c r="H293" t="str">
        <x:v>Client 50</x:v>
      </x:c>
      <x:c r="I293" s="16" t="n">
        <x:v>45516</x:v>
      </x:c>
      <x:c r="J293" t="n">
        <x:f>YEAR(B293)</x:f>
        <x:v>2024</x:v>
      </x:c>
      <x:c r="K293" s="20" t="n">
        <x:f>DATE(YEAR(B293),MONTH(B293),1)</x:f>
        <x:v>45444</x:v>
      </x:c>
      <x:c r="L293" s="18" t="n">
        <x:f>F293-G293</x:f>
        <x:v>1107.04</x:v>
      </x:c>
      <x:c r="M293" t="str">
        <x:f>IF(L293&lt;=0,"Payée",IF(G293=0,"Impayée","Partielle"))</x:f>
        <x:v>Partielle</x:v>
      </x:c>
      <x:c r="N293" t="n">
        <x:f>IF(I293="","",I293-B293)</x:f>
        <x:v>52</x:v>
      </x:c>
      <x:c r="O293" t="str">
        <x:f>IF(TRIM(C293)&lt;&gt;TRIM(H293),"Oui","Non")</x:f>
        <x:v>Non</x:v>
      </x:c>
      <x:c r="P293" t="str">
        <x:f>IFERROR(INDEX('02_REFERENTIEL_CLIENTS'!$B$2:$B$51,MATCH(TRIM(C293),'02_REFERENTIEL_CLIENTS'!$A$2:$A$51,0)),"Non trouvé")</x:f>
        <x:v>PME</x:v>
      </x:c>
      <x:c r="Q293" t="str">
        <x:f>IFERROR(INDEX('02_REFERENTIEL_CLIENTS'!$C$2:$C$51,MATCH(TRIM(C293),'02_REFERENTIEL_CLIENTS'!$A$2:$A$51,0)),"Non trouvé")</x:f>
        <x:v>Europe</x:v>
      </x:c>
      <x:c r="R293" t="str">
        <x:f>IF(OR(F293&lt;=0,G293&lt;0,G293&gt;F293,N293&lt;0,P293="Non trouvé"),"À vérifier","OK")</x:f>
        <x:v>OK</x:v>
      </x:c>
    </x:row>
    <x:row r="294">
      <x:c r="A294" t="str">
        <x:v>DV-2026-00293</x:v>
      </x:c>
      <x:c r="B294" s="16" t="n">
        <x:v>46067</x:v>
      </x:c>
      <x:c r="C294" t="str">
        <x:v>Client 15</x:v>
      </x:c>
      <x:c r="D294" t="str">
        <x:v>Douane</x:v>
      </x:c>
      <x:c r="E294" t="str">
        <x:v>Pôle E</x:v>
      </x:c>
      <x:c r="F294" s="18" t="n">
        <x:v>24278.81</x:v>
      </x:c>
      <x:c r="G294" s="18" t="n">
        <x:v>24278.81</x:v>
      </x:c>
      <x:c r="H294" t="str">
        <x:v>Client 15</x:v>
      </x:c>
      <x:c r="I294" s="16" t="n">
        <x:v>46075</x:v>
      </x:c>
      <x:c r="J294" t="n">
        <x:f>YEAR(B294)</x:f>
        <x:v>2026</x:v>
      </x:c>
      <x:c r="K294" s="20" t="n">
        <x:f>DATE(YEAR(B294),MONTH(B294),1)</x:f>
        <x:v>46054</x:v>
      </x:c>
      <x:c r="L294" s="18" t="n">
        <x:f>F294-G294</x:f>
        <x:v>0</x:v>
      </x:c>
      <x:c r="M294" t="str">
        <x:f>IF(L294&lt;=0,"Payée",IF(G294=0,"Impayée","Partielle"))</x:f>
        <x:v>Payée</x:v>
      </x:c>
      <x:c r="N294" t="n">
        <x:f>IF(I294="","",I294-B294)</x:f>
        <x:v>8</x:v>
      </x:c>
      <x:c r="O294" t="str">
        <x:f>IF(TRIM(C294)&lt;&gt;TRIM(H294),"Oui","Non")</x:f>
        <x:v>Non</x:v>
      </x:c>
      <x:c r="P294" t="str">
        <x:f>IFERROR(INDEX('02_REFERENTIEL_CLIENTS'!$B$2:$B$51,MATCH(TRIM(C294),'02_REFERENTIEL_CLIENTS'!$A$2:$A$51,0)),"Non trouvé")</x:f>
        <x:v>Particuliers</x:v>
      </x:c>
      <x:c r="Q294" t="str">
        <x:f>IFERROR(INDEX('02_REFERENTIEL_CLIENTS'!$C$2:$C$51,MATCH(TRIM(C294),'02_REFERENTIEL_CLIENTS'!$A$2:$A$51,0)),"Non trouvé")</x:f>
        <x:v>International</x:v>
      </x:c>
      <x:c r="R294" t="str">
        <x:f>IF(OR(F294&lt;=0,G294&lt;0,G294&gt;F294,N294&lt;0,P294="Non trouvé"),"À vérifier","OK")</x:f>
        <x:v>OK</x:v>
      </x:c>
    </x:row>
    <x:row r="295">
      <x:c r="A295" t="str">
        <x:v>DV-2026-00294</x:v>
      </x:c>
      <x:c r="B295" s="16" t="n">
        <x:v>46084</x:v>
      </x:c>
      <x:c r="C295" t="str">
        <x:v>Client 02</x:v>
      </x:c>
      <x:c r="D295" t="str">
        <x:v>Logistique</x:v>
      </x:c>
      <x:c r="E295" t="str">
        <x:v>Pôle E</x:v>
      </x:c>
      <x:c r="F295" s="18" t="n">
        <x:v>23314.28</x:v>
      </x:c>
      <x:c r="G295" s="18" t="n">
        <x:v>13153.98</x:v>
      </x:c>
      <x:c r="H295" t="str">
        <x:v>Client 20</x:v>
      </x:c>
      <x:c r="I295" s="16" t="n">
        <x:v>46131</x:v>
      </x:c>
      <x:c r="J295" t="n">
        <x:f>YEAR(B295)</x:f>
        <x:v>2026</x:v>
      </x:c>
      <x:c r="K295" s="20" t="n">
        <x:f>DATE(YEAR(B295),MONTH(B295),1)</x:f>
        <x:v>46082</x:v>
      </x:c>
      <x:c r="L295" s="18" t="n">
        <x:f>F295-G295</x:f>
        <x:v>10160.3</x:v>
      </x:c>
      <x:c r="M295" t="str">
        <x:f>IF(L295&lt;=0,"Payée",IF(G295=0,"Impayée","Partielle"))</x:f>
        <x:v>Partielle</x:v>
      </x:c>
      <x:c r="N295" t="n">
        <x:f>IF(I295="","",I295-B295)</x:f>
        <x:v>47</x:v>
      </x:c>
      <x:c r="O295" t="str">
        <x:f>IF(TRIM(C295)&lt;&gt;TRIM(H295),"Oui","Non")</x:f>
        <x:v>Oui</x:v>
      </x:c>
      <x:c r="P295" t="str">
        <x:f>IFERROR(INDEX('02_REFERENTIEL_CLIENTS'!$B$2:$B$51,MATCH(TRIM(C295),'02_REFERENTIEL_CLIENTS'!$A$2:$A$51,0)),"Non trouvé")</x:f>
        <x:v>PME</x:v>
      </x:c>
      <x:c r="Q295" t="str">
        <x:f>IFERROR(INDEX('02_REFERENTIEL_CLIENTS'!$C$2:$C$51,MATCH(TRIM(C295),'02_REFERENTIEL_CLIENTS'!$A$2:$A$51,0)),"Non trouvé")</x:f>
        <x:v>Europe</x:v>
      </x:c>
      <x:c r="R295" t="str">
        <x:f>IF(OR(F295&lt;=0,G295&lt;0,G295&gt;F295,N295&lt;0,P295="Non trouvé"),"À vérifier","OK")</x:f>
        <x:v>OK</x:v>
      </x:c>
    </x:row>
    <x:row r="296">
      <x:c r="A296" t="str">
        <x:v>DV-2026-00295</x:v>
      </x:c>
      <x:c r="B296" s="16" t="n">
        <x:v>46278</x:v>
      </x:c>
      <x:c r="C296" t="str">
        <x:v>Client 08</x:v>
      </x:c>
      <x:c r="D296" t="str">
        <x:v>Fret maritime</x:v>
      </x:c>
      <x:c r="E296" t="str">
        <x:v>Pôle E</x:v>
      </x:c>
      <x:c r="F296" s="18" t="n">
        <x:v>2177.76</x:v>
      </x:c>
      <x:c r="G296" s="18" t="n">
        <x:v>2177.76</x:v>
      </x:c>
      <x:c r="H296" t="str">
        <x:v>Client 08</x:v>
      </x:c>
      <x:c r="I296" s="16" t="n">
        <x:v>46350</x:v>
      </x:c>
      <x:c r="J296" t="n">
        <x:f>YEAR(B296)</x:f>
        <x:v>2026</x:v>
      </x:c>
      <x:c r="K296" s="20" t="n">
        <x:f>DATE(YEAR(B296),MONTH(B296),1)</x:f>
        <x:v>46266</x:v>
      </x:c>
      <x:c r="L296" s="18" t="n">
        <x:f>F296-G296</x:f>
        <x:v>0</x:v>
      </x:c>
      <x:c r="M296" t="str">
        <x:f>IF(L296&lt;=0,"Payée",IF(G296=0,"Impayée","Partielle"))</x:f>
        <x:v>Payée</x:v>
      </x:c>
      <x:c r="N296" t="n">
        <x:f>IF(I296="","",I296-B296)</x:f>
        <x:v>72</x:v>
      </x:c>
      <x:c r="O296" t="str">
        <x:f>IF(TRIM(C296)&lt;&gt;TRIM(H296),"Oui","Non")</x:f>
        <x:v>Non</x:v>
      </x:c>
      <x:c r="P296" t="str">
        <x:f>IFERROR(INDEX('02_REFERENTIEL_CLIENTS'!$B$2:$B$51,MATCH(TRIM(C296),'02_REFERENTIEL_CLIENTS'!$A$2:$A$51,0)),"Non trouvé")</x:f>
        <x:v>PME</x:v>
      </x:c>
      <x:c r="Q296" t="str">
        <x:f>IFERROR(INDEX('02_REFERENTIEL_CLIENTS'!$C$2:$C$51,MATCH(TRIM(C296),'02_REFERENTIEL_CLIENTS'!$A$2:$A$51,0)),"Non trouvé")</x:f>
        <x:v>Europe</x:v>
      </x:c>
      <x:c r="R296" t="str">
        <x:f>IF(OR(F296&lt;=0,G296&lt;0,G296&gt;F296,N296&lt;0,P296="Non trouvé"),"À vérifier","OK")</x:f>
        <x:v>OK</x:v>
      </x:c>
    </x:row>
    <x:row r="297">
      <x:c r="A297" t="str">
        <x:v>DV-2026-00296</x:v>
      </x:c>
      <x:c r="B297" s="16" t="n">
        <x:v>46211</x:v>
      </x:c>
      <x:c r="C297" t="str">
        <x:v>Client 27</x:v>
      </x:c>
      <x:c r="D297" t="str">
        <x:v>Douane</x:v>
      </x:c>
      <x:c r="E297" t="str">
        <x:v>Pôle C</x:v>
      </x:c>
      <x:c r="F297" s="18" t="n">
        <x:v>9379.17</x:v>
      </x:c>
      <x:c r="G297" s="18" t="n">
        <x:v>4934.68</x:v>
      </x:c>
      <x:c r="H297" t="str">
        <x:v>Client 27</x:v>
      </x:c>
      <x:c r="I297" s="16" t="n">
        <x:v>46270</x:v>
      </x:c>
      <x:c r="J297" t="n">
        <x:f>YEAR(B297)</x:f>
        <x:v>2026</x:v>
      </x:c>
      <x:c r="K297" s="20" t="n">
        <x:f>DATE(YEAR(B297),MONTH(B297),1)</x:f>
        <x:v>46204</x:v>
      </x:c>
      <x:c r="L297" s="18" t="n">
        <x:f>F297-G297</x:f>
        <x:v>4444.49</x:v>
      </x:c>
      <x:c r="M297" t="str">
        <x:f>IF(L297&lt;=0,"Payée",IF(G297=0,"Impayée","Partielle"))</x:f>
        <x:v>Partielle</x:v>
      </x:c>
      <x:c r="N297" t="n">
        <x:f>IF(I297="","",I297-B297)</x:f>
        <x:v>59</x:v>
      </x:c>
      <x:c r="O297" t="str">
        <x:f>IF(TRIM(C297)&lt;&gt;TRIM(H297),"Oui","Non")</x:f>
        <x:v>Non</x:v>
      </x:c>
      <x:c r="P297" t="str">
        <x:f>IFERROR(INDEX('02_REFERENTIEL_CLIENTS'!$B$2:$B$51,MATCH(TRIM(C297),'02_REFERENTIEL_CLIENTS'!$A$2:$A$51,0)),"Non trouvé")</x:f>
        <x:v>Particuliers</x:v>
      </x:c>
      <x:c r="Q297" t="str">
        <x:f>IFERROR(INDEX('02_REFERENTIEL_CLIENTS'!$C$2:$C$51,MATCH(TRIM(C297),'02_REFERENTIEL_CLIENTS'!$A$2:$A$51,0)),"Non trouvé")</x:f>
        <x:v>International</x:v>
      </x:c>
      <x:c r="R297" t="str">
        <x:f>IF(OR(F297&lt;=0,G297&lt;0,G297&gt;F297,N297&lt;0,P297="Non trouvé"),"À vérifier","OK")</x:f>
        <x:v>OK</x:v>
      </x:c>
    </x:row>
    <x:row r="298">
      <x:c r="A298" t="str">
        <x:v>DV-2024-00297</x:v>
      </x:c>
      <x:c r="B298" s="16" t="n">
        <x:v>45378</x:v>
      </x:c>
      <x:c r="C298" t="str">
        <x:v>Client 35</x:v>
      </x:c>
      <x:c r="D298" t="str">
        <x:v>Fret aérien</x:v>
      </x:c>
      <x:c r="E298" t="str">
        <x:v>Pôle A</x:v>
      </x:c>
      <x:c r="F298" s="18" t="n">
        <x:v>21938.74</x:v>
      </x:c>
      <x:c r="G298" s="18" t="n">
        <x:v>21938.74</x:v>
      </x:c>
      <x:c r="H298" t="str">
        <x:v>Client 35</x:v>
      </x:c>
      <x:c r="I298" s="16" t="n">
        <x:v>45428</x:v>
      </x:c>
      <x:c r="J298" t="n">
        <x:f>YEAR(B298)</x:f>
        <x:v>2024</x:v>
      </x:c>
      <x:c r="K298" s="20" t="n">
        <x:f>DATE(YEAR(B298),MONTH(B298),1)</x:f>
        <x:v>45352</x:v>
      </x:c>
      <x:c r="L298" s="18" t="n">
        <x:f>F298-G298</x:f>
        <x:v>0</x:v>
      </x:c>
      <x:c r="M298" t="str">
        <x:f>IF(L298&lt;=0,"Payée",IF(G298=0,"Impayée","Partielle"))</x:f>
        <x:v>Payée</x:v>
      </x:c>
      <x:c r="N298" t="n">
        <x:f>IF(I298="","",I298-B298)</x:f>
        <x:v>50</x:v>
      </x:c>
      <x:c r="O298" t="str">
        <x:f>IF(TRIM(C298)&lt;&gt;TRIM(H298),"Oui","Non")</x:f>
        <x:v>Non</x:v>
      </x:c>
      <x:c r="P298" t="str">
        <x:f>IFERROR(INDEX('02_REFERENTIEL_CLIENTS'!$B$2:$B$51,MATCH(TRIM(C298),'02_REFERENTIEL_CLIENTS'!$A$2:$A$51,0)),"Non trouvé")</x:f>
        <x:v>PME</x:v>
      </x:c>
      <x:c r="Q298" t="str">
        <x:f>IFERROR(INDEX('02_REFERENTIEL_CLIENTS'!$C$2:$C$51,MATCH(TRIM(C298),'02_REFERENTIEL_CLIENTS'!$A$2:$A$51,0)),"Non trouvé")</x:f>
        <x:v>Europe</x:v>
      </x:c>
      <x:c r="R298" t="str">
        <x:f>IF(OR(F298&lt;=0,G298&lt;0,G298&gt;F298,N298&lt;0,P298="Non trouvé"),"À vérifier","OK")</x:f>
        <x:v>OK</x:v>
      </x:c>
    </x:row>
    <x:row r="299">
      <x:c r="A299" t="str">
        <x:v>DV-2026-00298</x:v>
      </x:c>
      <x:c r="B299" s="16" t="n">
        <x:v>46246</x:v>
      </x:c>
      <x:c r="C299" t="str">
        <x:v>Client 33</x:v>
      </x:c>
      <x:c r="D299" t="str">
        <x:v>Express</x:v>
      </x:c>
      <x:c r="E299" t="str">
        <x:v>Pôle E</x:v>
      </x:c>
      <x:c r="F299" s="18" t="n">
        <x:v>18938.31</x:v>
      </x:c>
      <x:c r="G299" s="18" t="n">
        <x:v>18938.31</x:v>
      </x:c>
      <x:c r="H299" t="str">
        <x:v>Client 41</x:v>
      </x:c>
      <x:c r="I299" s="16" t="n">
        <x:v>46333</x:v>
      </x:c>
      <x:c r="J299" t="n">
        <x:f>YEAR(B299)</x:f>
        <x:v>2026</x:v>
      </x:c>
      <x:c r="K299" s="20" t="n">
        <x:f>DATE(YEAR(B299),MONTH(B299),1)</x:f>
        <x:v>46235</x:v>
      </x:c>
      <x:c r="L299" s="18" t="n">
        <x:f>F299-G299</x:f>
        <x:v>0</x:v>
      </x:c>
      <x:c r="M299" t="str">
        <x:f>IF(L299&lt;=0,"Payée",IF(G299=0,"Impayée","Partielle"))</x:f>
        <x:v>Payée</x:v>
      </x:c>
      <x:c r="N299" t="n">
        <x:f>IF(I299="","",I299-B299)</x:f>
        <x:v>87</x:v>
      </x:c>
      <x:c r="O299" t="str">
        <x:f>IF(TRIM(C299)&lt;&gt;TRIM(H299),"Oui","Non")</x:f>
        <x:v>Oui</x:v>
      </x:c>
      <x:c r="P299" t="str">
        <x:f>IFERROR(INDEX('02_REFERENTIEL_CLIENTS'!$B$2:$B$51,MATCH(TRIM(C299),'02_REFERENTIEL_CLIENTS'!$A$2:$A$51,0)),"Non trouvé")</x:f>
        <x:v>Particuliers</x:v>
      </x:c>
      <x:c r="Q299" t="str">
        <x:f>IFERROR(INDEX('02_REFERENTIEL_CLIENTS'!$C$2:$C$51,MATCH(TRIM(C299),'02_REFERENTIEL_CLIENTS'!$A$2:$A$51,0)),"Non trouvé")</x:f>
        <x:v>International</x:v>
      </x:c>
      <x:c r="R299" t="str">
        <x:f>IF(OR(F299&lt;=0,G299&lt;0,G299&gt;F299,N299&lt;0,P299="Non trouvé"),"À vérifier","OK")</x:f>
        <x:v>OK</x:v>
      </x:c>
    </x:row>
    <x:row r="300">
      <x:c r="A300" t="str">
        <x:v>DV-2026-00299</x:v>
      </x:c>
      <x:c r="B300" s="16" t="n">
        <x:v>46031</x:v>
      </x:c>
      <x:c r="C300" t="str">
        <x:v>Client 21</x:v>
      </x:c>
      <x:c r="D300" t="str">
        <x:v>Express</x:v>
      </x:c>
      <x:c r="E300" t="str">
        <x:v>Pôle B</x:v>
      </x:c>
      <x:c r="F300" s="18" t="n">
        <x:v>21331.26</x:v>
      </x:c>
      <x:c r="G300" s="18" t="n">
        <x:v>21331.26</x:v>
      </x:c>
      <x:c r="H300" t="str">
        <x:v>Client 21</x:v>
      </x:c>
      <x:c r="I300" s="16" t="n">
        <x:v>46096</x:v>
      </x:c>
      <x:c r="J300" t="n">
        <x:f>YEAR(B300)</x:f>
        <x:v>2026</x:v>
      </x:c>
      <x:c r="K300" s="20" t="n">
        <x:f>DATE(YEAR(B300),MONTH(B300),1)</x:f>
        <x:v>46023</x:v>
      </x:c>
      <x:c r="L300" s="18" t="n">
        <x:f>F300-G300</x:f>
        <x:v>0</x:v>
      </x:c>
      <x:c r="M300" t="str">
        <x:f>IF(L300&lt;=0,"Payée",IF(G300=0,"Impayée","Partielle"))</x:f>
        <x:v>Payée</x:v>
      </x:c>
      <x:c r="N300" t="n">
        <x:f>IF(I300="","",I300-B300)</x:f>
        <x:v>65</x:v>
      </x:c>
      <x:c r="O300" t="str">
        <x:f>IF(TRIM(C300)&lt;&gt;TRIM(H300),"Oui","Non")</x:f>
        <x:v>Non</x:v>
      </x:c>
      <x:c r="P300" t="str">
        <x:f>IFERROR(INDEX('02_REFERENTIEL_CLIENTS'!$B$2:$B$51,MATCH(TRIM(C300),'02_REFERENTIEL_CLIENTS'!$A$2:$A$51,0)),"Non trouvé")</x:f>
        <x:v>Particuliers</x:v>
      </x:c>
      <x:c r="Q300" t="str">
        <x:f>IFERROR(INDEX('02_REFERENTIEL_CLIENTS'!$C$2:$C$51,MATCH(TRIM(C300),'02_REFERENTIEL_CLIENTS'!$A$2:$A$51,0)),"Non trouvé")</x:f>
        <x:v>International</x:v>
      </x:c>
      <x:c r="R300" t="str">
        <x:f>IF(OR(F300&lt;=0,G300&lt;0,G300&gt;F300,N300&lt;0,P300="Non trouvé"),"À vérifier","OK")</x:f>
        <x:v>OK</x:v>
      </x:c>
    </x:row>
    <x:row r="301">
      <x:c r="A301" t="str">
        <x:v>DV-2024-00300</x:v>
      </x:c>
      <x:c r="B301" s="16" t="n">
        <x:v>45549</x:v>
      </x:c>
      <x:c r="C301" t="str">
        <x:v>Client 43</x:v>
      </x:c>
      <x:c r="D301" t="str">
        <x:v>Fret maritime</x:v>
      </x:c>
      <x:c r="E301" t="str">
        <x:v>Pôle C</x:v>
      </x:c>
      <x:c r="F301" s="18" t="n">
        <x:v>5506.88</x:v>
      </x:c>
      <x:c r="G301" s="18" t="n">
        <x:v>0</x:v>
      </x:c>
      <x:c r="H301" t="str">
        <x:v>Client 43</x:v>
      </x:c>
      <x:c r="I301" s="16"/>
      <x:c r="J301" t="n">
        <x:f>YEAR(B301)</x:f>
        <x:v>2024</x:v>
      </x:c>
      <x:c r="K301" s="20" t="n">
        <x:f>DATE(YEAR(B301),MONTH(B301),1)</x:f>
        <x:v>45536</x:v>
      </x:c>
      <x:c r="L301" s="18" t="n">
        <x:f>F301-G301</x:f>
        <x:v>5506.88</x:v>
      </x:c>
      <x:c r="M301" t="str">
        <x:f>IF(L301&lt;=0,"Payée",IF(G301=0,"Impayée","Partielle"))</x:f>
        <x:v>Impayée</x:v>
      </x:c>
      <x:c r="N301" t="str">
        <x:f>IF(I301="","",I301-B301)</x:f>
      </x:c>
      <x:c r="O301" t="str">
        <x:f>IF(TRIM(C301)&lt;&gt;TRIM(H301),"Oui","Non")</x:f>
        <x:v>Non</x:v>
      </x:c>
      <x:c r="P301" t="str">
        <x:f>IFERROR(INDEX('02_REFERENTIEL_CLIENTS'!$B$2:$B$51,MATCH(TRIM(C301),'02_REFERENTIEL_CLIENTS'!$A$2:$A$51,0)),"Non trouvé")</x:f>
        <x:v>Grands comptes</x:v>
      </x:c>
      <x:c r="Q301" t="str">
        <x:f>IFERROR(INDEX('02_REFERENTIEL_CLIENTS'!$C$2:$C$51,MATCH(TRIM(C301),'02_REFERENTIEL_CLIENTS'!$A$2:$A$51,0)),"Non trouvé")</x:f>
        <x:v>France</x:v>
      </x:c>
      <x:c r="R301" t="str">
        <x:f>IF(OR(F301&lt;=0,G301&lt;0,G301&gt;F301,N301&lt;0,P301="Non trouvé"),"À vérifier","OK")</x:f>
        <x:v>OK</x:v>
      </x:c>
    </x:row>
    <x:row r="302">
      <x:c r="A302" t="str">
        <x:v>DV-2024-00301</x:v>
      </x:c>
      <x:c r="B302" s="16" t="n">
        <x:v>45485</x:v>
      </x:c>
      <x:c r="C302" t="str">
        <x:v>Client 22</x:v>
      </x:c>
      <x:c r="D302" t="str">
        <x:v>Douane</x:v>
      </x:c>
      <x:c r="E302" t="str">
        <x:v>Pôle C</x:v>
      </x:c>
      <x:c r="F302" s="18" t="n">
        <x:v>15960.49</x:v>
      </x:c>
      <x:c r="G302" s="18" t="n">
        <x:v>12715.04</x:v>
      </x:c>
      <x:c r="H302" t="str">
        <x:v>Client 22</x:v>
      </x:c>
      <x:c r="I302" s="16" t="n">
        <x:v>45533</x:v>
      </x:c>
      <x:c r="J302" t="n">
        <x:f>YEAR(B302)</x:f>
        <x:v>2024</x:v>
      </x:c>
      <x:c r="K302" s="20" t="n">
        <x:f>DATE(YEAR(B302),MONTH(B302),1)</x:f>
        <x:v>45474</x:v>
      </x:c>
      <x:c r="L302" s="18" t="n">
        <x:f>F302-G302</x:f>
        <x:v>3245.449999999999</x:v>
      </x:c>
      <x:c r="M302" t="str">
        <x:f>IF(L302&lt;=0,"Payée",IF(G302=0,"Impayée","Partielle"))</x:f>
        <x:v>Partielle</x:v>
      </x:c>
      <x:c r="N302" t="n">
        <x:f>IF(I302="","",I302-B302)</x:f>
        <x:v>48</x:v>
      </x:c>
      <x:c r="O302" t="str">
        <x:f>IF(TRIM(C302)&lt;&gt;TRIM(H302),"Oui","Non")</x:f>
        <x:v>Non</x:v>
      </x:c>
      <x:c r="P302" t="str">
        <x:f>IFERROR(INDEX('02_REFERENTIEL_CLIENTS'!$B$2:$B$51,MATCH(TRIM(C302),'02_REFERENTIEL_CLIENTS'!$A$2:$A$51,0)),"Non trouvé")</x:f>
        <x:v>Grands comptes</x:v>
      </x:c>
      <x:c r="Q302" t="str">
        <x:f>IFERROR(INDEX('02_REFERENTIEL_CLIENTS'!$C$2:$C$51,MATCH(TRIM(C302),'02_REFERENTIEL_CLIENTS'!$A$2:$A$51,0)),"Non trouvé")</x:f>
        <x:v>France</x:v>
      </x:c>
      <x:c r="R302" t="str">
        <x:f>IF(OR(F302&lt;=0,G302&lt;0,G302&gt;F302,N302&lt;0,P302="Non trouvé"),"À vérifier","OK")</x:f>
        <x:v>OK</x:v>
      </x:c>
    </x:row>
    <x:row r="303">
      <x:c r="A303" t="str">
        <x:v>DV-2024-00302</x:v>
      </x:c>
      <x:c r="B303" s="16" t="n">
        <x:v>45358</x:v>
      </x:c>
      <x:c r="C303" t="str">
        <x:v>Client 33</x:v>
      </x:c>
      <x:c r="D303" t="str">
        <x:v>Fret maritime</x:v>
      </x:c>
      <x:c r="E303" t="str">
        <x:v>Pôle E</x:v>
      </x:c>
      <x:c r="F303" s="18" t="n">
        <x:v>21459.74</x:v>
      </x:c>
      <x:c r="G303" s="18" t="n">
        <x:v>21459.74</x:v>
      </x:c>
      <x:c r="H303" t="str">
        <x:v>Client 33</x:v>
      </x:c>
      <x:c r="I303" s="16" t="n">
        <x:v>45417</x:v>
      </x:c>
      <x:c r="J303" t="n">
        <x:f>YEAR(B303)</x:f>
        <x:v>2024</x:v>
      </x:c>
      <x:c r="K303" s="20" t="n">
        <x:f>DATE(YEAR(B303),MONTH(B303),1)</x:f>
        <x:v>45352</x:v>
      </x:c>
      <x:c r="L303" s="18" t="n">
        <x:f>F303-G303</x:f>
        <x:v>0</x:v>
      </x:c>
      <x:c r="M303" t="str">
        <x:f>IF(L303&lt;=0,"Payée",IF(G303=0,"Impayée","Partielle"))</x:f>
        <x:v>Payée</x:v>
      </x:c>
      <x:c r="N303" t="n">
        <x:f>IF(I303="","",I303-B303)</x:f>
        <x:v>59</x:v>
      </x:c>
      <x:c r="O303" t="str">
        <x:f>IF(TRIM(C303)&lt;&gt;TRIM(H303),"Oui","Non")</x:f>
        <x:v>Non</x:v>
      </x:c>
      <x:c r="P303" t="str">
        <x:f>IFERROR(INDEX('02_REFERENTIEL_CLIENTS'!$B$2:$B$51,MATCH(TRIM(C303),'02_REFERENTIEL_CLIENTS'!$A$2:$A$51,0)),"Non trouvé")</x:f>
        <x:v>Particuliers</x:v>
      </x:c>
      <x:c r="Q303" t="str">
        <x:f>IFERROR(INDEX('02_REFERENTIEL_CLIENTS'!$C$2:$C$51,MATCH(TRIM(C303),'02_REFERENTIEL_CLIENTS'!$A$2:$A$51,0)),"Non trouvé")</x:f>
        <x:v>International</x:v>
      </x:c>
      <x:c r="R303" t="str">
        <x:f>IF(OR(F303&lt;=0,G303&lt;0,G303&gt;F303,N303&lt;0,P303="Non trouvé"),"À vérifier","OK")</x:f>
        <x:v>OK</x:v>
      </x:c>
    </x:row>
    <x:row r="304">
      <x:c r="A304" t="str">
        <x:v>DV-2026-00303</x:v>
      </x:c>
      <x:c r="B304" s="16" t="n">
        <x:v>46145</x:v>
      </x:c>
      <x:c r="C304" t="str">
        <x:v>Client 41</x:v>
      </x:c>
      <x:c r="D304" t="str">
        <x:v>Fret aérien</x:v>
      </x:c>
      <x:c r="E304" t="str">
        <x:v>Pôle B</x:v>
      </x:c>
      <x:c r="F304" s="18" t="n">
        <x:v>9436.69</x:v>
      </x:c>
      <x:c r="G304" s="18" t="n">
        <x:v>9436.69</x:v>
      </x:c>
      <x:c r="H304" t="str">
        <x:v>Client 41</x:v>
      </x:c>
      <x:c r="I304" s="16" t="n">
        <x:v>46217</x:v>
      </x:c>
      <x:c r="J304" t="n">
        <x:f>YEAR(B304)</x:f>
        <x:v>2026</x:v>
      </x:c>
      <x:c r="K304" s="20" t="n">
        <x:f>DATE(YEAR(B304),MONTH(B304),1)</x:f>
        <x:v>46143</x:v>
      </x:c>
      <x:c r="L304" s="18" t="n">
        <x:f>F304-G304</x:f>
        <x:v>0</x:v>
      </x:c>
      <x:c r="M304" t="str">
        <x:f>IF(L304&lt;=0,"Payée",IF(G304=0,"Impayée","Partielle"))</x:f>
        <x:v>Payée</x:v>
      </x:c>
      <x:c r="N304" t="n">
        <x:f>IF(I304="","",I304-B304)</x:f>
        <x:v>72</x:v>
      </x:c>
      <x:c r="O304" t="str">
        <x:f>IF(TRIM(C304)&lt;&gt;TRIM(H304),"Oui","Non")</x:f>
        <x:v>Non</x:v>
      </x:c>
      <x:c r="P304" t="str">
        <x:f>IFERROR(INDEX('02_REFERENTIEL_CLIENTS'!$B$2:$B$51,MATCH(TRIM(C304),'02_REFERENTIEL_CLIENTS'!$A$2:$A$51,0)),"Non trouvé")</x:f>
        <x:v>PME</x:v>
      </x:c>
      <x:c r="Q304" t="str">
        <x:f>IFERROR(INDEX('02_REFERENTIEL_CLIENTS'!$C$2:$C$51,MATCH(TRIM(C304),'02_REFERENTIEL_CLIENTS'!$A$2:$A$51,0)),"Non trouvé")</x:f>
        <x:v>Europe</x:v>
      </x:c>
      <x:c r="R304" t="str">
        <x:f>IF(OR(F304&lt;=0,G304&lt;0,G304&gt;F304,N304&lt;0,P304="Non trouvé"),"À vérifier","OK")</x:f>
        <x:v>OK</x:v>
      </x:c>
    </x:row>
    <x:row r="305">
      <x:c r="A305" t="str">
        <x:v>DV-2024-00304</x:v>
      </x:c>
      <x:c r="B305" s="16" t="n">
        <x:v>45394</x:v>
      </x:c>
      <x:c r="C305" t="str">
        <x:v>Client 30</x:v>
      </x:c>
      <x:c r="D305" t="str">
        <x:v>Fret maritime</x:v>
      </x:c>
      <x:c r="E305" t="str">
        <x:v>Pôle C</x:v>
      </x:c>
      <x:c r="F305" s="18" t="n">
        <x:v>5278.79</x:v>
      </x:c>
      <x:c r="G305" s="18" t="n">
        <x:v>5278.79</x:v>
      </x:c>
      <x:c r="H305" t="str">
        <x:v>Client 30</x:v>
      </x:c>
      <x:c r="I305" s="16" t="n">
        <x:v>45475</x:v>
      </x:c>
      <x:c r="J305" t="n">
        <x:f>YEAR(B305)</x:f>
        <x:v>2024</x:v>
      </x:c>
      <x:c r="K305" s="20" t="n">
        <x:f>DATE(YEAR(B305),MONTH(B305),1)</x:f>
        <x:v>45383</x:v>
      </x:c>
      <x:c r="L305" s="18" t="n">
        <x:f>F305-G305</x:f>
        <x:v>0</x:v>
      </x:c>
      <x:c r="M305" t="str">
        <x:f>IF(L305&lt;=0,"Payée",IF(G305=0,"Impayée","Partielle"))</x:f>
        <x:v>Payée</x:v>
      </x:c>
      <x:c r="N305" t="n">
        <x:f>IF(I305="","",I305-B305)</x:f>
        <x:v>81</x:v>
      </x:c>
      <x:c r="O305" t="str">
        <x:f>IF(TRIM(C305)&lt;&gt;TRIM(H305),"Oui","Non")</x:f>
        <x:v>Non</x:v>
      </x:c>
      <x:c r="P305" t="str">
        <x:f>IFERROR(INDEX('02_REFERENTIEL_CLIENTS'!$B$2:$B$51,MATCH(TRIM(C305),'02_REFERENTIEL_CLIENTS'!$A$2:$A$51,0)),"Non trouvé")</x:f>
        <x:v>Particuliers</x:v>
      </x:c>
      <x:c r="Q305" t="str">
        <x:f>IFERROR(INDEX('02_REFERENTIEL_CLIENTS'!$C$2:$C$51,MATCH(TRIM(C305),'02_REFERENTIEL_CLIENTS'!$A$2:$A$51,0)),"Non trouvé")</x:f>
        <x:v>International</x:v>
      </x:c>
      <x:c r="R305" t="str">
        <x:f>IF(OR(F305&lt;=0,G305&lt;0,G305&gt;F305,N305&lt;0,P305="Non trouvé"),"À vérifier","OK")</x:f>
        <x:v>OK</x:v>
      </x:c>
    </x:row>
    <x:row r="306">
      <x:c r="A306" t="str">
        <x:v>DV-2025-00305</x:v>
      </x:c>
      <x:c r="B306" s="16" t="n">
        <x:v>45661</x:v>
      </x:c>
      <x:c r="C306" t="str">
        <x:v>Client 13</x:v>
      </x:c>
      <x:c r="D306" t="str">
        <x:v>Fret maritime</x:v>
      </x:c>
      <x:c r="E306" t="str">
        <x:v>Pôle A</x:v>
      </x:c>
      <x:c r="F306" s="18" t="n">
        <x:v>18299.33</x:v>
      </x:c>
      <x:c r="G306" s="18" t="n">
        <x:v>18299.33</x:v>
      </x:c>
      <x:c r="H306" t="str">
        <x:v>Client 13</x:v>
      </x:c>
      <x:c r="I306" s="16" t="n">
        <x:v>45701</x:v>
      </x:c>
      <x:c r="J306" t="n">
        <x:f>YEAR(B306)</x:f>
        <x:v>2025</x:v>
      </x:c>
      <x:c r="K306" s="20" t="n">
        <x:f>DATE(YEAR(B306),MONTH(B306),1)</x:f>
        <x:v>45658</x:v>
      </x:c>
      <x:c r="L306" s="18" t="n">
        <x:f>F306-G306</x:f>
        <x:v>0</x:v>
      </x:c>
      <x:c r="M306" t="str">
        <x:f>IF(L306&lt;=0,"Payée",IF(G306=0,"Impayée","Partielle"))</x:f>
        <x:v>Payée</x:v>
      </x:c>
      <x:c r="N306" t="n">
        <x:f>IF(I306="","",I306-B306)</x:f>
        <x:v>40</x:v>
      </x:c>
      <x:c r="O306" t="str">
        <x:f>IF(TRIM(C306)&lt;&gt;TRIM(H306),"Oui","Non")</x:f>
        <x:v>Non</x:v>
      </x:c>
      <x:c r="P306" t="str">
        <x:f>IFERROR(INDEX('02_REFERENTIEL_CLIENTS'!$B$2:$B$51,MATCH(TRIM(C306),'02_REFERENTIEL_CLIENTS'!$A$2:$A$51,0)),"Non trouvé")</x:f>
        <x:v>Grands comptes</x:v>
      </x:c>
      <x:c r="Q306" t="str">
        <x:f>IFERROR(INDEX('02_REFERENTIEL_CLIENTS'!$C$2:$C$51,MATCH(TRIM(C306),'02_REFERENTIEL_CLIENTS'!$A$2:$A$51,0)),"Non trouvé")</x:f>
        <x:v>France</x:v>
      </x:c>
      <x:c r="R306" t="str">
        <x:f>IF(OR(F306&lt;=0,G306&lt;0,G306&gt;F306,N306&lt;0,P306="Non trouvé"),"À vérifier","OK")</x:f>
        <x:v>OK</x:v>
      </x:c>
    </x:row>
    <x:row r="307">
      <x:c r="A307" t="str">
        <x:v>DV-2025-00306</x:v>
      </x:c>
      <x:c r="B307" s="16" t="n">
        <x:v>45764</x:v>
      </x:c>
      <x:c r="C307" t="str">
        <x:v>Client 47</x:v>
      </x:c>
      <x:c r="D307" t="str">
        <x:v>Fret aérien</x:v>
      </x:c>
      <x:c r="E307" t="str">
        <x:v>Pôle E</x:v>
      </x:c>
      <x:c r="F307" s="18" t="n">
        <x:v>12312.72</x:v>
      </x:c>
      <x:c r="G307" s="18" t="n">
        <x:v>0</x:v>
      </x:c>
      <x:c r="H307" t="str">
        <x:v>Client 47</x:v>
      </x:c>
      <x:c r="I307" s="16"/>
      <x:c r="J307" t="n">
        <x:f>YEAR(B307)</x:f>
        <x:v>2025</x:v>
      </x:c>
      <x:c r="K307" s="20" t="n">
        <x:f>DATE(YEAR(B307),MONTH(B307),1)</x:f>
        <x:v>45748</x:v>
      </x:c>
      <x:c r="L307" s="18" t="n">
        <x:f>F307-G307</x:f>
        <x:v>12312.72</x:v>
      </x:c>
      <x:c r="M307" t="str">
        <x:f>IF(L307&lt;=0,"Payée",IF(G307=0,"Impayée","Partielle"))</x:f>
        <x:v>Impayée</x:v>
      </x:c>
      <x:c r="N307" t="str">
        <x:f>IF(I307="","",I307-B307)</x:f>
      </x:c>
      <x:c r="O307" t="str">
        <x:f>IF(TRIM(C307)&lt;&gt;TRIM(H307),"Oui","Non")</x:f>
        <x:v>Non</x:v>
      </x:c>
      <x:c r="P307" t="str">
        <x:f>IFERROR(INDEX('02_REFERENTIEL_CLIENTS'!$B$2:$B$51,MATCH(TRIM(C307),'02_REFERENTIEL_CLIENTS'!$A$2:$A$51,0)),"Non trouvé")</x:f>
        <x:v>PME</x:v>
      </x:c>
      <x:c r="Q307" t="str">
        <x:f>IFERROR(INDEX('02_REFERENTIEL_CLIENTS'!$C$2:$C$51,MATCH(TRIM(C307),'02_REFERENTIEL_CLIENTS'!$A$2:$A$51,0)),"Non trouvé")</x:f>
        <x:v>Europe</x:v>
      </x:c>
      <x:c r="R307" t="str">
        <x:f>IF(OR(F307&lt;=0,G307&lt;0,G307&gt;F307,N307&lt;0,P307="Non trouvé"),"À vérifier","OK")</x:f>
        <x:v>OK</x:v>
      </x:c>
    </x:row>
    <x:row r="308">
      <x:c r="A308" t="str">
        <x:v>DV-2025-00307</x:v>
      </x:c>
      <x:c r="B308" s="16" t="n">
        <x:v>45835</x:v>
      </x:c>
      <x:c r="C308" t="str">
        <x:v>Client 10</x:v>
      </x:c>
      <x:c r="D308" t="str">
        <x:v>Express</x:v>
      </x:c>
      <x:c r="E308" t="str">
        <x:v>Pôle B</x:v>
      </x:c>
      <x:c r="F308" s="18" t="n">
        <x:v>19994.44</x:v>
      </x:c>
      <x:c r="G308" s="18" t="n">
        <x:v>19994.44</x:v>
      </x:c>
      <x:c r="H308" t="str">
        <x:v>Client 10</x:v>
      </x:c>
      <x:c r="I308" s="16" t="n">
        <x:v>45852</x:v>
      </x:c>
      <x:c r="J308" t="n">
        <x:f>YEAR(B308)</x:f>
        <x:v>2025</x:v>
      </x:c>
      <x:c r="K308" s="20" t="n">
        <x:f>DATE(YEAR(B308),MONTH(B308),1)</x:f>
        <x:v>45809</x:v>
      </x:c>
      <x:c r="L308" s="18" t="n">
        <x:f>F308-G308</x:f>
        <x:v>0</x:v>
      </x:c>
      <x:c r="M308" t="str">
        <x:f>IF(L308&lt;=0,"Payée",IF(G308=0,"Impayée","Partielle"))</x:f>
        <x:v>Payée</x:v>
      </x:c>
      <x:c r="N308" t="n">
        <x:f>IF(I308="","",I308-B308)</x:f>
        <x:v>17</x:v>
      </x:c>
      <x:c r="O308" t="str">
        <x:f>IF(TRIM(C308)&lt;&gt;TRIM(H308),"Oui","Non")</x:f>
        <x:v>Non</x:v>
      </x:c>
      <x:c r="P308" t="str">
        <x:f>IFERROR(INDEX('02_REFERENTIEL_CLIENTS'!$B$2:$B$51,MATCH(TRIM(C308),'02_REFERENTIEL_CLIENTS'!$A$2:$A$51,0)),"Non trouvé")</x:f>
        <x:v>Grands comptes</x:v>
      </x:c>
      <x:c r="Q308" t="str">
        <x:f>IFERROR(INDEX('02_REFERENTIEL_CLIENTS'!$C$2:$C$51,MATCH(TRIM(C308),'02_REFERENTIEL_CLIENTS'!$A$2:$A$51,0)),"Non trouvé")</x:f>
        <x:v>France</x:v>
      </x:c>
      <x:c r="R308" t="str">
        <x:f>IF(OR(F308&lt;=0,G308&lt;0,G308&gt;F308,N308&lt;0,P308="Non trouvé"),"À vérifier","OK")</x:f>
        <x:v>OK</x:v>
      </x:c>
    </x:row>
    <x:row r="309">
      <x:c r="A309" t="str">
        <x:v>DV-2025-00308</x:v>
      </x:c>
      <x:c r="B309" s="16" t="n">
        <x:v>45813</x:v>
      </x:c>
      <x:c r="C309" t="str">
        <x:v>Client 31</x:v>
      </x:c>
      <x:c r="D309" t="str">
        <x:v>Fret aérien</x:v>
      </x:c>
      <x:c r="E309" t="str">
        <x:v>Pôle D</x:v>
      </x:c>
      <x:c r="F309" s="18" t="n">
        <x:v>1329.89</x:v>
      </x:c>
      <x:c r="G309" s="18" t="n">
        <x:v>1329.89</x:v>
      </x:c>
      <x:c r="H309" t="str">
        <x:v>Client 31</x:v>
      </x:c>
      <x:c r="I309" s="16" t="n">
        <x:v>45868</x:v>
      </x:c>
      <x:c r="J309" t="n">
        <x:f>YEAR(B309)</x:f>
        <x:v>2025</x:v>
      </x:c>
      <x:c r="K309" s="20" t="n">
        <x:f>DATE(YEAR(B309),MONTH(B309),1)</x:f>
        <x:v>45809</x:v>
      </x:c>
      <x:c r="L309" s="18" t="n">
        <x:f>F309-G309</x:f>
        <x:v>0</x:v>
      </x:c>
      <x:c r="M309" t="str">
        <x:f>IF(L309&lt;=0,"Payée",IF(G309=0,"Impayée","Partielle"))</x:f>
        <x:v>Payée</x:v>
      </x:c>
      <x:c r="N309" t="n">
        <x:f>IF(I309="","",I309-B309)</x:f>
        <x:v>55</x:v>
      </x:c>
      <x:c r="O309" t="str">
        <x:f>IF(TRIM(C309)&lt;&gt;TRIM(H309),"Oui","Non")</x:f>
        <x:v>Non</x:v>
      </x:c>
      <x:c r="P309" t="str">
        <x:f>IFERROR(INDEX('02_REFERENTIEL_CLIENTS'!$B$2:$B$51,MATCH(TRIM(C309),'02_REFERENTIEL_CLIENTS'!$A$2:$A$51,0)),"Non trouvé")</x:f>
        <x:v>Grands comptes</x:v>
      </x:c>
      <x:c r="Q309" t="str">
        <x:f>IFERROR(INDEX('02_REFERENTIEL_CLIENTS'!$C$2:$C$51,MATCH(TRIM(C309),'02_REFERENTIEL_CLIENTS'!$A$2:$A$51,0)),"Non trouvé")</x:f>
        <x:v>France</x:v>
      </x:c>
      <x:c r="R309" t="str">
        <x:f>IF(OR(F309&lt;=0,G309&lt;0,G309&gt;F309,N309&lt;0,P309="Non trouvé"),"À vérifier","OK")</x:f>
        <x:v>OK</x:v>
      </x:c>
    </x:row>
    <x:row r="310">
      <x:c r="A310" t="str">
        <x:v>DV-2026-00309</x:v>
      </x:c>
      <x:c r="B310" s="16" t="n">
        <x:v>46103</x:v>
      </x:c>
      <x:c r="C310" t="str">
        <x:v>Client 10</x:v>
      </x:c>
      <x:c r="D310" t="str">
        <x:v>Fret maritime</x:v>
      </x:c>
      <x:c r="E310" t="str">
        <x:v>Pôle A</x:v>
      </x:c>
      <x:c r="F310" s="18" t="n">
        <x:v>24472.15</x:v>
      </x:c>
      <x:c r="G310" s="18" t="n">
        <x:v>0</x:v>
      </x:c>
      <x:c r="H310" t="str">
        <x:v>Client 10</x:v>
      </x:c>
      <x:c r="I310" s="16"/>
      <x:c r="J310" t="n">
        <x:f>YEAR(B310)</x:f>
        <x:v>2026</x:v>
      </x:c>
      <x:c r="K310" s="20" t="n">
        <x:f>DATE(YEAR(B310),MONTH(B310),1)</x:f>
        <x:v>46082</x:v>
      </x:c>
      <x:c r="L310" s="18" t="n">
        <x:f>F310-G310</x:f>
        <x:v>24472.15</x:v>
      </x:c>
      <x:c r="M310" t="str">
        <x:f>IF(L310&lt;=0,"Payée",IF(G310=0,"Impayée","Partielle"))</x:f>
        <x:v>Impayée</x:v>
      </x:c>
      <x:c r="N310" t="str">
        <x:f>IF(I310="","",I310-B310)</x:f>
      </x:c>
      <x:c r="O310" t="str">
        <x:f>IF(TRIM(C310)&lt;&gt;TRIM(H310),"Oui","Non")</x:f>
        <x:v>Non</x:v>
      </x:c>
      <x:c r="P310" t="str">
        <x:f>IFERROR(INDEX('02_REFERENTIEL_CLIENTS'!$B$2:$B$51,MATCH(TRIM(C310),'02_REFERENTIEL_CLIENTS'!$A$2:$A$51,0)),"Non trouvé")</x:f>
        <x:v>Grands comptes</x:v>
      </x:c>
      <x:c r="Q310" t="str">
        <x:f>IFERROR(INDEX('02_REFERENTIEL_CLIENTS'!$C$2:$C$51,MATCH(TRIM(C310),'02_REFERENTIEL_CLIENTS'!$A$2:$A$51,0)),"Non trouvé")</x:f>
        <x:v>France</x:v>
      </x:c>
      <x:c r="R310" t="str">
        <x:f>IF(OR(F310&lt;=0,G310&lt;0,G310&gt;F310,N310&lt;0,P310="Non trouvé"),"À vérifier","OK")</x:f>
        <x:v>OK</x:v>
      </x:c>
    </x:row>
    <x:row r="311">
      <x:c r="A311" t="str">
        <x:v>DV-2025-00310</x:v>
      </x:c>
      <x:c r="B311" s="16" t="n">
        <x:v>45943</x:v>
      </x:c>
      <x:c r="C311" t="str">
        <x:v>Client 16</x:v>
      </x:c>
      <x:c r="D311" t="str">
        <x:v>Logistique</x:v>
      </x:c>
      <x:c r="E311" t="str">
        <x:v>Pôle E</x:v>
      </x:c>
      <x:c r="F311" s="18" t="n">
        <x:v>278.77</x:v>
      </x:c>
      <x:c r="G311" s="18" t="n">
        <x:v>278.77</x:v>
      </x:c>
      <x:c r="H311" t="str">
        <x:v>Client 16</x:v>
      </x:c>
      <x:c r="I311" s="16" t="n">
        <x:v>45952</x:v>
      </x:c>
      <x:c r="J311" t="n">
        <x:f>YEAR(B311)</x:f>
        <x:v>2025</x:v>
      </x:c>
      <x:c r="K311" s="20" t="n">
        <x:f>DATE(YEAR(B311),MONTH(B311),1)</x:f>
        <x:v>45931</x:v>
      </x:c>
      <x:c r="L311" s="18" t="n">
        <x:f>F311-G311</x:f>
        <x:v>0</x:v>
      </x:c>
      <x:c r="M311" t="str">
        <x:f>IF(L311&lt;=0,"Payée",IF(G311=0,"Impayée","Partielle"))</x:f>
        <x:v>Payée</x:v>
      </x:c>
      <x:c r="N311" t="n">
        <x:f>IF(I311="","",I311-B311)</x:f>
        <x:v>9</x:v>
      </x:c>
      <x:c r="O311" t="str">
        <x:f>IF(TRIM(C311)&lt;&gt;TRIM(H311),"Oui","Non")</x:f>
        <x:v>Non</x:v>
      </x:c>
      <x:c r="P311" t="str">
        <x:f>IFERROR(INDEX('02_REFERENTIEL_CLIENTS'!$B$2:$B$51,MATCH(TRIM(C311),'02_REFERENTIEL_CLIENTS'!$A$2:$A$51,0)),"Non trouvé")</x:f>
        <x:v>Grands comptes</x:v>
      </x:c>
      <x:c r="Q311" t="str">
        <x:f>IFERROR(INDEX('02_REFERENTIEL_CLIENTS'!$C$2:$C$51,MATCH(TRIM(C311),'02_REFERENTIEL_CLIENTS'!$A$2:$A$51,0)),"Non trouvé")</x:f>
        <x:v>France</x:v>
      </x:c>
      <x:c r="R311" t="str">
        <x:f>IF(OR(F311&lt;=0,G311&lt;0,G311&gt;F311,N311&lt;0,P311="Non trouvé"),"À vérifier","OK")</x:f>
        <x:v>OK</x:v>
      </x:c>
    </x:row>
    <x:row r="312">
      <x:c r="A312" t="str">
        <x:v>DV-2025-00311</x:v>
      </x:c>
      <x:c r="B312" s="16" t="n">
        <x:v>45946</x:v>
      </x:c>
      <x:c r="C312" t="str">
        <x:v>Client 46</x:v>
      </x:c>
      <x:c r="D312" t="str">
        <x:v>Logistique</x:v>
      </x:c>
      <x:c r="E312" t="str">
        <x:v>Pôle D</x:v>
      </x:c>
      <x:c r="F312" s="18" t="n">
        <x:v>13255.97</x:v>
      </x:c>
      <x:c r="G312" s="18" t="n">
        <x:v>13255.97</x:v>
      </x:c>
      <x:c r="H312" t="str">
        <x:v>Client 31</x:v>
      </x:c>
      <x:c r="I312" s="16" t="n">
        <x:v>45975</x:v>
      </x:c>
      <x:c r="J312" t="n">
        <x:f>YEAR(B312)</x:f>
        <x:v>2025</x:v>
      </x:c>
      <x:c r="K312" s="20" t="n">
        <x:f>DATE(YEAR(B312),MONTH(B312),1)</x:f>
        <x:v>45931</x:v>
      </x:c>
      <x:c r="L312" s="18" t="n">
        <x:f>F312-G312</x:f>
        <x:v>0</x:v>
      </x:c>
      <x:c r="M312" t="str">
        <x:f>IF(L312&lt;=0,"Payée",IF(G312=0,"Impayée","Partielle"))</x:f>
        <x:v>Payée</x:v>
      </x:c>
      <x:c r="N312" t="n">
        <x:f>IF(I312="","",I312-B312)</x:f>
        <x:v>29</x:v>
      </x:c>
      <x:c r="O312" t="str">
        <x:f>IF(TRIM(C312)&lt;&gt;TRIM(H312),"Oui","Non")</x:f>
        <x:v>Oui</x:v>
      </x:c>
      <x:c r="P312" t="str">
        <x:f>IFERROR(INDEX('02_REFERENTIEL_CLIENTS'!$B$2:$B$51,MATCH(TRIM(C312),'02_REFERENTIEL_CLIENTS'!$A$2:$A$51,0)),"Non trouvé")</x:f>
        <x:v>Grands comptes</x:v>
      </x:c>
      <x:c r="Q312" t="str">
        <x:f>IFERROR(INDEX('02_REFERENTIEL_CLIENTS'!$C$2:$C$51,MATCH(TRIM(C312),'02_REFERENTIEL_CLIENTS'!$A$2:$A$51,0)),"Non trouvé")</x:f>
        <x:v>France</x:v>
      </x:c>
      <x:c r="R312" t="str">
        <x:f>IF(OR(F312&lt;=0,G312&lt;0,G312&gt;F312,N312&lt;0,P312="Non trouvé"),"À vérifier","OK")</x:f>
        <x:v>OK</x:v>
      </x:c>
    </x:row>
    <x:row r="313">
      <x:c r="A313" t="str">
        <x:v>DV-2026-00312</x:v>
      </x:c>
      <x:c r="B313" s="16" t="n">
        <x:v>46104</x:v>
      </x:c>
      <x:c r="C313" t="str">
        <x:v>Client 22</x:v>
      </x:c>
      <x:c r="D313" t="str">
        <x:v>Douane</x:v>
      </x:c>
      <x:c r="E313" t="str">
        <x:v>Pôle D</x:v>
      </x:c>
      <x:c r="F313" s="18" t="n">
        <x:v>13039.17</x:v>
      </x:c>
      <x:c r="G313" s="18" t="n">
        <x:v>13039.17</x:v>
      </x:c>
      <x:c r="H313" t="str">
        <x:v>Client 22</x:v>
      </x:c>
      <x:c r="I313" s="16" t="n">
        <x:v>46171</x:v>
      </x:c>
      <x:c r="J313" t="n">
        <x:f>YEAR(B313)</x:f>
        <x:v>2026</x:v>
      </x:c>
      <x:c r="K313" s="20" t="n">
        <x:f>DATE(YEAR(B313),MONTH(B313),1)</x:f>
        <x:v>46082</x:v>
      </x:c>
      <x:c r="L313" s="18" t="n">
        <x:f>F313-G313</x:f>
        <x:v>0</x:v>
      </x:c>
      <x:c r="M313" t="str">
        <x:f>IF(L313&lt;=0,"Payée",IF(G313=0,"Impayée","Partielle"))</x:f>
        <x:v>Payée</x:v>
      </x:c>
      <x:c r="N313" t="n">
        <x:f>IF(I313="","",I313-B313)</x:f>
        <x:v>67</x:v>
      </x:c>
      <x:c r="O313" t="str">
        <x:f>IF(TRIM(C313)&lt;&gt;TRIM(H313),"Oui","Non")</x:f>
        <x:v>Non</x:v>
      </x:c>
      <x:c r="P313" t="str">
        <x:f>IFERROR(INDEX('02_REFERENTIEL_CLIENTS'!$B$2:$B$51,MATCH(TRIM(C313),'02_REFERENTIEL_CLIENTS'!$A$2:$A$51,0)),"Non trouvé")</x:f>
        <x:v>Grands comptes</x:v>
      </x:c>
      <x:c r="Q313" t="str">
        <x:f>IFERROR(INDEX('02_REFERENTIEL_CLIENTS'!$C$2:$C$51,MATCH(TRIM(C313),'02_REFERENTIEL_CLIENTS'!$A$2:$A$51,0)),"Non trouvé")</x:f>
        <x:v>France</x:v>
      </x:c>
      <x:c r="R313" t="str">
        <x:f>IF(OR(F313&lt;=0,G313&lt;0,G313&gt;F313,N313&lt;0,P313="Non trouvé"),"À vérifier","OK")</x:f>
        <x:v>OK</x:v>
      </x:c>
    </x:row>
    <x:row r="314">
      <x:c r="A314" t="str">
        <x:v>DV-2024-00313</x:v>
      </x:c>
      <x:c r="B314" s="16" t="n">
        <x:v>45404</x:v>
      </x:c>
      <x:c r="C314" t="str">
        <x:v>Client 11</x:v>
      </x:c>
      <x:c r="D314" t="str">
        <x:v>Logistique</x:v>
      </x:c>
      <x:c r="E314" t="str">
        <x:v>Pôle B</x:v>
      </x:c>
      <x:c r="F314" s="18" t="n">
        <x:v>23628.09</x:v>
      </x:c>
      <x:c r="G314" s="18" t="n">
        <x:v>23628.09</x:v>
      </x:c>
      <x:c r="H314" t="str">
        <x:v>Client 11</x:v>
      </x:c>
      <x:c r="I314" s="16" t="n">
        <x:v>45434</x:v>
      </x:c>
      <x:c r="J314" t="n">
        <x:f>YEAR(B314)</x:f>
        <x:v>2024</x:v>
      </x:c>
      <x:c r="K314" s="20" t="n">
        <x:f>DATE(YEAR(B314),MONTH(B314),1)</x:f>
        <x:v>45383</x:v>
      </x:c>
      <x:c r="L314" s="18" t="n">
        <x:f>F314-G314</x:f>
        <x:v>0</x:v>
      </x:c>
      <x:c r="M314" t="str">
        <x:f>IF(L314&lt;=0,"Payée",IF(G314=0,"Impayée","Partielle"))</x:f>
        <x:v>Payée</x:v>
      </x:c>
      <x:c r="N314" t="n">
        <x:f>IF(I314="","",I314-B314)</x:f>
        <x:v>30</x:v>
      </x:c>
      <x:c r="O314" t="str">
        <x:f>IF(TRIM(C314)&lt;&gt;TRIM(H314),"Oui","Non")</x:f>
        <x:v>Non</x:v>
      </x:c>
      <x:c r="P314" t="str">
        <x:f>IFERROR(INDEX('02_REFERENTIEL_CLIENTS'!$B$2:$B$51,MATCH(TRIM(C314),'02_REFERENTIEL_CLIENTS'!$A$2:$A$51,0)),"Non trouvé")</x:f>
        <x:v>PME</x:v>
      </x:c>
      <x:c r="Q314" t="str">
        <x:f>IFERROR(INDEX('02_REFERENTIEL_CLIENTS'!$C$2:$C$51,MATCH(TRIM(C314),'02_REFERENTIEL_CLIENTS'!$A$2:$A$51,0)),"Non trouvé")</x:f>
        <x:v>Europe</x:v>
      </x:c>
      <x:c r="R314" t="str">
        <x:f>IF(OR(F314&lt;=0,G314&lt;0,G314&gt;F314,N314&lt;0,P314="Non trouvé"),"À vérifier","OK")</x:f>
        <x:v>OK</x:v>
      </x:c>
    </x:row>
    <x:row r="315">
      <x:c r="A315" t="str">
        <x:v>DV-2025-00314</x:v>
      </x:c>
      <x:c r="B315" s="16" t="n">
        <x:v>46012</x:v>
      </x:c>
      <x:c r="C315" t="str">
        <x:v>Client 45</x:v>
      </x:c>
      <x:c r="D315" t="str">
        <x:v>Fret maritime</x:v>
      </x:c>
      <x:c r="E315" t="str">
        <x:v>Pôle B</x:v>
      </x:c>
      <x:c r="F315" s="18" t="n">
        <x:v>20687.46</x:v>
      </x:c>
      <x:c r="G315" s="18" t="n">
        <x:v>6818.11</x:v>
      </x:c>
      <x:c r="H315" t="str">
        <x:v>Client 45</x:v>
      </x:c>
      <x:c r="I315" s="16" t="n">
        <x:v>46060</x:v>
      </x:c>
      <x:c r="J315" t="n">
        <x:f>YEAR(B315)</x:f>
        <x:v>2025</x:v>
      </x:c>
      <x:c r="K315" s="20" t="n">
        <x:f>DATE(YEAR(B315),MONTH(B315),1)</x:f>
        <x:v>45992</x:v>
      </x:c>
      <x:c r="L315" s="18" t="n">
        <x:f>F315-G315</x:f>
        <x:v>13869.349999999999</x:v>
      </x:c>
      <x:c r="M315" t="str">
        <x:f>IF(L315&lt;=0,"Payée",IF(G315=0,"Impayée","Partielle"))</x:f>
        <x:v>Partielle</x:v>
      </x:c>
      <x:c r="N315" t="n">
        <x:f>IF(I315="","",I315-B315)</x:f>
        <x:v>48</x:v>
      </x:c>
      <x:c r="O315" t="str">
        <x:f>IF(TRIM(C315)&lt;&gt;TRIM(H315),"Oui","Non")</x:f>
        <x:v>Non</x:v>
      </x:c>
      <x:c r="P315" t="str">
        <x:f>IFERROR(INDEX('02_REFERENTIEL_CLIENTS'!$B$2:$B$51,MATCH(TRIM(C315),'02_REFERENTIEL_CLIENTS'!$A$2:$A$51,0)),"Non trouvé")</x:f>
        <x:v>Particuliers</x:v>
      </x:c>
      <x:c r="Q315" t="str">
        <x:f>IFERROR(INDEX('02_REFERENTIEL_CLIENTS'!$C$2:$C$51,MATCH(TRIM(C315),'02_REFERENTIEL_CLIENTS'!$A$2:$A$51,0)),"Non trouvé")</x:f>
        <x:v>International</x:v>
      </x:c>
      <x:c r="R315" t="str">
        <x:f>IF(OR(F315&lt;=0,G315&lt;0,G315&gt;F315,N315&lt;0,P315="Non trouvé"),"À vérifier","OK")</x:f>
        <x:v>OK</x:v>
      </x:c>
    </x:row>
    <x:row r="316">
      <x:c r="A316" t="str">
        <x:v>DV-2024-00315</x:v>
      </x:c>
      <x:c r="B316" s="16" t="n">
        <x:v>45574</x:v>
      </x:c>
      <x:c r="C316" t="str">
        <x:v>Client 03</x:v>
      </x:c>
      <x:c r="D316" t="str">
        <x:v>Douane</x:v>
      </x:c>
      <x:c r="E316" t="str">
        <x:v>Pôle D</x:v>
      </x:c>
      <x:c r="F316" s="18" t="n">
        <x:v>18134.23</x:v>
      </x:c>
      <x:c r="G316" s="18" t="n">
        <x:v>18134.23</x:v>
      </x:c>
      <x:c r="H316" t="str">
        <x:v>Client 39</x:v>
      </x:c>
      <x:c r="I316" s="16" t="n">
        <x:v>45649</x:v>
      </x:c>
      <x:c r="J316" t="n">
        <x:f>YEAR(B316)</x:f>
        <x:v>2024</x:v>
      </x:c>
      <x:c r="K316" s="20" t="n">
        <x:f>DATE(YEAR(B316),MONTH(B316),1)</x:f>
        <x:v>45566</x:v>
      </x:c>
      <x:c r="L316" s="18" t="n">
        <x:f>F316-G316</x:f>
        <x:v>0</x:v>
      </x:c>
      <x:c r="M316" t="str">
        <x:f>IF(L316&lt;=0,"Payée",IF(G316=0,"Impayée","Partielle"))</x:f>
        <x:v>Payée</x:v>
      </x:c>
      <x:c r="N316" t="n">
        <x:f>IF(I316="","",I316-B316)</x:f>
        <x:v>75</x:v>
      </x:c>
      <x:c r="O316" t="str">
        <x:f>IF(TRIM(C316)&lt;&gt;TRIM(H316),"Oui","Non")</x:f>
        <x:v>Oui</x:v>
      </x:c>
      <x:c r="P316" t="str">
        <x:f>IFERROR(INDEX('02_REFERENTIEL_CLIENTS'!$B$2:$B$51,MATCH(TRIM(C316),'02_REFERENTIEL_CLIENTS'!$A$2:$A$51,0)),"Non trouvé")</x:f>
        <x:v>Particuliers</x:v>
      </x:c>
      <x:c r="Q316" t="str">
        <x:f>IFERROR(INDEX('02_REFERENTIEL_CLIENTS'!$C$2:$C$51,MATCH(TRIM(C316),'02_REFERENTIEL_CLIENTS'!$A$2:$A$51,0)),"Non trouvé")</x:f>
        <x:v>International</x:v>
      </x:c>
      <x:c r="R316" t="str">
        <x:f>IF(OR(F316&lt;=0,G316&lt;0,G316&gt;F316,N316&lt;0,P316="Non trouvé"),"À vérifier","OK")</x:f>
        <x:v>OK</x:v>
      </x:c>
    </x:row>
    <x:row r="317">
      <x:c r="A317" t="str">
        <x:v>DV-2026-00316</x:v>
      </x:c>
      <x:c r="B317" s="16" t="n">
        <x:v>46277</x:v>
      </x:c>
      <x:c r="C317" t="str">
        <x:v>Client 30</x:v>
      </x:c>
      <x:c r="D317" t="str">
        <x:v>Douane</x:v>
      </x:c>
      <x:c r="E317" t="str">
        <x:v>Pôle A</x:v>
      </x:c>
      <x:c r="F317" s="18" t="n">
        <x:v>2166.27</x:v>
      </x:c>
      <x:c r="G317" s="18" t="n">
        <x:v>2166.27</x:v>
      </x:c>
      <x:c r="H317" t="str">
        <x:v>Client 30</x:v>
      </x:c>
      <x:c r="I317" s="16" t="n">
        <x:v>46308</x:v>
      </x:c>
      <x:c r="J317" t="n">
        <x:f>YEAR(B317)</x:f>
        <x:v>2026</x:v>
      </x:c>
      <x:c r="K317" s="20" t="n">
        <x:f>DATE(YEAR(B317),MONTH(B317),1)</x:f>
        <x:v>46266</x:v>
      </x:c>
      <x:c r="L317" s="18" t="n">
        <x:f>F317-G317</x:f>
        <x:v>0</x:v>
      </x:c>
      <x:c r="M317" t="str">
        <x:f>IF(L317&lt;=0,"Payée",IF(G317=0,"Impayée","Partielle"))</x:f>
        <x:v>Payée</x:v>
      </x:c>
      <x:c r="N317" t="n">
        <x:f>IF(I317="","",I317-B317)</x:f>
        <x:v>31</x:v>
      </x:c>
      <x:c r="O317" t="str">
        <x:f>IF(TRIM(C317)&lt;&gt;TRIM(H317),"Oui","Non")</x:f>
        <x:v>Non</x:v>
      </x:c>
      <x:c r="P317" t="str">
        <x:f>IFERROR(INDEX('02_REFERENTIEL_CLIENTS'!$B$2:$B$51,MATCH(TRIM(C317),'02_REFERENTIEL_CLIENTS'!$A$2:$A$51,0)),"Non trouvé")</x:f>
        <x:v>Particuliers</x:v>
      </x:c>
      <x:c r="Q317" t="str">
        <x:f>IFERROR(INDEX('02_REFERENTIEL_CLIENTS'!$C$2:$C$51,MATCH(TRIM(C317),'02_REFERENTIEL_CLIENTS'!$A$2:$A$51,0)),"Non trouvé")</x:f>
        <x:v>International</x:v>
      </x:c>
      <x:c r="R317" t="str">
        <x:f>IF(OR(F317&lt;=0,G317&lt;0,G317&gt;F317,N317&lt;0,P317="Non trouvé"),"À vérifier","OK")</x:f>
        <x:v>OK</x:v>
      </x:c>
    </x:row>
    <x:row r="318">
      <x:c r="A318" t="str">
        <x:v>DV-2025-00317</x:v>
      </x:c>
      <x:c r="B318" s="16" t="n">
        <x:v>45667</x:v>
      </x:c>
      <x:c r="C318" t="str">
        <x:v>Client 43</x:v>
      </x:c>
      <x:c r="D318" t="str">
        <x:v>Fret aérien</x:v>
      </x:c>
      <x:c r="E318" t="str">
        <x:v>Pôle D</x:v>
      </x:c>
      <x:c r="F318" s="18" t="n">
        <x:v>11897.16</x:v>
      </x:c>
      <x:c r="G318" s="18" t="n">
        <x:v>11897.16</x:v>
      </x:c>
      <x:c r="H318" t="str">
        <x:v>Client 43</x:v>
      </x:c>
      <x:c r="I318" s="16" t="n">
        <x:v>45749</x:v>
      </x:c>
      <x:c r="J318" t="n">
        <x:f>YEAR(B318)</x:f>
        <x:v>2025</x:v>
      </x:c>
      <x:c r="K318" s="20" t="n">
        <x:f>DATE(YEAR(B318),MONTH(B318),1)</x:f>
        <x:v>45658</x:v>
      </x:c>
      <x:c r="L318" s="18" t="n">
        <x:f>F318-G318</x:f>
        <x:v>0</x:v>
      </x:c>
      <x:c r="M318" t="str">
        <x:f>IF(L318&lt;=0,"Payée",IF(G318=0,"Impayée","Partielle"))</x:f>
        <x:v>Payée</x:v>
      </x:c>
      <x:c r="N318" t="n">
        <x:f>IF(I318="","",I318-B318)</x:f>
        <x:v>82</x:v>
      </x:c>
      <x:c r="O318" t="str">
        <x:f>IF(TRIM(C318)&lt;&gt;TRIM(H318),"Oui","Non")</x:f>
        <x:v>Non</x:v>
      </x:c>
      <x:c r="P318" t="str">
        <x:f>IFERROR(INDEX('02_REFERENTIEL_CLIENTS'!$B$2:$B$51,MATCH(TRIM(C318),'02_REFERENTIEL_CLIENTS'!$A$2:$A$51,0)),"Non trouvé")</x:f>
        <x:v>Grands comptes</x:v>
      </x:c>
      <x:c r="Q318" t="str">
        <x:f>IFERROR(INDEX('02_REFERENTIEL_CLIENTS'!$C$2:$C$51,MATCH(TRIM(C318),'02_REFERENTIEL_CLIENTS'!$A$2:$A$51,0)),"Non trouvé")</x:f>
        <x:v>France</x:v>
      </x:c>
      <x:c r="R318" t="str">
        <x:f>IF(OR(F318&lt;=0,G318&lt;0,G318&gt;F318,N318&lt;0,P318="Non trouvé"),"À vérifier","OK")</x:f>
        <x:v>OK</x:v>
      </x:c>
    </x:row>
    <x:row r="319">
      <x:c r="A319" t="str">
        <x:v>DV-2025-00318</x:v>
      </x:c>
      <x:c r="B319" s="16" t="n">
        <x:v>45818</x:v>
      </x:c>
      <x:c r="C319" t="str">
        <x:v>Client 31</x:v>
      </x:c>
      <x:c r="D319" t="str">
        <x:v>Fret aérien</x:v>
      </x:c>
      <x:c r="E319" t="str">
        <x:v>Pôle E</x:v>
      </x:c>
      <x:c r="F319" s="18" t="n">
        <x:v>23753.67</x:v>
      </x:c>
      <x:c r="G319" s="18" t="n">
        <x:v>23753.67</x:v>
      </x:c>
      <x:c r="H319" t="str">
        <x:v>Client 31</x:v>
      </x:c>
      <x:c r="I319" s="16" t="n">
        <x:v>45834</x:v>
      </x:c>
      <x:c r="J319" t="n">
        <x:f>YEAR(B319)</x:f>
        <x:v>2025</x:v>
      </x:c>
      <x:c r="K319" s="20" t="n">
        <x:f>DATE(YEAR(B319),MONTH(B319),1)</x:f>
        <x:v>45809</x:v>
      </x:c>
      <x:c r="L319" s="18" t="n">
        <x:f>F319-G319</x:f>
        <x:v>0</x:v>
      </x:c>
      <x:c r="M319" t="str">
        <x:f>IF(L319&lt;=0,"Payée",IF(G319=0,"Impayée","Partielle"))</x:f>
        <x:v>Payée</x:v>
      </x:c>
      <x:c r="N319" t="n">
        <x:f>IF(I319="","",I319-B319)</x:f>
        <x:v>16</x:v>
      </x:c>
      <x:c r="O319" t="str">
        <x:f>IF(TRIM(C319)&lt;&gt;TRIM(H319),"Oui","Non")</x:f>
        <x:v>Non</x:v>
      </x:c>
      <x:c r="P319" t="str">
        <x:f>IFERROR(INDEX('02_REFERENTIEL_CLIENTS'!$B$2:$B$51,MATCH(TRIM(C319),'02_REFERENTIEL_CLIENTS'!$A$2:$A$51,0)),"Non trouvé")</x:f>
        <x:v>Grands comptes</x:v>
      </x:c>
      <x:c r="Q319" t="str">
        <x:f>IFERROR(INDEX('02_REFERENTIEL_CLIENTS'!$C$2:$C$51,MATCH(TRIM(C319),'02_REFERENTIEL_CLIENTS'!$A$2:$A$51,0)),"Non trouvé")</x:f>
        <x:v>France</x:v>
      </x:c>
      <x:c r="R319" t="str">
        <x:f>IF(OR(F319&lt;=0,G319&lt;0,G319&gt;F319,N319&lt;0,P319="Non trouvé"),"À vérifier","OK")</x:f>
        <x:v>OK</x:v>
      </x:c>
    </x:row>
    <x:row r="320">
      <x:c r="A320" t="str">
        <x:v>DV-2025-00319</x:v>
      </x:c>
      <x:c r="B320" s="16" t="n">
        <x:v>45719</x:v>
      </x:c>
      <x:c r="C320" t="str">
        <x:v>Client 06</x:v>
      </x:c>
      <x:c r="D320" t="str">
        <x:v>Fret maritime</x:v>
      </x:c>
      <x:c r="E320" t="str">
        <x:v>Pôle B</x:v>
      </x:c>
      <x:c r="F320" s="18" t="n">
        <x:v>15235.71</x:v>
      </x:c>
      <x:c r="G320" s="18" t="n">
        <x:v>15235.71</x:v>
      </x:c>
      <x:c r="H320" t="str">
        <x:v>Client 06</x:v>
      </x:c>
      <x:c r="I320" s="16" t="n">
        <x:v>45814</x:v>
      </x:c>
      <x:c r="J320" t="n">
        <x:f>YEAR(B320)</x:f>
        <x:v>2025</x:v>
      </x:c>
      <x:c r="K320" s="20" t="n">
        <x:f>DATE(YEAR(B320),MONTH(B320),1)</x:f>
        <x:v>45717</x:v>
      </x:c>
      <x:c r="L320" s="18" t="n">
        <x:f>F320-G320</x:f>
        <x:v>0</x:v>
      </x:c>
      <x:c r="M320" t="str">
        <x:f>IF(L320&lt;=0,"Payée",IF(G320=0,"Impayée","Partielle"))</x:f>
        <x:v>Payée</x:v>
      </x:c>
      <x:c r="N320" t="n">
        <x:f>IF(I320="","",I320-B320)</x:f>
        <x:v>95</x:v>
      </x:c>
      <x:c r="O320" t="str">
        <x:f>IF(TRIM(C320)&lt;&gt;TRIM(H320),"Oui","Non")</x:f>
        <x:v>Non</x:v>
      </x:c>
      <x:c r="P320" t="str">
        <x:f>IFERROR(INDEX('02_REFERENTIEL_CLIENTS'!$B$2:$B$51,MATCH(TRIM(C320),'02_REFERENTIEL_CLIENTS'!$A$2:$A$51,0)),"Non trouvé")</x:f>
        <x:v>Particuliers</x:v>
      </x:c>
      <x:c r="Q320" t="str">
        <x:f>IFERROR(INDEX('02_REFERENTIEL_CLIENTS'!$C$2:$C$51,MATCH(TRIM(C320),'02_REFERENTIEL_CLIENTS'!$A$2:$A$51,0)),"Non trouvé")</x:f>
        <x:v>International</x:v>
      </x:c>
      <x:c r="R320" t="str">
        <x:f>IF(OR(F320&lt;=0,G320&lt;0,G320&gt;F320,N320&lt;0,P320="Non trouvé"),"À vérifier","OK")</x:f>
        <x:v>OK</x:v>
      </x:c>
    </x:row>
    <x:row r="321">
      <x:c r="A321" t="str">
        <x:v>DV-2024-00320</x:v>
      </x:c>
      <x:c r="B321" s="16" t="n">
        <x:v>45442</x:v>
      </x:c>
      <x:c r="C321" t="str">
        <x:v>Client 31</x:v>
      </x:c>
      <x:c r="D321" t="str">
        <x:v>Logistique</x:v>
      </x:c>
      <x:c r="E321" t="str">
        <x:v>Pôle B</x:v>
      </x:c>
      <x:c r="F321" s="18" t="n">
        <x:v>24035.35</x:v>
      </x:c>
      <x:c r="G321" s="18" t="n">
        <x:v>24035.35</x:v>
      </x:c>
      <x:c r="H321" t="str">
        <x:v>Client 31</x:v>
      </x:c>
      <x:c r="I321" s="16" t="n">
        <x:v>45473</x:v>
      </x:c>
      <x:c r="J321" t="n">
        <x:f>YEAR(B321)</x:f>
        <x:v>2024</x:v>
      </x:c>
      <x:c r="K321" s="20" t="n">
        <x:f>DATE(YEAR(B321),MONTH(B321),1)</x:f>
        <x:v>45413</x:v>
      </x:c>
      <x:c r="L321" s="18" t="n">
        <x:f>F321-G321</x:f>
        <x:v>0</x:v>
      </x:c>
      <x:c r="M321" t="str">
        <x:f>IF(L321&lt;=0,"Payée",IF(G321=0,"Impayée","Partielle"))</x:f>
        <x:v>Payée</x:v>
      </x:c>
      <x:c r="N321" t="n">
        <x:f>IF(I321="","",I321-B321)</x:f>
        <x:v>31</x:v>
      </x:c>
      <x:c r="O321" t="str">
        <x:f>IF(TRIM(C321)&lt;&gt;TRIM(H321),"Oui","Non")</x:f>
        <x:v>Non</x:v>
      </x:c>
      <x:c r="P321" t="str">
        <x:f>IFERROR(INDEX('02_REFERENTIEL_CLIENTS'!$B$2:$B$51,MATCH(TRIM(C321),'02_REFERENTIEL_CLIENTS'!$A$2:$A$51,0)),"Non trouvé")</x:f>
        <x:v>Grands comptes</x:v>
      </x:c>
      <x:c r="Q321" t="str">
        <x:f>IFERROR(INDEX('02_REFERENTIEL_CLIENTS'!$C$2:$C$51,MATCH(TRIM(C321),'02_REFERENTIEL_CLIENTS'!$A$2:$A$51,0)),"Non trouvé")</x:f>
        <x:v>France</x:v>
      </x:c>
      <x:c r="R321" t="str">
        <x:f>IF(OR(F321&lt;=0,G321&lt;0,G321&gt;F321,N321&lt;0,P321="Non trouvé"),"À vérifier","OK")</x:f>
        <x:v>OK</x:v>
      </x:c>
    </x:row>
    <x:row r="322">
      <x:c r="A322" t="str">
        <x:v>DV-2026-00321</x:v>
      </x:c>
      <x:c r="B322" s="16" t="n">
        <x:v>46210</x:v>
      </x:c>
      <x:c r="C322" t="str">
        <x:v>Client 21</x:v>
      </x:c>
      <x:c r="D322" t="str">
        <x:v>Fret aérien</x:v>
      </x:c>
      <x:c r="E322" t="str">
        <x:v>Pôle A</x:v>
      </x:c>
      <x:c r="F322" s="18" t="n">
        <x:v>16599.89</x:v>
      </x:c>
      <x:c r="G322" s="18" t="n">
        <x:v>6161.01</x:v>
      </x:c>
      <x:c r="H322" t="str">
        <x:v>Client 21</x:v>
      </x:c>
      <x:c r="I322" s="16" t="n">
        <x:v>46278</x:v>
      </x:c>
      <x:c r="J322" t="n">
        <x:f>YEAR(B322)</x:f>
        <x:v>2026</x:v>
      </x:c>
      <x:c r="K322" s="20" t="n">
        <x:f>DATE(YEAR(B322),MONTH(B322),1)</x:f>
        <x:v>46204</x:v>
      </x:c>
      <x:c r="L322" s="18" t="n">
        <x:f>F322-G322</x:f>
        <x:v>10438.88</x:v>
      </x:c>
      <x:c r="M322" t="str">
        <x:f>IF(L322&lt;=0,"Payée",IF(G322=0,"Impayée","Partielle"))</x:f>
        <x:v>Partielle</x:v>
      </x:c>
      <x:c r="N322" t="n">
        <x:f>IF(I322="","",I322-B322)</x:f>
        <x:v>68</x:v>
      </x:c>
      <x:c r="O322" t="str">
        <x:f>IF(TRIM(C322)&lt;&gt;TRIM(H322),"Oui","Non")</x:f>
        <x:v>Non</x:v>
      </x:c>
      <x:c r="P322" t="str">
        <x:f>IFERROR(INDEX('02_REFERENTIEL_CLIENTS'!$B$2:$B$51,MATCH(TRIM(C322),'02_REFERENTIEL_CLIENTS'!$A$2:$A$51,0)),"Non trouvé")</x:f>
        <x:v>Particuliers</x:v>
      </x:c>
      <x:c r="Q322" t="str">
        <x:f>IFERROR(INDEX('02_REFERENTIEL_CLIENTS'!$C$2:$C$51,MATCH(TRIM(C322),'02_REFERENTIEL_CLIENTS'!$A$2:$A$51,0)),"Non trouvé")</x:f>
        <x:v>International</x:v>
      </x:c>
      <x:c r="R322" t="str">
        <x:f>IF(OR(F322&lt;=0,G322&lt;0,G322&gt;F322,N322&lt;0,P322="Non trouvé"),"À vérifier","OK")</x:f>
        <x:v>OK</x:v>
      </x:c>
    </x:row>
    <x:row r="323">
      <x:c r="A323" t="str">
        <x:v>DV-2025-00322</x:v>
      </x:c>
      <x:c r="B323" s="16" t="n">
        <x:v>45835</x:v>
      </x:c>
      <x:c r="C323" t="str">
        <x:v>Client 25</x:v>
      </x:c>
      <x:c r="D323" t="str">
        <x:v>Logistique</x:v>
      </x:c>
      <x:c r="E323" t="str">
        <x:v>Pôle B</x:v>
      </x:c>
      <x:c r="F323" s="18" t="n">
        <x:v>22408.38</x:v>
      </x:c>
      <x:c r="G323" s="18" t="n">
        <x:v>22408.38</x:v>
      </x:c>
      <x:c r="H323" t="str">
        <x:v>Client 25</x:v>
      </x:c>
      <x:c r="I323" s="16" t="n">
        <x:v>45870</x:v>
      </x:c>
      <x:c r="J323" t="n">
        <x:f>YEAR(B323)</x:f>
        <x:v>2025</x:v>
      </x:c>
      <x:c r="K323" s="20" t="n">
        <x:f>DATE(YEAR(B323),MONTH(B323),1)</x:f>
        <x:v>45809</x:v>
      </x:c>
      <x:c r="L323" s="18" t="n">
        <x:f>F323-G323</x:f>
        <x:v>0</x:v>
      </x:c>
      <x:c r="M323" t="str">
        <x:f>IF(L323&lt;=0,"Payée",IF(G323=0,"Impayée","Partielle"))</x:f>
        <x:v>Payée</x:v>
      </x:c>
      <x:c r="N323" t="n">
        <x:f>IF(I323="","",I323-B323)</x:f>
        <x:v>35</x:v>
      </x:c>
      <x:c r="O323" t="str">
        <x:f>IF(TRIM(C323)&lt;&gt;TRIM(H323),"Oui","Non")</x:f>
        <x:v>Non</x:v>
      </x:c>
      <x:c r="P323" t="str">
        <x:f>IFERROR(INDEX('02_REFERENTIEL_CLIENTS'!$B$2:$B$51,MATCH(TRIM(C323),'02_REFERENTIEL_CLIENTS'!$A$2:$A$51,0)),"Non trouvé")</x:f>
        <x:v>Grands comptes</x:v>
      </x:c>
      <x:c r="Q323" t="str">
        <x:f>IFERROR(INDEX('02_REFERENTIEL_CLIENTS'!$C$2:$C$51,MATCH(TRIM(C323),'02_REFERENTIEL_CLIENTS'!$A$2:$A$51,0)),"Non trouvé")</x:f>
        <x:v>France</x:v>
      </x:c>
      <x:c r="R323" t="str">
        <x:f>IF(OR(F323&lt;=0,G323&lt;0,G323&gt;F323,N323&lt;0,P323="Non trouvé"),"À vérifier","OK")</x:f>
        <x:v>OK</x:v>
      </x:c>
    </x:row>
    <x:row r="324">
      <x:c r="A324" t="str">
        <x:v>DV-2024-00323</x:v>
      </x:c>
      <x:c r="B324" s="16" t="n">
        <x:v>45325</x:v>
      </x:c>
      <x:c r="C324" t="str">
        <x:v>Client 11</x:v>
      </x:c>
      <x:c r="D324" t="str">
        <x:v>Logistique</x:v>
      </x:c>
      <x:c r="E324" t="str">
        <x:v>Pôle E</x:v>
      </x:c>
      <x:c r="F324" s="18" t="n">
        <x:v>768.54</x:v>
      </x:c>
      <x:c r="G324" s="18" t="n">
        <x:v>0</x:v>
      </x:c>
      <x:c r="H324" t="str">
        <x:v>Client 01</x:v>
      </x:c>
      <x:c r="I324" s="16"/>
      <x:c r="J324" t="n">
        <x:f>YEAR(B324)</x:f>
        <x:v>2024</x:v>
      </x:c>
      <x:c r="K324" s="20" t="n">
        <x:f>DATE(YEAR(B324),MONTH(B324),1)</x:f>
        <x:v>45323</x:v>
      </x:c>
      <x:c r="L324" s="18" t="n">
        <x:f>F324-G324</x:f>
        <x:v>768.54</x:v>
      </x:c>
      <x:c r="M324" t="str">
        <x:f>IF(L324&lt;=0,"Payée",IF(G324=0,"Impayée","Partielle"))</x:f>
        <x:v>Impayée</x:v>
      </x:c>
      <x:c r="N324" t="str">
        <x:f>IF(I324="","",I324-B324)</x:f>
      </x:c>
      <x:c r="O324" t="str">
        <x:f>IF(TRIM(C324)&lt;&gt;TRIM(H324),"Oui","Non")</x:f>
        <x:v>Oui</x:v>
      </x:c>
      <x:c r="P324" t="str">
        <x:f>IFERROR(INDEX('02_REFERENTIEL_CLIENTS'!$B$2:$B$51,MATCH(TRIM(C324),'02_REFERENTIEL_CLIENTS'!$A$2:$A$51,0)),"Non trouvé")</x:f>
        <x:v>PME</x:v>
      </x:c>
      <x:c r="Q324" t="str">
        <x:f>IFERROR(INDEX('02_REFERENTIEL_CLIENTS'!$C$2:$C$51,MATCH(TRIM(C324),'02_REFERENTIEL_CLIENTS'!$A$2:$A$51,0)),"Non trouvé")</x:f>
        <x:v>Europe</x:v>
      </x:c>
      <x:c r="R324" t="str">
        <x:f>IF(OR(F324&lt;=0,G324&lt;0,G324&gt;F324,N324&lt;0,P324="Non trouvé"),"À vérifier","OK")</x:f>
        <x:v>OK</x:v>
      </x:c>
    </x:row>
    <x:row r="325">
      <x:c r="A325" t="str">
        <x:v>DV-2024-00324</x:v>
      </x:c>
      <x:c r="B325" s="16" t="n">
        <x:v>45653</x:v>
      </x:c>
      <x:c r="C325" t="str">
        <x:v>Client 01</x:v>
      </x:c>
      <x:c r="D325" t="str">
        <x:v>Fret aérien</x:v>
      </x:c>
      <x:c r="E325" t="str">
        <x:v>Pôle C</x:v>
      </x:c>
      <x:c r="F325" s="18" t="n">
        <x:v>21799.96</x:v>
      </x:c>
      <x:c r="G325" s="18" t="n">
        <x:v>21799.96</x:v>
      </x:c>
      <x:c r="H325" t="str">
        <x:v>Client 01</x:v>
      </x:c>
      <x:c r="I325" s="16" t="n">
        <x:v>45673</x:v>
      </x:c>
      <x:c r="J325" t="n">
        <x:f>YEAR(B325)</x:f>
        <x:v>2024</x:v>
      </x:c>
      <x:c r="K325" s="20" t="n">
        <x:f>DATE(YEAR(B325),MONTH(B325),1)</x:f>
        <x:v>45627</x:v>
      </x:c>
      <x:c r="L325" s="18" t="n">
        <x:f>F325-G325</x:f>
        <x:v>0</x:v>
      </x:c>
      <x:c r="M325" t="str">
        <x:f>IF(L325&lt;=0,"Payée",IF(G325=0,"Impayée","Partielle"))</x:f>
        <x:v>Payée</x:v>
      </x:c>
      <x:c r="N325" t="n">
        <x:f>IF(I325="","",I325-B325)</x:f>
        <x:v>20</x:v>
      </x:c>
      <x:c r="O325" t="str">
        <x:f>IF(TRIM(C325)&lt;&gt;TRIM(H325),"Oui","Non")</x:f>
        <x:v>Non</x:v>
      </x:c>
      <x:c r="P325" t="str">
        <x:f>IFERROR(INDEX('02_REFERENTIEL_CLIENTS'!$B$2:$B$51,MATCH(TRIM(C325),'02_REFERENTIEL_CLIENTS'!$A$2:$A$51,0)),"Non trouvé")</x:f>
        <x:v>Grands comptes</x:v>
      </x:c>
      <x:c r="Q325" t="str">
        <x:f>IFERROR(INDEX('02_REFERENTIEL_CLIENTS'!$C$2:$C$51,MATCH(TRIM(C325),'02_REFERENTIEL_CLIENTS'!$A$2:$A$51,0)),"Non trouvé")</x:f>
        <x:v>France</x:v>
      </x:c>
      <x:c r="R325" t="str">
        <x:f>IF(OR(F325&lt;=0,G325&lt;0,G325&gt;F325,N325&lt;0,P325="Non trouvé"),"À vérifier","OK")</x:f>
        <x:v>OK</x:v>
      </x:c>
    </x:row>
    <x:row r="326">
      <x:c r="A326" t="str">
        <x:v>DV-2026-00325</x:v>
      </x:c>
      <x:c r="B326" s="16" t="n">
        <x:v>46105</x:v>
      </x:c>
      <x:c r="C326" t="str">
        <x:v>Client 13</x:v>
      </x:c>
      <x:c r="D326" t="str">
        <x:v>Express</x:v>
      </x:c>
      <x:c r="E326" t="str">
        <x:v>Pôle D</x:v>
      </x:c>
      <x:c r="F326" s="18" t="n">
        <x:v>24333.7</x:v>
      </x:c>
      <x:c r="G326" s="18" t="n">
        <x:v>24333.7</x:v>
      </x:c>
      <x:c r="H326" t="str">
        <x:v>Client 13</x:v>
      </x:c>
      <x:c r="I326" s="16" t="n">
        <x:v>46179</x:v>
      </x:c>
      <x:c r="J326" t="n">
        <x:f>YEAR(B326)</x:f>
        <x:v>2026</x:v>
      </x:c>
      <x:c r="K326" s="20" t="n">
        <x:f>DATE(YEAR(B326),MONTH(B326),1)</x:f>
        <x:v>46082</x:v>
      </x:c>
      <x:c r="L326" s="18" t="n">
        <x:f>F326-G326</x:f>
        <x:v>0</x:v>
      </x:c>
      <x:c r="M326" t="str">
        <x:f>IF(L326&lt;=0,"Payée",IF(G326=0,"Impayée","Partielle"))</x:f>
        <x:v>Payée</x:v>
      </x:c>
      <x:c r="N326" t="n">
        <x:f>IF(I326="","",I326-B326)</x:f>
        <x:v>74</x:v>
      </x:c>
      <x:c r="O326" t="str">
        <x:f>IF(TRIM(C326)&lt;&gt;TRIM(H326),"Oui","Non")</x:f>
        <x:v>Non</x:v>
      </x:c>
      <x:c r="P326" t="str">
        <x:f>IFERROR(INDEX('02_REFERENTIEL_CLIENTS'!$B$2:$B$51,MATCH(TRIM(C326),'02_REFERENTIEL_CLIENTS'!$A$2:$A$51,0)),"Non trouvé")</x:f>
        <x:v>Grands comptes</x:v>
      </x:c>
      <x:c r="Q326" t="str">
        <x:f>IFERROR(INDEX('02_REFERENTIEL_CLIENTS'!$C$2:$C$51,MATCH(TRIM(C326),'02_REFERENTIEL_CLIENTS'!$A$2:$A$51,0)),"Non trouvé")</x:f>
        <x:v>France</x:v>
      </x:c>
      <x:c r="R326" t="str">
        <x:f>IF(OR(F326&lt;=0,G326&lt;0,G326&gt;F326,N326&lt;0,P326="Non trouvé"),"À vérifier","OK")</x:f>
        <x:v>OK</x:v>
      </x:c>
    </x:row>
    <x:row r="327">
      <x:c r="A327" t="str">
        <x:v>DV-2026-00326</x:v>
      </x:c>
      <x:c r="B327" s="16" t="n">
        <x:v>46170</x:v>
      </x:c>
      <x:c r="C327" t="str">
        <x:v>Client 12</x:v>
      </x:c>
      <x:c r="D327" t="str">
        <x:v>Logistique</x:v>
      </x:c>
      <x:c r="E327" t="str">
        <x:v>Pôle D</x:v>
      </x:c>
      <x:c r="F327" s="18" t="n">
        <x:v>22602.6</x:v>
      </x:c>
      <x:c r="G327" s="18" t="n">
        <x:v>22602.6</x:v>
      </x:c>
      <x:c r="H327" t="str">
        <x:v>Client 12</x:v>
      </x:c>
      <x:c r="I327" s="16" t="n">
        <x:v>46251</x:v>
      </x:c>
      <x:c r="J327" t="n">
        <x:f>YEAR(B327)</x:f>
        <x:v>2026</x:v>
      </x:c>
      <x:c r="K327" s="20" t="n">
        <x:f>DATE(YEAR(B327),MONTH(B327),1)</x:f>
        <x:v>46143</x:v>
      </x:c>
      <x:c r="L327" s="18" t="n">
        <x:f>F327-G327</x:f>
        <x:v>0</x:v>
      </x:c>
      <x:c r="M327" t="str">
        <x:f>IF(L327&lt;=0,"Payée",IF(G327=0,"Impayée","Partielle"))</x:f>
        <x:v>Payée</x:v>
      </x:c>
      <x:c r="N327" t="n">
        <x:f>IF(I327="","",I327-B327)</x:f>
        <x:v>81</x:v>
      </x:c>
      <x:c r="O327" t="str">
        <x:f>IF(TRIM(C327)&lt;&gt;TRIM(H327),"Oui","Non")</x:f>
        <x:v>Non</x:v>
      </x:c>
      <x:c r="P327" t="str">
        <x:f>IFERROR(INDEX('02_REFERENTIEL_CLIENTS'!$B$2:$B$51,MATCH(TRIM(C327),'02_REFERENTIEL_CLIENTS'!$A$2:$A$51,0)),"Non trouvé")</x:f>
        <x:v>Particuliers</x:v>
      </x:c>
      <x:c r="Q327" t="str">
        <x:f>IFERROR(INDEX('02_REFERENTIEL_CLIENTS'!$C$2:$C$51,MATCH(TRIM(C327),'02_REFERENTIEL_CLIENTS'!$A$2:$A$51,0)),"Non trouvé")</x:f>
        <x:v>International</x:v>
      </x:c>
      <x:c r="R327" t="str">
        <x:f>IF(OR(F327&lt;=0,G327&lt;0,G327&gt;F327,N327&lt;0,P327="Non trouvé"),"À vérifier","OK")</x:f>
        <x:v>OK</x:v>
      </x:c>
    </x:row>
    <x:row r="328">
      <x:c r="A328" t="str">
        <x:v>DV-2024-00327</x:v>
      </x:c>
      <x:c r="B328" s="16" t="n">
        <x:v>45399</x:v>
      </x:c>
      <x:c r="C328" t="str">
        <x:v>Client 01</x:v>
      </x:c>
      <x:c r="D328" t="str">
        <x:v>Express</x:v>
      </x:c>
      <x:c r="E328" t="str">
        <x:v>Pôle E</x:v>
      </x:c>
      <x:c r="F328" s="18" t="n">
        <x:v>1356.44</x:v>
      </x:c>
      <x:c r="G328" s="18" t="n">
        <x:v>1356.44</x:v>
      </x:c>
      <x:c r="H328" t="str">
        <x:v>Client 01</x:v>
      </x:c>
      <x:c r="I328" s="16" t="n">
        <x:v>45475</x:v>
      </x:c>
      <x:c r="J328" t="n">
        <x:f>YEAR(B328)</x:f>
        <x:v>2024</x:v>
      </x:c>
      <x:c r="K328" s="20" t="n">
        <x:f>DATE(YEAR(B328),MONTH(B328),1)</x:f>
        <x:v>45383</x:v>
      </x:c>
      <x:c r="L328" s="18" t="n">
        <x:f>F328-G328</x:f>
        <x:v>0</x:v>
      </x:c>
      <x:c r="M328" t="str">
        <x:f>IF(L328&lt;=0,"Payée",IF(G328=0,"Impayée","Partielle"))</x:f>
        <x:v>Payée</x:v>
      </x:c>
      <x:c r="N328" t="n">
        <x:f>IF(I328="","",I328-B328)</x:f>
        <x:v>76</x:v>
      </x:c>
      <x:c r="O328" t="str">
        <x:f>IF(TRIM(C328)&lt;&gt;TRIM(H328),"Oui","Non")</x:f>
        <x:v>Non</x:v>
      </x:c>
      <x:c r="P328" t="str">
        <x:f>IFERROR(INDEX('02_REFERENTIEL_CLIENTS'!$B$2:$B$51,MATCH(TRIM(C328),'02_REFERENTIEL_CLIENTS'!$A$2:$A$51,0)),"Non trouvé")</x:f>
        <x:v>Grands comptes</x:v>
      </x:c>
      <x:c r="Q328" t="str">
        <x:f>IFERROR(INDEX('02_REFERENTIEL_CLIENTS'!$C$2:$C$51,MATCH(TRIM(C328),'02_REFERENTIEL_CLIENTS'!$A$2:$A$51,0)),"Non trouvé")</x:f>
        <x:v>France</x:v>
      </x:c>
      <x:c r="R328" t="str">
        <x:f>IF(OR(F328&lt;=0,G328&lt;0,G328&gt;F328,N328&lt;0,P328="Non trouvé"),"À vérifier","OK")</x:f>
        <x:v>OK</x:v>
      </x:c>
    </x:row>
    <x:row r="329">
      <x:c r="A329" t="str">
        <x:v>DV-2025-00328</x:v>
      </x:c>
      <x:c r="B329" s="16" t="n">
        <x:v>45868</x:v>
      </x:c>
      <x:c r="C329" t="str">
        <x:v>Client 37</x:v>
      </x:c>
      <x:c r="D329" t="str">
        <x:v>Express</x:v>
      </x:c>
      <x:c r="E329" t="str">
        <x:v>Pôle E</x:v>
      </x:c>
      <x:c r="F329" s="18" t="n">
        <x:v>13234.59</x:v>
      </x:c>
      <x:c r="G329" s="18" t="n">
        <x:v>13234.59</x:v>
      </x:c>
      <x:c r="H329" t="str">
        <x:v>Client 37</x:v>
      </x:c>
      <x:c r="I329" s="16" t="n">
        <x:v>45884</x:v>
      </x:c>
      <x:c r="J329" t="n">
        <x:f>YEAR(B329)</x:f>
        <x:v>2025</x:v>
      </x:c>
      <x:c r="K329" s="20" t="n">
        <x:f>DATE(YEAR(B329),MONTH(B329),1)</x:f>
        <x:v>45839</x:v>
      </x:c>
      <x:c r="L329" s="18" t="n">
        <x:f>F329-G329</x:f>
        <x:v>0</x:v>
      </x:c>
      <x:c r="M329" t="str">
        <x:f>IF(L329&lt;=0,"Payée",IF(G329=0,"Impayée","Partielle"))</x:f>
        <x:v>Payée</x:v>
      </x:c>
      <x:c r="N329" t="n">
        <x:f>IF(I329="","",I329-B329)</x:f>
        <x:v>16</x:v>
      </x:c>
      <x:c r="O329" t="str">
        <x:f>IF(TRIM(C329)&lt;&gt;TRIM(H329),"Oui","Non")</x:f>
        <x:v>Non</x:v>
      </x:c>
      <x:c r="P329" t="str">
        <x:f>IFERROR(INDEX('02_REFERENTIEL_CLIENTS'!$B$2:$B$51,MATCH(TRIM(C329),'02_REFERENTIEL_CLIENTS'!$A$2:$A$51,0)),"Non trouvé")</x:f>
        <x:v>Grands comptes</x:v>
      </x:c>
      <x:c r="Q329" t="str">
        <x:f>IFERROR(INDEX('02_REFERENTIEL_CLIENTS'!$C$2:$C$51,MATCH(TRIM(C329),'02_REFERENTIEL_CLIENTS'!$A$2:$A$51,0)),"Non trouvé")</x:f>
        <x:v>France</x:v>
      </x:c>
      <x:c r="R329" t="str">
        <x:f>IF(OR(F329&lt;=0,G329&lt;0,G329&gt;F329,N329&lt;0,P329="Non trouvé"),"À vérifier","OK")</x:f>
        <x:v>OK</x:v>
      </x:c>
    </x:row>
    <x:row r="330">
      <x:c r="A330" t="str">
        <x:v>DV-2025-00329</x:v>
      </x:c>
      <x:c r="B330" s="16" t="n">
        <x:v>45955</x:v>
      </x:c>
      <x:c r="C330" t="str">
        <x:v>Client 31</x:v>
      </x:c>
      <x:c r="D330" t="str">
        <x:v>Logistique</x:v>
      </x:c>
      <x:c r="E330" t="str">
        <x:v>Pôle E</x:v>
      </x:c>
      <x:c r="F330" s="18" t="n">
        <x:v>7884.04</x:v>
      </x:c>
      <x:c r="G330" s="18" t="n">
        <x:v>7884.04</x:v>
      </x:c>
      <x:c r="H330" t="str">
        <x:v>Client 31</x:v>
      </x:c>
      <x:c r="I330" s="16" t="n">
        <x:v>46030</x:v>
      </x:c>
      <x:c r="J330" t="n">
        <x:f>YEAR(B330)</x:f>
        <x:v>2025</x:v>
      </x:c>
      <x:c r="K330" s="20" t="n">
        <x:f>DATE(YEAR(B330),MONTH(B330),1)</x:f>
        <x:v>45931</x:v>
      </x:c>
      <x:c r="L330" s="18" t="n">
        <x:f>F330-G330</x:f>
        <x:v>0</x:v>
      </x:c>
      <x:c r="M330" t="str">
        <x:f>IF(L330&lt;=0,"Payée",IF(G330=0,"Impayée","Partielle"))</x:f>
        <x:v>Payée</x:v>
      </x:c>
      <x:c r="N330" t="n">
        <x:f>IF(I330="","",I330-B330)</x:f>
        <x:v>75</x:v>
      </x:c>
      <x:c r="O330" t="str">
        <x:f>IF(TRIM(C330)&lt;&gt;TRIM(H330),"Oui","Non")</x:f>
        <x:v>Non</x:v>
      </x:c>
      <x:c r="P330" t="str">
        <x:f>IFERROR(INDEX('02_REFERENTIEL_CLIENTS'!$B$2:$B$51,MATCH(TRIM(C330),'02_REFERENTIEL_CLIENTS'!$A$2:$A$51,0)),"Non trouvé")</x:f>
        <x:v>Grands comptes</x:v>
      </x:c>
      <x:c r="Q330" t="str">
        <x:f>IFERROR(INDEX('02_REFERENTIEL_CLIENTS'!$C$2:$C$51,MATCH(TRIM(C330),'02_REFERENTIEL_CLIENTS'!$A$2:$A$51,0)),"Non trouvé")</x:f>
        <x:v>France</x:v>
      </x:c>
      <x:c r="R330" t="str">
        <x:f>IF(OR(F330&lt;=0,G330&lt;0,G330&gt;F330,N330&lt;0,P330="Non trouvé"),"À vérifier","OK")</x:f>
        <x:v>OK</x:v>
      </x:c>
    </x:row>
    <x:row r="331">
      <x:c r="A331" t="str">
        <x:v>DV-2026-00330</x:v>
      </x:c>
      <x:c r="B331" s="16" t="n">
        <x:v>46148</x:v>
      </x:c>
      <x:c r="C331" t="str">
        <x:v>Client 02</x:v>
      </x:c>
      <x:c r="D331" t="str">
        <x:v>Logistique</x:v>
      </x:c>
      <x:c r="E331" t="str">
        <x:v>Pôle A</x:v>
      </x:c>
      <x:c r="F331" s="18" t="n">
        <x:v>8380.75</x:v>
      </x:c>
      <x:c r="G331" s="18" t="n">
        <x:v>8380.75</x:v>
      </x:c>
      <x:c r="H331" t="str">
        <x:v>Client 02</x:v>
      </x:c>
      <x:c r="I331" s="16" t="n">
        <x:v>46237</x:v>
      </x:c>
      <x:c r="J331" t="n">
        <x:f>YEAR(B331)</x:f>
        <x:v>2026</x:v>
      </x:c>
      <x:c r="K331" s="20" t="n">
        <x:f>DATE(YEAR(B331),MONTH(B331),1)</x:f>
        <x:v>46143</x:v>
      </x:c>
      <x:c r="L331" s="18" t="n">
        <x:f>F331-G331</x:f>
        <x:v>0</x:v>
      </x:c>
      <x:c r="M331" t="str">
        <x:f>IF(L331&lt;=0,"Payée",IF(G331=0,"Impayée","Partielle"))</x:f>
        <x:v>Payée</x:v>
      </x:c>
      <x:c r="N331" t="n">
        <x:f>IF(I331="","",I331-B331)</x:f>
        <x:v>89</x:v>
      </x:c>
      <x:c r="O331" t="str">
        <x:f>IF(TRIM(C331)&lt;&gt;TRIM(H331),"Oui","Non")</x:f>
        <x:v>Non</x:v>
      </x:c>
      <x:c r="P331" t="str">
        <x:f>IFERROR(INDEX('02_REFERENTIEL_CLIENTS'!$B$2:$B$51,MATCH(TRIM(C331),'02_REFERENTIEL_CLIENTS'!$A$2:$A$51,0)),"Non trouvé")</x:f>
        <x:v>PME</x:v>
      </x:c>
      <x:c r="Q331" t="str">
        <x:f>IFERROR(INDEX('02_REFERENTIEL_CLIENTS'!$C$2:$C$51,MATCH(TRIM(C331),'02_REFERENTIEL_CLIENTS'!$A$2:$A$51,0)),"Non trouvé")</x:f>
        <x:v>Europe</x:v>
      </x:c>
      <x:c r="R331" t="str">
        <x:f>IF(OR(F331&lt;=0,G331&lt;0,G331&gt;F331,N331&lt;0,P331="Non trouvé"),"À vérifier","OK")</x:f>
        <x:v>OK</x:v>
      </x:c>
    </x:row>
    <x:row r="332">
      <x:c r="A332" t="str">
        <x:v>DV-2024-00331</x:v>
      </x:c>
      <x:c r="B332" s="16" t="n">
        <x:v>45539</x:v>
      </x:c>
      <x:c r="C332" t="str">
        <x:v>Client 03</x:v>
      </x:c>
      <x:c r="D332" t="str">
        <x:v>Fret aérien</x:v>
      </x:c>
      <x:c r="E332" t="str">
        <x:v>Pôle A</x:v>
      </x:c>
      <x:c r="F332" s="18" t="n">
        <x:v>2811.48</x:v>
      </x:c>
      <x:c r="G332" s="18" t="n">
        <x:v>2811.48</x:v>
      </x:c>
      <x:c r="H332" t="str">
        <x:v>Client 03</x:v>
      </x:c>
      <x:c r="I332" s="16" t="n">
        <x:v>45571</x:v>
      </x:c>
      <x:c r="J332" t="n">
        <x:f>YEAR(B332)</x:f>
        <x:v>2024</x:v>
      </x:c>
      <x:c r="K332" s="20" t="n">
        <x:f>DATE(YEAR(B332),MONTH(B332),1)</x:f>
        <x:v>45536</x:v>
      </x:c>
      <x:c r="L332" s="18" t="n">
        <x:f>F332-G332</x:f>
        <x:v>0</x:v>
      </x:c>
      <x:c r="M332" t="str">
        <x:f>IF(L332&lt;=0,"Payée",IF(G332=0,"Impayée","Partielle"))</x:f>
        <x:v>Payée</x:v>
      </x:c>
      <x:c r="N332" t="n">
        <x:f>IF(I332="","",I332-B332)</x:f>
        <x:v>32</x:v>
      </x:c>
      <x:c r="O332" t="str">
        <x:f>IF(TRIM(C332)&lt;&gt;TRIM(H332),"Oui","Non")</x:f>
        <x:v>Non</x:v>
      </x:c>
      <x:c r="P332" t="str">
        <x:f>IFERROR(INDEX('02_REFERENTIEL_CLIENTS'!$B$2:$B$51,MATCH(TRIM(C332),'02_REFERENTIEL_CLIENTS'!$A$2:$A$51,0)),"Non trouvé")</x:f>
        <x:v>Particuliers</x:v>
      </x:c>
      <x:c r="Q332" t="str">
        <x:f>IFERROR(INDEX('02_REFERENTIEL_CLIENTS'!$C$2:$C$51,MATCH(TRIM(C332),'02_REFERENTIEL_CLIENTS'!$A$2:$A$51,0)),"Non trouvé")</x:f>
        <x:v>International</x:v>
      </x:c>
      <x:c r="R332" t="str">
        <x:f>IF(OR(F332&lt;=0,G332&lt;0,G332&gt;F332,N332&lt;0,P332="Non trouvé"),"À vérifier","OK")</x:f>
        <x:v>OK</x:v>
      </x:c>
    </x:row>
    <x:row r="333">
      <x:c r="A333" t="str">
        <x:v>DV-2025-00332</x:v>
      </x:c>
      <x:c r="B333" s="16" t="n">
        <x:v>45974</x:v>
      </x:c>
      <x:c r="C333" t="str">
        <x:v>Client 22</x:v>
      </x:c>
      <x:c r="D333" t="str">
        <x:v>Express</x:v>
      </x:c>
      <x:c r="E333" t="str">
        <x:v>Pôle C</x:v>
      </x:c>
      <x:c r="F333" s="18" t="n">
        <x:v>10576.65</x:v>
      </x:c>
      <x:c r="G333" s="18" t="n">
        <x:v>10576.65</x:v>
      </x:c>
      <x:c r="H333" t="str">
        <x:v>Client 22</x:v>
      </x:c>
      <x:c r="I333" s="16" t="n">
        <x:v>46039</x:v>
      </x:c>
      <x:c r="J333" t="n">
        <x:f>YEAR(B333)</x:f>
        <x:v>2025</x:v>
      </x:c>
      <x:c r="K333" s="20" t="n">
        <x:f>DATE(YEAR(B333),MONTH(B333),1)</x:f>
        <x:v>45962</x:v>
      </x:c>
      <x:c r="L333" s="18" t="n">
        <x:f>F333-G333</x:f>
        <x:v>0</x:v>
      </x:c>
      <x:c r="M333" t="str">
        <x:f>IF(L333&lt;=0,"Payée",IF(G333=0,"Impayée","Partielle"))</x:f>
        <x:v>Payée</x:v>
      </x:c>
      <x:c r="N333" t="n">
        <x:f>IF(I333="","",I333-B333)</x:f>
        <x:v>65</x:v>
      </x:c>
      <x:c r="O333" t="str">
        <x:f>IF(TRIM(C333)&lt;&gt;TRIM(H333),"Oui","Non")</x:f>
        <x:v>Non</x:v>
      </x:c>
      <x:c r="P333" t="str">
        <x:f>IFERROR(INDEX('02_REFERENTIEL_CLIENTS'!$B$2:$B$51,MATCH(TRIM(C333),'02_REFERENTIEL_CLIENTS'!$A$2:$A$51,0)),"Non trouvé")</x:f>
        <x:v>Grands comptes</x:v>
      </x:c>
      <x:c r="Q333" t="str">
        <x:f>IFERROR(INDEX('02_REFERENTIEL_CLIENTS'!$C$2:$C$51,MATCH(TRIM(C333),'02_REFERENTIEL_CLIENTS'!$A$2:$A$51,0)),"Non trouvé")</x:f>
        <x:v>France</x:v>
      </x:c>
      <x:c r="R333" t="str">
        <x:f>IF(OR(F333&lt;=0,G333&lt;0,G333&gt;F333,N333&lt;0,P333="Non trouvé"),"À vérifier","OK")</x:f>
        <x:v>OK</x:v>
      </x:c>
    </x:row>
    <x:row r="334">
      <x:c r="A334" t="str">
        <x:v>DV-2024-00333</x:v>
      </x:c>
      <x:c r="B334" s="16" t="n">
        <x:v>45556</x:v>
      </x:c>
      <x:c r="C334" t="str">
        <x:v>Client 20</x:v>
      </x:c>
      <x:c r="D334" t="str">
        <x:v>Fret maritime</x:v>
      </x:c>
      <x:c r="E334" t="str">
        <x:v>Pôle D</x:v>
      </x:c>
      <x:c r="F334" s="18" t="n">
        <x:v>7908.15</x:v>
      </x:c>
      <x:c r="G334" s="18" t="n">
        <x:v>0</x:v>
      </x:c>
      <x:c r="H334" t="str">
        <x:v>Client 20</x:v>
      </x:c>
      <x:c r="I334" s="16"/>
      <x:c r="J334" t="n">
        <x:f>YEAR(B334)</x:f>
        <x:v>2024</x:v>
      </x:c>
      <x:c r="K334" s="20" t="n">
        <x:f>DATE(YEAR(B334),MONTH(B334),1)</x:f>
        <x:v>45536</x:v>
      </x:c>
      <x:c r="L334" s="18" t="n">
        <x:f>F334-G334</x:f>
        <x:v>7908.15</x:v>
      </x:c>
      <x:c r="M334" t="str">
        <x:f>IF(L334&lt;=0,"Payée",IF(G334=0,"Impayée","Partielle"))</x:f>
        <x:v>Impayée</x:v>
      </x:c>
      <x:c r="N334" t="str">
        <x:f>IF(I334="","",I334-B334)</x:f>
      </x:c>
      <x:c r="O334" t="str">
        <x:f>IF(TRIM(C334)&lt;&gt;TRIM(H334),"Oui","Non")</x:f>
        <x:v>Non</x:v>
      </x:c>
      <x:c r="P334" t="str">
        <x:f>IFERROR(INDEX('02_REFERENTIEL_CLIENTS'!$B$2:$B$51,MATCH(TRIM(C334),'02_REFERENTIEL_CLIENTS'!$A$2:$A$51,0)),"Non trouvé")</x:f>
        <x:v>PME</x:v>
      </x:c>
      <x:c r="Q334" t="str">
        <x:f>IFERROR(INDEX('02_REFERENTIEL_CLIENTS'!$C$2:$C$51,MATCH(TRIM(C334),'02_REFERENTIEL_CLIENTS'!$A$2:$A$51,0)),"Non trouvé")</x:f>
        <x:v>Europe</x:v>
      </x:c>
      <x:c r="R334" t="str">
        <x:f>IF(OR(F334&lt;=0,G334&lt;0,G334&gt;F334,N334&lt;0,P334="Non trouvé"),"À vérifier","OK")</x:f>
        <x:v>OK</x:v>
      </x:c>
    </x:row>
    <x:row r="335">
      <x:c r="A335" t="str">
        <x:v>DV-2026-00334</x:v>
      </x:c>
      <x:c r="B335" s="16" t="n">
        <x:v>46259</x:v>
      </x:c>
      <x:c r="C335" t="str">
        <x:v>Client 22</x:v>
      </x:c>
      <x:c r="D335" t="str">
        <x:v>Fret maritime</x:v>
      </x:c>
      <x:c r="E335" t="str">
        <x:v>Pôle B</x:v>
      </x:c>
      <x:c r="F335" s="18" t="n">
        <x:v>4301.85</x:v>
      </x:c>
      <x:c r="G335" s="18" t="n">
        <x:v>4301.85</x:v>
      </x:c>
      <x:c r="H335" t="str">
        <x:v>Client 22</x:v>
      </x:c>
      <x:c r="I335" s="16" t="n">
        <x:v>46273</x:v>
      </x:c>
      <x:c r="J335" t="n">
        <x:f>YEAR(B335)</x:f>
        <x:v>2026</x:v>
      </x:c>
      <x:c r="K335" s="20" t="n">
        <x:f>DATE(YEAR(B335),MONTH(B335),1)</x:f>
        <x:v>46235</x:v>
      </x:c>
      <x:c r="L335" s="18" t="n">
        <x:f>F335-G335</x:f>
        <x:v>0</x:v>
      </x:c>
      <x:c r="M335" t="str">
        <x:f>IF(L335&lt;=0,"Payée",IF(G335=0,"Impayée","Partielle"))</x:f>
        <x:v>Payée</x:v>
      </x:c>
      <x:c r="N335" t="n">
        <x:f>IF(I335="","",I335-B335)</x:f>
        <x:v>14</x:v>
      </x:c>
      <x:c r="O335" t="str">
        <x:f>IF(TRIM(C335)&lt;&gt;TRIM(H335),"Oui","Non")</x:f>
        <x:v>Non</x:v>
      </x:c>
      <x:c r="P335" t="str">
        <x:f>IFERROR(INDEX('02_REFERENTIEL_CLIENTS'!$B$2:$B$51,MATCH(TRIM(C335),'02_REFERENTIEL_CLIENTS'!$A$2:$A$51,0)),"Non trouvé")</x:f>
        <x:v>Grands comptes</x:v>
      </x:c>
      <x:c r="Q335" t="str">
        <x:f>IFERROR(INDEX('02_REFERENTIEL_CLIENTS'!$C$2:$C$51,MATCH(TRIM(C335),'02_REFERENTIEL_CLIENTS'!$A$2:$A$51,0)),"Non trouvé")</x:f>
        <x:v>France</x:v>
      </x:c>
      <x:c r="R335" t="str">
        <x:f>IF(OR(F335&lt;=0,G335&lt;0,G335&gt;F335,N335&lt;0,P335="Non trouvé"),"À vérifier","OK")</x:f>
        <x:v>OK</x:v>
      </x:c>
    </x:row>
    <x:row r="336">
      <x:c r="A336" t="str">
        <x:v>DV-2024-00335</x:v>
      </x:c>
      <x:c r="B336" s="16" t="n">
        <x:v>45420</x:v>
      </x:c>
      <x:c r="C336" t="str">
        <x:v>Client 35</x:v>
      </x:c>
      <x:c r="D336" t="str">
        <x:v>Douane</x:v>
      </x:c>
      <x:c r="E336" t="str">
        <x:v>Pôle C</x:v>
      </x:c>
      <x:c r="F336" s="18" t="n">
        <x:v>9535.52</x:v>
      </x:c>
      <x:c r="G336" s="18" t="n">
        <x:v>9535.52</x:v>
      </x:c>
      <x:c r="H336" t="str">
        <x:v>Client 17</x:v>
      </x:c>
      <x:c r="I336" s="16" t="n">
        <x:v>45484</x:v>
      </x:c>
      <x:c r="J336" t="n">
        <x:f>YEAR(B336)</x:f>
        <x:v>2024</x:v>
      </x:c>
      <x:c r="K336" s="20" t="n">
        <x:f>DATE(YEAR(B336),MONTH(B336),1)</x:f>
        <x:v>45413</x:v>
      </x:c>
      <x:c r="L336" s="18" t="n">
        <x:f>F336-G336</x:f>
        <x:v>0</x:v>
      </x:c>
      <x:c r="M336" t="str">
        <x:f>IF(L336&lt;=0,"Payée",IF(G336=0,"Impayée","Partielle"))</x:f>
        <x:v>Payée</x:v>
      </x:c>
      <x:c r="N336" t="n">
        <x:f>IF(I336="","",I336-B336)</x:f>
        <x:v>64</x:v>
      </x:c>
      <x:c r="O336" t="str">
        <x:f>IF(TRIM(C336)&lt;&gt;TRIM(H336),"Oui","Non")</x:f>
        <x:v>Oui</x:v>
      </x:c>
      <x:c r="P336" t="str">
        <x:f>IFERROR(INDEX('02_REFERENTIEL_CLIENTS'!$B$2:$B$51,MATCH(TRIM(C336),'02_REFERENTIEL_CLIENTS'!$A$2:$A$51,0)),"Non trouvé")</x:f>
        <x:v>PME</x:v>
      </x:c>
      <x:c r="Q336" t="str">
        <x:f>IFERROR(INDEX('02_REFERENTIEL_CLIENTS'!$C$2:$C$51,MATCH(TRIM(C336),'02_REFERENTIEL_CLIENTS'!$A$2:$A$51,0)),"Non trouvé")</x:f>
        <x:v>Europe</x:v>
      </x:c>
      <x:c r="R336" t="str">
        <x:f>IF(OR(F336&lt;=0,G336&lt;0,G336&gt;F336,N336&lt;0,P336="Non trouvé"),"À vérifier","OK")</x:f>
        <x:v>OK</x:v>
      </x:c>
    </x:row>
    <x:row r="337">
      <x:c r="A337" t="str">
        <x:v>DV-2025-00336</x:v>
      </x:c>
      <x:c r="B337" s="16" t="n">
        <x:v>45765</x:v>
      </x:c>
      <x:c r="C337" t="str">
        <x:v>Client 11</x:v>
      </x:c>
      <x:c r="D337" t="str">
        <x:v>Douane</x:v>
      </x:c>
      <x:c r="E337" t="str">
        <x:v>Pôle C</x:v>
      </x:c>
      <x:c r="F337" s="18" t="n">
        <x:v>18767.71</x:v>
      </x:c>
      <x:c r="G337" s="18" t="n">
        <x:v>18767.71</x:v>
      </x:c>
      <x:c r="H337" t="str">
        <x:v>Client 11</x:v>
      </x:c>
      <x:c r="I337" s="16" t="n">
        <x:v>45814</x:v>
      </x:c>
      <x:c r="J337" t="n">
        <x:f>YEAR(B337)</x:f>
        <x:v>2025</x:v>
      </x:c>
      <x:c r="K337" s="20" t="n">
        <x:f>DATE(YEAR(B337),MONTH(B337),1)</x:f>
        <x:v>45748</x:v>
      </x:c>
      <x:c r="L337" s="18" t="n">
        <x:f>F337-G337</x:f>
        <x:v>0</x:v>
      </x:c>
      <x:c r="M337" t="str">
        <x:f>IF(L337&lt;=0,"Payée",IF(G337=0,"Impayée","Partielle"))</x:f>
        <x:v>Payée</x:v>
      </x:c>
      <x:c r="N337" t="n">
        <x:f>IF(I337="","",I337-B337)</x:f>
        <x:v>49</x:v>
      </x:c>
      <x:c r="O337" t="str">
        <x:f>IF(TRIM(C337)&lt;&gt;TRIM(H337),"Oui","Non")</x:f>
        <x:v>Non</x:v>
      </x:c>
      <x:c r="P337" t="str">
        <x:f>IFERROR(INDEX('02_REFERENTIEL_CLIENTS'!$B$2:$B$51,MATCH(TRIM(C337),'02_REFERENTIEL_CLIENTS'!$A$2:$A$51,0)),"Non trouvé")</x:f>
        <x:v>PME</x:v>
      </x:c>
      <x:c r="Q337" t="str">
        <x:f>IFERROR(INDEX('02_REFERENTIEL_CLIENTS'!$C$2:$C$51,MATCH(TRIM(C337),'02_REFERENTIEL_CLIENTS'!$A$2:$A$51,0)),"Non trouvé")</x:f>
        <x:v>Europe</x:v>
      </x:c>
      <x:c r="R337" t="str">
        <x:f>IF(OR(F337&lt;=0,G337&lt;0,G337&gt;F337,N337&lt;0,P337="Non trouvé"),"À vérifier","OK")</x:f>
        <x:v>OK</x:v>
      </x:c>
    </x:row>
    <x:row r="338">
      <x:c r="A338" t="str">
        <x:v>DV-2024-00337</x:v>
      </x:c>
      <x:c r="B338" s="16" t="n">
        <x:v>45634</x:v>
      </x:c>
      <x:c r="C338" t="str">
        <x:v>Client 43</x:v>
      </x:c>
      <x:c r="D338" t="str">
        <x:v>Douane</x:v>
      </x:c>
      <x:c r="E338" t="str">
        <x:v>Pôle A</x:v>
      </x:c>
      <x:c r="F338" s="18" t="n">
        <x:v>24455.49</x:v>
      </x:c>
      <x:c r="G338" s="18" t="n">
        <x:v>24455.49</x:v>
      </x:c>
      <x:c r="H338" t="str">
        <x:v>Client 43</x:v>
      </x:c>
      <x:c r="I338" s="16" t="n">
        <x:v>45697</x:v>
      </x:c>
      <x:c r="J338" t="n">
        <x:f>YEAR(B338)</x:f>
        <x:v>2024</x:v>
      </x:c>
      <x:c r="K338" s="20" t="n">
        <x:f>DATE(YEAR(B338),MONTH(B338),1)</x:f>
        <x:v>45627</x:v>
      </x:c>
      <x:c r="L338" s="18" t="n">
        <x:f>F338-G338</x:f>
        <x:v>0</x:v>
      </x:c>
      <x:c r="M338" t="str">
        <x:f>IF(L338&lt;=0,"Payée",IF(G338=0,"Impayée","Partielle"))</x:f>
        <x:v>Payée</x:v>
      </x:c>
      <x:c r="N338" t="n">
        <x:f>IF(I338="","",I338-B338)</x:f>
        <x:v>63</x:v>
      </x:c>
      <x:c r="O338" t="str">
        <x:f>IF(TRIM(C338)&lt;&gt;TRIM(H338),"Oui","Non")</x:f>
        <x:v>Non</x:v>
      </x:c>
      <x:c r="P338" t="str">
        <x:f>IFERROR(INDEX('02_REFERENTIEL_CLIENTS'!$B$2:$B$51,MATCH(TRIM(C338),'02_REFERENTIEL_CLIENTS'!$A$2:$A$51,0)),"Non trouvé")</x:f>
        <x:v>Grands comptes</x:v>
      </x:c>
      <x:c r="Q338" t="str">
        <x:f>IFERROR(INDEX('02_REFERENTIEL_CLIENTS'!$C$2:$C$51,MATCH(TRIM(C338),'02_REFERENTIEL_CLIENTS'!$A$2:$A$51,0)),"Non trouvé")</x:f>
        <x:v>France</x:v>
      </x:c>
      <x:c r="R338" t="str">
        <x:f>IF(OR(F338&lt;=0,G338&lt;0,G338&gt;F338,N338&lt;0,P338="Non trouvé"),"À vérifier","OK")</x:f>
        <x:v>OK</x:v>
      </x:c>
    </x:row>
    <x:row r="339">
      <x:c r="A339" t="str">
        <x:v>DV-2024-00338</x:v>
      </x:c>
      <x:c r="B339" s="16" t="n">
        <x:v>45378</x:v>
      </x:c>
      <x:c r="C339" t="str">
        <x:v>Client 07</x:v>
      </x:c>
      <x:c r="D339" t="str">
        <x:v>Logistique</x:v>
      </x:c>
      <x:c r="E339" t="str">
        <x:v>Pôle D</x:v>
      </x:c>
      <x:c r="F339" s="18" t="n">
        <x:v>4035.32</x:v>
      </x:c>
      <x:c r="G339" s="18" t="n">
        <x:v>4035.32</x:v>
      </x:c>
      <x:c r="H339" t="str">
        <x:v>Client 07</x:v>
      </x:c>
      <x:c r="I339" s="16" t="n">
        <x:v>45447</x:v>
      </x:c>
      <x:c r="J339" t="n">
        <x:f>YEAR(B339)</x:f>
        <x:v>2024</x:v>
      </x:c>
      <x:c r="K339" s="20" t="n">
        <x:f>DATE(YEAR(B339),MONTH(B339),1)</x:f>
        <x:v>45352</x:v>
      </x:c>
      <x:c r="L339" s="18" t="n">
        <x:f>F339-G339</x:f>
        <x:v>0</x:v>
      </x:c>
      <x:c r="M339" t="str">
        <x:f>IF(L339&lt;=0,"Payée",IF(G339=0,"Impayée","Partielle"))</x:f>
        <x:v>Payée</x:v>
      </x:c>
      <x:c r="N339" t="n">
        <x:f>IF(I339="","",I339-B339)</x:f>
        <x:v>69</x:v>
      </x:c>
      <x:c r="O339" t="str">
        <x:f>IF(TRIM(C339)&lt;&gt;TRIM(H339),"Oui","Non")</x:f>
        <x:v>Non</x:v>
      </x:c>
      <x:c r="P339" t="str">
        <x:f>IFERROR(INDEX('02_REFERENTIEL_CLIENTS'!$B$2:$B$51,MATCH(TRIM(C339),'02_REFERENTIEL_CLIENTS'!$A$2:$A$51,0)),"Non trouvé")</x:f>
        <x:v>Grands comptes</x:v>
      </x:c>
      <x:c r="Q339" t="str">
        <x:f>IFERROR(INDEX('02_REFERENTIEL_CLIENTS'!$C$2:$C$51,MATCH(TRIM(C339),'02_REFERENTIEL_CLIENTS'!$A$2:$A$51,0)),"Non trouvé")</x:f>
        <x:v>France</x:v>
      </x:c>
      <x:c r="R339" t="str">
        <x:f>IF(OR(F339&lt;=0,G339&lt;0,G339&gt;F339,N339&lt;0,P339="Non trouvé"),"À vérifier","OK")</x:f>
        <x:v>OK</x:v>
      </x:c>
    </x:row>
    <x:row r="340">
      <x:c r="A340" t="str">
        <x:v>DV-2025-00339</x:v>
      </x:c>
      <x:c r="B340" s="16" t="n">
        <x:v>45829</x:v>
      </x:c>
      <x:c r="C340" t="str">
        <x:v>Client 14</x:v>
      </x:c>
      <x:c r="D340" t="str">
        <x:v>Express</x:v>
      </x:c>
      <x:c r="E340" t="str">
        <x:v>Pôle C</x:v>
      </x:c>
      <x:c r="F340" s="18" t="n">
        <x:v>16532.75</x:v>
      </x:c>
      <x:c r="G340" s="18" t="n">
        <x:v>16532.75</x:v>
      </x:c>
      <x:c r="H340" t="str">
        <x:v>Client 09</x:v>
      </x:c>
      <x:c r="I340" s="16" t="n">
        <x:v>45870</x:v>
      </x:c>
      <x:c r="J340" t="n">
        <x:f>YEAR(B340)</x:f>
        <x:v>2025</x:v>
      </x:c>
      <x:c r="K340" s="20" t="n">
        <x:f>DATE(YEAR(B340),MONTH(B340),1)</x:f>
        <x:v>45809</x:v>
      </x:c>
      <x:c r="L340" s="18" t="n">
        <x:f>F340-G340</x:f>
        <x:v>0</x:v>
      </x:c>
      <x:c r="M340" t="str">
        <x:f>IF(L340&lt;=0,"Payée",IF(G340=0,"Impayée","Partielle"))</x:f>
        <x:v>Payée</x:v>
      </x:c>
      <x:c r="N340" t="n">
        <x:f>IF(I340="","",I340-B340)</x:f>
        <x:v>41</x:v>
      </x:c>
      <x:c r="O340" t="str">
        <x:f>IF(TRIM(C340)&lt;&gt;TRIM(H340),"Oui","Non")</x:f>
        <x:v>Oui</x:v>
      </x:c>
      <x:c r="P340" t="str">
        <x:f>IFERROR(INDEX('02_REFERENTIEL_CLIENTS'!$B$2:$B$51,MATCH(TRIM(C340),'02_REFERENTIEL_CLIENTS'!$A$2:$A$51,0)),"Non trouvé")</x:f>
        <x:v>PME</x:v>
      </x:c>
      <x:c r="Q340" t="str">
        <x:f>IFERROR(INDEX('02_REFERENTIEL_CLIENTS'!$C$2:$C$51,MATCH(TRIM(C340),'02_REFERENTIEL_CLIENTS'!$A$2:$A$51,0)),"Non trouvé")</x:f>
        <x:v>Europe</x:v>
      </x:c>
      <x:c r="R340" t="str">
        <x:f>IF(OR(F340&lt;=0,G340&lt;0,G340&gt;F340,N340&lt;0,P340="Non trouvé"),"À vérifier","OK")</x:f>
        <x:v>OK</x:v>
      </x:c>
    </x:row>
    <x:row r="341">
      <x:c r="A341" t="str">
        <x:v>DV-2026-00340</x:v>
      </x:c>
      <x:c r="B341" s="16" t="n">
        <x:v>46244</x:v>
      </x:c>
      <x:c r="C341" t="str">
        <x:v>Client 39</x:v>
      </x:c>
      <x:c r="D341" t="str">
        <x:v>Logistique</x:v>
      </x:c>
      <x:c r="E341" t="str">
        <x:v>Pôle B</x:v>
      </x:c>
      <x:c r="F341" s="18" t="n">
        <x:v>6779.72</x:v>
      </x:c>
      <x:c r="G341" s="18" t="n">
        <x:v>6779.72</x:v>
      </x:c>
      <x:c r="H341" t="str">
        <x:v>Client 39</x:v>
      </x:c>
      <x:c r="I341" s="16" t="n">
        <x:v>46325</x:v>
      </x:c>
      <x:c r="J341" t="n">
        <x:f>YEAR(B341)</x:f>
        <x:v>2026</x:v>
      </x:c>
      <x:c r="K341" s="20" t="n">
        <x:f>DATE(YEAR(B341),MONTH(B341),1)</x:f>
        <x:v>46235</x:v>
      </x:c>
      <x:c r="L341" s="18" t="n">
        <x:f>F341-G341</x:f>
        <x:v>0</x:v>
      </x:c>
      <x:c r="M341" t="str">
        <x:f>IF(L341&lt;=0,"Payée",IF(G341=0,"Impayée","Partielle"))</x:f>
        <x:v>Payée</x:v>
      </x:c>
      <x:c r="N341" t="n">
        <x:f>IF(I341="","",I341-B341)</x:f>
        <x:v>81</x:v>
      </x:c>
      <x:c r="O341" t="str">
        <x:f>IF(TRIM(C341)&lt;&gt;TRIM(H341),"Oui","Non")</x:f>
        <x:v>Non</x:v>
      </x:c>
      <x:c r="P341" t="str">
        <x:f>IFERROR(INDEX('02_REFERENTIEL_CLIENTS'!$B$2:$B$51,MATCH(TRIM(C341),'02_REFERENTIEL_CLIENTS'!$A$2:$A$51,0)),"Non trouvé")</x:f>
        <x:v>Particuliers</x:v>
      </x:c>
      <x:c r="Q341" t="str">
        <x:f>IFERROR(INDEX('02_REFERENTIEL_CLIENTS'!$C$2:$C$51,MATCH(TRIM(C341),'02_REFERENTIEL_CLIENTS'!$A$2:$A$51,0)),"Non trouvé")</x:f>
        <x:v>International</x:v>
      </x:c>
      <x:c r="R341" t="str">
        <x:f>IF(OR(F341&lt;=0,G341&lt;0,G341&gt;F341,N341&lt;0,P341="Non trouvé"),"À vérifier","OK")</x:f>
        <x:v>OK</x:v>
      </x:c>
    </x:row>
    <x:row r="342">
      <x:c r="A342" t="str">
        <x:v>DV-2024-00341</x:v>
      </x:c>
      <x:c r="B342" s="16" t="n">
        <x:v>45481</x:v>
      </x:c>
      <x:c r="C342" t="str">
        <x:v>Client 28</x:v>
      </x:c>
      <x:c r="D342" t="str">
        <x:v>Douane</x:v>
      </x:c>
      <x:c r="E342" t="str">
        <x:v>Pôle A</x:v>
      </x:c>
      <x:c r="F342" s="18" t="n">
        <x:v>18510.1</x:v>
      </x:c>
      <x:c r="G342" s="18" t="n">
        <x:v>18510.1</x:v>
      </x:c>
      <x:c r="H342" t="str">
        <x:v>Client 28</x:v>
      </x:c>
      <x:c r="I342" s="16" t="n">
        <x:v>45572</x:v>
      </x:c>
      <x:c r="J342" t="n">
        <x:f>YEAR(B342)</x:f>
        <x:v>2024</x:v>
      </x:c>
      <x:c r="K342" s="20" t="n">
        <x:f>DATE(YEAR(B342),MONTH(B342),1)</x:f>
        <x:v>45474</x:v>
      </x:c>
      <x:c r="L342" s="18" t="n">
        <x:f>F342-G342</x:f>
        <x:v>0</x:v>
      </x:c>
      <x:c r="M342" t="str">
        <x:f>IF(L342&lt;=0,"Payée",IF(G342=0,"Impayée","Partielle"))</x:f>
        <x:v>Payée</x:v>
      </x:c>
      <x:c r="N342" t="n">
        <x:f>IF(I342="","",I342-B342)</x:f>
        <x:v>91</x:v>
      </x:c>
      <x:c r="O342" t="str">
        <x:f>IF(TRIM(C342)&lt;&gt;TRIM(H342),"Oui","Non")</x:f>
        <x:v>Non</x:v>
      </x:c>
      <x:c r="P342" t="str">
        <x:f>IFERROR(INDEX('02_REFERENTIEL_CLIENTS'!$B$2:$B$51,MATCH(TRIM(C342),'02_REFERENTIEL_CLIENTS'!$A$2:$A$51,0)),"Non trouvé")</x:f>
        <x:v>Grands comptes</x:v>
      </x:c>
      <x:c r="Q342" t="str">
        <x:f>IFERROR(INDEX('02_REFERENTIEL_CLIENTS'!$C$2:$C$51,MATCH(TRIM(C342),'02_REFERENTIEL_CLIENTS'!$A$2:$A$51,0)),"Non trouvé")</x:f>
        <x:v>France</x:v>
      </x:c>
      <x:c r="R342" t="str">
        <x:f>IF(OR(F342&lt;=0,G342&lt;0,G342&gt;F342,N342&lt;0,P342="Non trouvé"),"À vérifier","OK")</x:f>
        <x:v>OK</x:v>
      </x:c>
    </x:row>
    <x:row r="343">
      <x:c r="A343" t="str">
        <x:v>DV-2024-00342</x:v>
      </x:c>
      <x:c r="B343" s="16" t="n">
        <x:v>45567</x:v>
      </x:c>
      <x:c r="C343" t="str">
        <x:v>Client 17</x:v>
      </x:c>
      <x:c r="D343" t="str">
        <x:v>Fret maritime</x:v>
      </x:c>
      <x:c r="E343" t="str">
        <x:v>Pôle C</x:v>
      </x:c>
      <x:c r="F343" s="18" t="n">
        <x:v>6743.54</x:v>
      </x:c>
      <x:c r="G343" s="18" t="n">
        <x:v>0</x:v>
      </x:c>
      <x:c r="H343" t="str">
        <x:v>Client 17</x:v>
      </x:c>
      <x:c r="I343" s="16"/>
      <x:c r="J343" t="n">
        <x:f>YEAR(B343)</x:f>
        <x:v>2024</x:v>
      </x:c>
      <x:c r="K343" s="20" t="n">
        <x:f>DATE(YEAR(B343),MONTH(B343),1)</x:f>
        <x:v>45566</x:v>
      </x:c>
      <x:c r="L343" s="18" t="n">
        <x:f>F343-G343</x:f>
        <x:v>6743.54</x:v>
      </x:c>
      <x:c r="M343" t="str">
        <x:f>IF(L343&lt;=0,"Payée",IF(G343=0,"Impayée","Partielle"))</x:f>
        <x:v>Impayée</x:v>
      </x:c>
      <x:c r="N343" t="str">
        <x:f>IF(I343="","",I343-B343)</x:f>
      </x:c>
      <x:c r="O343" t="str">
        <x:f>IF(TRIM(C343)&lt;&gt;TRIM(H343),"Oui","Non")</x:f>
        <x:v>Non</x:v>
      </x:c>
      <x:c r="P343" t="str">
        <x:f>IFERROR(INDEX('02_REFERENTIEL_CLIENTS'!$B$2:$B$51,MATCH(TRIM(C343),'02_REFERENTIEL_CLIENTS'!$A$2:$A$51,0)),"Non trouvé")</x:f>
        <x:v>PME</x:v>
      </x:c>
      <x:c r="Q343" t="str">
        <x:f>IFERROR(INDEX('02_REFERENTIEL_CLIENTS'!$C$2:$C$51,MATCH(TRIM(C343),'02_REFERENTIEL_CLIENTS'!$A$2:$A$51,0)),"Non trouvé")</x:f>
        <x:v>Europe</x:v>
      </x:c>
      <x:c r="R343" t="str">
        <x:f>IF(OR(F343&lt;=0,G343&lt;0,G343&gt;F343,N343&lt;0,P343="Non trouvé"),"À vérifier","OK")</x:f>
        <x:v>OK</x:v>
      </x:c>
    </x:row>
    <x:row r="344">
      <x:c r="A344" t="str">
        <x:v>DV-2026-00343</x:v>
      </x:c>
      <x:c r="B344" s="16" t="n">
        <x:v>46053</x:v>
      </x:c>
      <x:c r="C344" t="str">
        <x:v>Client 20</x:v>
      </x:c>
      <x:c r="D344" t="str">
        <x:v>Douane</x:v>
      </x:c>
      <x:c r="E344" t="str">
        <x:v>Pôle E</x:v>
      </x:c>
      <x:c r="F344" s="18" t="n">
        <x:v>18446.77</x:v>
      </x:c>
      <x:c r="G344" s="18" t="n">
        <x:v>18446.77</x:v>
      </x:c>
      <x:c r="H344" t="str">
        <x:v>Client 18</x:v>
      </x:c>
      <x:c r="I344" s="16" t="n">
        <x:v>46142</x:v>
      </x:c>
      <x:c r="J344" t="n">
        <x:f>YEAR(B344)</x:f>
        <x:v>2026</x:v>
      </x:c>
      <x:c r="K344" s="20" t="n">
        <x:f>DATE(YEAR(B344),MONTH(B344),1)</x:f>
        <x:v>46023</x:v>
      </x:c>
      <x:c r="L344" s="18" t="n">
        <x:f>F344-G344</x:f>
        <x:v>0</x:v>
      </x:c>
      <x:c r="M344" t="str">
        <x:f>IF(L344&lt;=0,"Payée",IF(G344=0,"Impayée","Partielle"))</x:f>
        <x:v>Payée</x:v>
      </x:c>
      <x:c r="N344" t="n">
        <x:f>IF(I344="","",I344-B344)</x:f>
        <x:v>89</x:v>
      </x:c>
      <x:c r="O344" t="str">
        <x:f>IF(TRIM(C344)&lt;&gt;TRIM(H344),"Oui","Non")</x:f>
        <x:v>Oui</x:v>
      </x:c>
      <x:c r="P344" t="str">
        <x:f>IFERROR(INDEX('02_REFERENTIEL_CLIENTS'!$B$2:$B$51,MATCH(TRIM(C344),'02_REFERENTIEL_CLIENTS'!$A$2:$A$51,0)),"Non trouvé")</x:f>
        <x:v>PME</x:v>
      </x:c>
      <x:c r="Q344" t="str">
        <x:f>IFERROR(INDEX('02_REFERENTIEL_CLIENTS'!$C$2:$C$51,MATCH(TRIM(C344),'02_REFERENTIEL_CLIENTS'!$A$2:$A$51,0)),"Non trouvé")</x:f>
        <x:v>Europe</x:v>
      </x:c>
      <x:c r="R344" t="str">
        <x:f>IF(OR(F344&lt;=0,G344&lt;0,G344&gt;F344,N344&lt;0,P344="Non trouvé"),"À vérifier","OK")</x:f>
        <x:v>OK</x:v>
      </x:c>
    </x:row>
    <x:row r="345">
      <x:c r="A345" t="str">
        <x:v>DV-2026-00344</x:v>
      </x:c>
      <x:c r="B345" s="16" t="n">
        <x:v>46275</x:v>
      </x:c>
      <x:c r="C345" t="str">
        <x:v>Client 05</x:v>
      </x:c>
      <x:c r="D345" t="str">
        <x:v>Douane</x:v>
      </x:c>
      <x:c r="E345" t="str">
        <x:v>Pôle E</x:v>
      </x:c>
      <x:c r="F345" s="18" t="n">
        <x:v>8086.64</x:v>
      </x:c>
      <x:c r="G345" s="18" t="n">
        <x:v>8086.64</x:v>
      </x:c>
      <x:c r="H345" t="str">
        <x:v>Client 05</x:v>
      </x:c>
      <x:c r="I345" s="16" t="n">
        <x:v>46330</x:v>
      </x:c>
      <x:c r="J345" t="n">
        <x:f>YEAR(B345)</x:f>
        <x:v>2026</x:v>
      </x:c>
      <x:c r="K345" s="20" t="n">
        <x:f>DATE(YEAR(B345),MONTH(B345),1)</x:f>
        <x:v>46266</x:v>
      </x:c>
      <x:c r="L345" s="18" t="n">
        <x:f>F345-G345</x:f>
        <x:v>0</x:v>
      </x:c>
      <x:c r="M345" t="str">
        <x:f>IF(L345&lt;=0,"Payée",IF(G345=0,"Impayée","Partielle"))</x:f>
        <x:v>Payée</x:v>
      </x:c>
      <x:c r="N345" t="n">
        <x:f>IF(I345="","",I345-B345)</x:f>
        <x:v>55</x:v>
      </x:c>
      <x:c r="O345" t="str">
        <x:f>IF(TRIM(C345)&lt;&gt;TRIM(H345),"Oui","Non")</x:f>
        <x:v>Non</x:v>
      </x:c>
      <x:c r="P345" t="str">
        <x:f>IFERROR(INDEX('02_REFERENTIEL_CLIENTS'!$B$2:$B$51,MATCH(TRIM(C345),'02_REFERENTIEL_CLIENTS'!$A$2:$A$51,0)),"Non trouvé")</x:f>
        <x:v>PME</x:v>
      </x:c>
      <x:c r="Q345" t="str">
        <x:f>IFERROR(INDEX('02_REFERENTIEL_CLIENTS'!$C$2:$C$51,MATCH(TRIM(C345),'02_REFERENTIEL_CLIENTS'!$A$2:$A$51,0)),"Non trouvé")</x:f>
        <x:v>Europe</x:v>
      </x:c>
      <x:c r="R345" t="str">
        <x:f>IF(OR(F345&lt;=0,G345&lt;0,G345&gt;F345,N345&lt;0,P345="Non trouvé"),"À vérifier","OK")</x:f>
        <x:v>OK</x:v>
      </x:c>
    </x:row>
    <x:row r="346">
      <x:c r="A346" t="str">
        <x:v>DV-2024-00345</x:v>
      </x:c>
      <x:c r="B346" s="16" t="n">
        <x:v>45535</x:v>
      </x:c>
      <x:c r="C346" t="str">
        <x:v>Client 20</x:v>
      </x:c>
      <x:c r="D346" t="str">
        <x:v>Fret aérien</x:v>
      </x:c>
      <x:c r="E346" t="str">
        <x:v>Pôle B</x:v>
      </x:c>
      <x:c r="F346" s="18" t="n">
        <x:v>8555.42</x:v>
      </x:c>
      <x:c r="G346" s="18" t="n">
        <x:v>8555.42</x:v>
      </x:c>
      <x:c r="H346" t="str">
        <x:v>Client 20</x:v>
      </x:c>
      <x:c r="I346" s="16" t="n">
        <x:v>45551</x:v>
      </x:c>
      <x:c r="J346" t="n">
        <x:f>YEAR(B346)</x:f>
        <x:v>2024</x:v>
      </x:c>
      <x:c r="K346" s="20" t="n">
        <x:f>DATE(YEAR(B346),MONTH(B346),1)</x:f>
        <x:v>45505</x:v>
      </x:c>
      <x:c r="L346" s="18" t="n">
        <x:f>F346-G346</x:f>
        <x:v>0</x:v>
      </x:c>
      <x:c r="M346" t="str">
        <x:f>IF(L346&lt;=0,"Payée",IF(G346=0,"Impayée","Partielle"))</x:f>
        <x:v>Payée</x:v>
      </x:c>
      <x:c r="N346" t="n">
        <x:f>IF(I346="","",I346-B346)</x:f>
        <x:v>16</x:v>
      </x:c>
      <x:c r="O346" t="str">
        <x:f>IF(TRIM(C346)&lt;&gt;TRIM(H346),"Oui","Non")</x:f>
        <x:v>Non</x:v>
      </x:c>
      <x:c r="P346" t="str">
        <x:f>IFERROR(INDEX('02_REFERENTIEL_CLIENTS'!$B$2:$B$51,MATCH(TRIM(C346),'02_REFERENTIEL_CLIENTS'!$A$2:$A$51,0)),"Non trouvé")</x:f>
        <x:v>PME</x:v>
      </x:c>
      <x:c r="Q346" t="str">
        <x:f>IFERROR(INDEX('02_REFERENTIEL_CLIENTS'!$C$2:$C$51,MATCH(TRIM(C346),'02_REFERENTIEL_CLIENTS'!$A$2:$A$51,0)),"Non trouvé")</x:f>
        <x:v>Europe</x:v>
      </x:c>
      <x:c r="R346" t="str">
        <x:f>IF(OR(F346&lt;=0,G346&lt;0,G346&gt;F346,N346&lt;0,P346="Non trouvé"),"À vérifier","OK")</x:f>
        <x:v>OK</x:v>
      </x:c>
    </x:row>
    <x:row r="347">
      <x:c r="A347" t="str">
        <x:v>DV-2026-00346</x:v>
      </x:c>
      <x:c r="B347" s="16" t="n">
        <x:v>46103</x:v>
      </x:c>
      <x:c r="C347" t="str">
        <x:v>Client 03</x:v>
      </x:c>
      <x:c r="D347" t="str">
        <x:v>Express</x:v>
      </x:c>
      <x:c r="E347" t="str">
        <x:v>Pôle A</x:v>
      </x:c>
      <x:c r="F347" s="18" t="n">
        <x:v>5630.6</x:v>
      </x:c>
      <x:c r="G347" s="18" t="n">
        <x:v>2530.48</x:v>
      </x:c>
      <x:c r="H347" t="str">
        <x:v>Client 03</x:v>
      </x:c>
      <x:c r="I347" s="16" t="n">
        <x:v>46194</x:v>
      </x:c>
      <x:c r="J347" t="n">
        <x:f>YEAR(B347)</x:f>
        <x:v>2026</x:v>
      </x:c>
      <x:c r="K347" s="20" t="n">
        <x:f>DATE(YEAR(B347),MONTH(B347),1)</x:f>
        <x:v>46082</x:v>
      </x:c>
      <x:c r="L347" s="18" t="n">
        <x:f>F347-G347</x:f>
        <x:v>3100.1200000000003</x:v>
      </x:c>
      <x:c r="M347" t="str">
        <x:f>IF(L347&lt;=0,"Payée",IF(G347=0,"Impayée","Partielle"))</x:f>
        <x:v>Partielle</x:v>
      </x:c>
      <x:c r="N347" t="n">
        <x:f>IF(I347="","",I347-B347)</x:f>
        <x:v>91</x:v>
      </x:c>
      <x:c r="O347" t="str">
        <x:f>IF(TRIM(C347)&lt;&gt;TRIM(H347),"Oui","Non")</x:f>
        <x:v>Non</x:v>
      </x:c>
      <x:c r="P347" t="str">
        <x:f>IFERROR(INDEX('02_REFERENTIEL_CLIENTS'!$B$2:$B$51,MATCH(TRIM(C347),'02_REFERENTIEL_CLIENTS'!$A$2:$A$51,0)),"Non trouvé")</x:f>
        <x:v>Particuliers</x:v>
      </x:c>
      <x:c r="Q347" t="str">
        <x:f>IFERROR(INDEX('02_REFERENTIEL_CLIENTS'!$C$2:$C$51,MATCH(TRIM(C347),'02_REFERENTIEL_CLIENTS'!$A$2:$A$51,0)),"Non trouvé")</x:f>
        <x:v>International</x:v>
      </x:c>
      <x:c r="R347" t="str">
        <x:f>IF(OR(F347&lt;=0,G347&lt;0,G347&gt;F347,N347&lt;0,P347="Non trouvé"),"À vérifier","OK")</x:f>
        <x:v>OK</x:v>
      </x:c>
    </x:row>
    <x:row r="348">
      <x:c r="A348" t="str">
        <x:v>DV-2025-00347</x:v>
      </x:c>
      <x:c r="B348" s="16" t="n">
        <x:v>45964</x:v>
      </x:c>
      <x:c r="C348" t="str">
        <x:v>Client 06</x:v>
      </x:c>
      <x:c r="D348" t="str">
        <x:v>Fret maritime</x:v>
      </x:c>
      <x:c r="E348" t="str">
        <x:v>Pôle E</x:v>
      </x:c>
      <x:c r="F348" s="18" t="n">
        <x:v>21118.14</x:v>
      </x:c>
      <x:c r="G348" s="18" t="n">
        <x:v>21118.14</x:v>
      </x:c>
      <x:c r="H348" t="str">
        <x:v>Client 08</x:v>
      </x:c>
      <x:c r="I348" s="16" t="n">
        <x:v>46023</x:v>
      </x:c>
      <x:c r="J348" t="n">
        <x:f>YEAR(B348)</x:f>
        <x:v>2025</x:v>
      </x:c>
      <x:c r="K348" s="20" t="n">
        <x:f>DATE(YEAR(B348),MONTH(B348),1)</x:f>
        <x:v>45962</x:v>
      </x:c>
      <x:c r="L348" s="18" t="n">
        <x:f>F348-G348</x:f>
        <x:v>0</x:v>
      </x:c>
      <x:c r="M348" t="str">
        <x:f>IF(L348&lt;=0,"Payée",IF(G348=0,"Impayée","Partielle"))</x:f>
        <x:v>Payée</x:v>
      </x:c>
      <x:c r="N348" t="n">
        <x:f>IF(I348="","",I348-B348)</x:f>
        <x:v>59</x:v>
      </x:c>
      <x:c r="O348" t="str">
        <x:f>IF(TRIM(C348)&lt;&gt;TRIM(H348),"Oui","Non")</x:f>
        <x:v>Oui</x:v>
      </x:c>
      <x:c r="P348" t="str">
        <x:f>IFERROR(INDEX('02_REFERENTIEL_CLIENTS'!$B$2:$B$51,MATCH(TRIM(C348),'02_REFERENTIEL_CLIENTS'!$A$2:$A$51,0)),"Non trouvé")</x:f>
        <x:v>Particuliers</x:v>
      </x:c>
      <x:c r="Q348" t="str">
        <x:f>IFERROR(INDEX('02_REFERENTIEL_CLIENTS'!$C$2:$C$51,MATCH(TRIM(C348),'02_REFERENTIEL_CLIENTS'!$A$2:$A$51,0)),"Non trouvé")</x:f>
        <x:v>International</x:v>
      </x:c>
      <x:c r="R348" t="str">
        <x:f>IF(OR(F348&lt;=0,G348&lt;0,G348&gt;F348,N348&lt;0,P348="Non trouvé"),"À vérifier","OK")</x:f>
        <x:v>OK</x:v>
      </x:c>
    </x:row>
    <x:row r="349">
      <x:c r="A349" t="str">
        <x:v>DV-2026-00348</x:v>
      </x:c>
      <x:c r="B349" s="16" t="n">
        <x:v>46033</x:v>
      </x:c>
      <x:c r="C349" t="str">
        <x:v>Client 18</x:v>
      </x:c>
      <x:c r="D349" t="str">
        <x:v>Logistique</x:v>
      </x:c>
      <x:c r="E349" t="str">
        <x:v>Pôle D</x:v>
      </x:c>
      <x:c r="F349" s="18" t="n">
        <x:v>22684.97</x:v>
      </x:c>
      <x:c r="G349" s="18" t="n">
        <x:v>0</x:v>
      </x:c>
      <x:c r="H349" t="str">
        <x:v>Client 18</x:v>
      </x:c>
      <x:c r="I349" s="16"/>
      <x:c r="J349" t="n">
        <x:f>YEAR(B349)</x:f>
        <x:v>2026</x:v>
      </x:c>
      <x:c r="K349" s="20" t="n">
        <x:f>DATE(YEAR(B349),MONTH(B349),1)</x:f>
        <x:v>46023</x:v>
      </x:c>
      <x:c r="L349" s="18" t="n">
        <x:f>F349-G349</x:f>
        <x:v>22684.97</x:v>
      </x:c>
      <x:c r="M349" t="str">
        <x:f>IF(L349&lt;=0,"Payée",IF(G349=0,"Impayée","Partielle"))</x:f>
        <x:v>Impayée</x:v>
      </x:c>
      <x:c r="N349" t="str">
        <x:f>IF(I349="","",I349-B349)</x:f>
      </x:c>
      <x:c r="O349" t="str">
        <x:f>IF(TRIM(C349)&lt;&gt;TRIM(H349),"Oui","Non")</x:f>
        <x:v>Non</x:v>
      </x:c>
      <x:c r="P349" t="str">
        <x:f>IFERROR(INDEX('02_REFERENTIEL_CLIENTS'!$B$2:$B$51,MATCH(TRIM(C349),'02_REFERENTIEL_CLIENTS'!$A$2:$A$51,0)),"Non trouvé")</x:f>
        <x:v>Particuliers</x:v>
      </x:c>
      <x:c r="Q349" t="str">
        <x:f>IFERROR(INDEX('02_REFERENTIEL_CLIENTS'!$C$2:$C$51,MATCH(TRIM(C349),'02_REFERENTIEL_CLIENTS'!$A$2:$A$51,0)),"Non trouvé")</x:f>
        <x:v>International</x:v>
      </x:c>
      <x:c r="R349" t="str">
        <x:f>IF(OR(F349&lt;=0,G349&lt;0,G349&gt;F349,N349&lt;0,P349="Non trouvé"),"À vérifier","OK")</x:f>
        <x:v>OK</x:v>
      </x:c>
    </x:row>
    <x:row r="350">
      <x:c r="A350" t="str">
        <x:v>DV-2024-00349</x:v>
      </x:c>
      <x:c r="B350" s="16" t="n">
        <x:v>45505</x:v>
      </x:c>
      <x:c r="C350" t="str">
        <x:v>Client 16</x:v>
      </x:c>
      <x:c r="D350" t="str">
        <x:v>Fret maritime</x:v>
      </x:c>
      <x:c r="E350" t="str">
        <x:v>Pôle E</x:v>
      </x:c>
      <x:c r="F350" s="18" t="n">
        <x:v>1465.51</x:v>
      </x:c>
      <x:c r="G350" s="18" t="n">
        <x:v>1465.51</x:v>
      </x:c>
      <x:c r="H350" t="str">
        <x:v>Client 16</x:v>
      </x:c>
      <x:c r="I350" s="16" t="n">
        <x:v>45575</x:v>
      </x:c>
      <x:c r="J350" t="n">
        <x:f>YEAR(B350)</x:f>
        <x:v>2024</x:v>
      </x:c>
      <x:c r="K350" s="20" t="n">
        <x:f>DATE(YEAR(B350),MONTH(B350),1)</x:f>
        <x:v>45505</x:v>
      </x:c>
      <x:c r="L350" s="18" t="n">
        <x:f>F350-G350</x:f>
        <x:v>0</x:v>
      </x:c>
      <x:c r="M350" t="str">
        <x:f>IF(L350&lt;=0,"Payée",IF(G350=0,"Impayée","Partielle"))</x:f>
        <x:v>Payée</x:v>
      </x:c>
      <x:c r="N350" t="n">
        <x:f>IF(I350="","",I350-B350)</x:f>
        <x:v>70</x:v>
      </x:c>
      <x:c r="O350" t="str">
        <x:f>IF(TRIM(C350)&lt;&gt;TRIM(H350),"Oui","Non")</x:f>
        <x:v>Non</x:v>
      </x:c>
      <x:c r="P350" t="str">
        <x:f>IFERROR(INDEX('02_REFERENTIEL_CLIENTS'!$B$2:$B$51,MATCH(TRIM(C350),'02_REFERENTIEL_CLIENTS'!$A$2:$A$51,0)),"Non trouvé")</x:f>
        <x:v>Grands comptes</x:v>
      </x:c>
      <x:c r="Q350" t="str">
        <x:f>IFERROR(INDEX('02_REFERENTIEL_CLIENTS'!$C$2:$C$51,MATCH(TRIM(C350),'02_REFERENTIEL_CLIENTS'!$A$2:$A$51,0)),"Non trouvé")</x:f>
        <x:v>France</x:v>
      </x:c>
      <x:c r="R350" t="str">
        <x:f>IF(OR(F350&lt;=0,G350&lt;0,G350&gt;F350,N350&lt;0,P350="Non trouvé"),"À vérifier","OK")</x:f>
        <x:v>OK</x:v>
      </x:c>
    </x:row>
    <x:row r="351">
      <x:c r="A351" t="str">
        <x:v>DV-2025-00350</x:v>
      </x:c>
      <x:c r="B351" s="16" t="n">
        <x:v>45749</x:v>
      </x:c>
      <x:c r="C351" t="str">
        <x:v>Client 33</x:v>
      </x:c>
      <x:c r="D351" t="str">
        <x:v>Express</x:v>
      </x:c>
      <x:c r="E351" t="str">
        <x:v>Pôle C</x:v>
      </x:c>
      <x:c r="F351" s="18" t="n">
        <x:v>23389.35</x:v>
      </x:c>
      <x:c r="G351" s="18" t="n">
        <x:v>23389.35</x:v>
      </x:c>
      <x:c r="H351" t="str">
        <x:v>Client 33</x:v>
      </x:c>
      <x:c r="I351" s="16" t="n">
        <x:v>45818</x:v>
      </x:c>
      <x:c r="J351" t="n">
        <x:f>YEAR(B351)</x:f>
        <x:v>2025</x:v>
      </x:c>
      <x:c r="K351" s="20" t="n">
        <x:f>DATE(YEAR(B351),MONTH(B351),1)</x:f>
        <x:v>45748</x:v>
      </x:c>
      <x:c r="L351" s="18" t="n">
        <x:f>F351-G351</x:f>
        <x:v>0</x:v>
      </x:c>
      <x:c r="M351" t="str">
        <x:f>IF(L351&lt;=0,"Payée",IF(G351=0,"Impayée","Partielle"))</x:f>
        <x:v>Payée</x:v>
      </x:c>
      <x:c r="N351" t="n">
        <x:f>IF(I351="","",I351-B351)</x:f>
        <x:v>69</x:v>
      </x:c>
      <x:c r="O351" t="str">
        <x:f>IF(TRIM(C351)&lt;&gt;TRIM(H351),"Oui","Non")</x:f>
        <x:v>Non</x:v>
      </x:c>
      <x:c r="P351" t="str">
        <x:f>IFERROR(INDEX('02_REFERENTIEL_CLIENTS'!$B$2:$B$51,MATCH(TRIM(C351),'02_REFERENTIEL_CLIENTS'!$A$2:$A$51,0)),"Non trouvé")</x:f>
        <x:v>Particuliers</x:v>
      </x:c>
      <x:c r="Q351" t="str">
        <x:f>IFERROR(INDEX('02_REFERENTIEL_CLIENTS'!$C$2:$C$51,MATCH(TRIM(C351),'02_REFERENTIEL_CLIENTS'!$A$2:$A$51,0)),"Non trouvé")</x:f>
        <x:v>International</x:v>
      </x:c>
      <x:c r="R351" t="str">
        <x:f>IF(OR(F351&lt;=0,G351&lt;0,G351&gt;F351,N351&lt;0,P351="Non trouvé"),"À vérifier","OK")</x:f>
        <x:v>OK</x:v>
      </x:c>
    </x:row>
    <x:row r="352">
      <x:c r="A352" t="str">
        <x:v>DV-2026-00351</x:v>
      </x:c>
      <x:c r="B352" s="16" t="n">
        <x:v>46100</x:v>
      </x:c>
      <x:c r="C352" t="str">
        <x:v>Client 43</x:v>
      </x:c>
      <x:c r="D352" t="str">
        <x:v>Fret maritime</x:v>
      </x:c>
      <x:c r="E352" t="str">
        <x:v>Pôle C</x:v>
      </x:c>
      <x:c r="F352" s="18" t="n">
        <x:v>5848.17</x:v>
      </x:c>
      <x:c r="G352" s="18" t="n">
        <x:v>1593.87</x:v>
      </x:c>
      <x:c r="H352" t="str">
        <x:v>Client 43</x:v>
      </x:c>
      <x:c r="I352" s="16" t="n">
        <x:v>46115</x:v>
      </x:c>
      <x:c r="J352" t="n">
        <x:f>YEAR(B352)</x:f>
        <x:v>2026</x:v>
      </x:c>
      <x:c r="K352" s="20" t="n">
        <x:f>DATE(YEAR(B352),MONTH(B352),1)</x:f>
        <x:v>46082</x:v>
      </x:c>
      <x:c r="L352" s="18" t="n">
        <x:f>F352-G352</x:f>
        <x:v>4254.3</x:v>
      </x:c>
      <x:c r="M352" t="str">
        <x:f>IF(L352&lt;=0,"Payée",IF(G352=0,"Impayée","Partielle"))</x:f>
        <x:v>Partielle</x:v>
      </x:c>
      <x:c r="N352" t="n">
        <x:f>IF(I352="","",I352-B352)</x:f>
        <x:v>15</x:v>
      </x:c>
      <x:c r="O352" t="str">
        <x:f>IF(TRIM(C352)&lt;&gt;TRIM(H352),"Oui","Non")</x:f>
        <x:v>Non</x:v>
      </x:c>
      <x:c r="P352" t="str">
        <x:f>IFERROR(INDEX('02_REFERENTIEL_CLIENTS'!$B$2:$B$51,MATCH(TRIM(C352),'02_REFERENTIEL_CLIENTS'!$A$2:$A$51,0)),"Non trouvé")</x:f>
        <x:v>Grands comptes</x:v>
      </x:c>
      <x:c r="Q352" t="str">
        <x:f>IFERROR(INDEX('02_REFERENTIEL_CLIENTS'!$C$2:$C$51,MATCH(TRIM(C352),'02_REFERENTIEL_CLIENTS'!$A$2:$A$51,0)),"Non trouvé")</x:f>
        <x:v>France</x:v>
      </x:c>
      <x:c r="R352" t="str">
        <x:f>IF(OR(F352&lt;=0,G352&lt;0,G352&gt;F352,N352&lt;0,P352="Non trouvé"),"À vérifier","OK")</x:f>
        <x:v>OK</x:v>
      </x:c>
    </x:row>
    <x:row r="353">
      <x:c r="A353" t="str">
        <x:v>DV-2024-00352</x:v>
      </x:c>
      <x:c r="B353" s="16" t="n">
        <x:v>45635</x:v>
      </x:c>
      <x:c r="C353" t="str">
        <x:v>Client 21</x:v>
      </x:c>
      <x:c r="D353" t="str">
        <x:v>Fret aérien</x:v>
      </x:c>
      <x:c r="E353" t="str">
        <x:v>Pôle B</x:v>
      </x:c>
      <x:c r="F353" s="18" t="n">
        <x:v>4365.3</x:v>
      </x:c>
      <x:c r="G353" s="18" t="n">
        <x:v>4365.3</x:v>
      </x:c>
      <x:c r="H353" t="str">
        <x:v>Client 21</x:v>
      </x:c>
      <x:c r="I353" s="16" t="n">
        <x:v>45723</x:v>
      </x:c>
      <x:c r="J353" t="n">
        <x:f>YEAR(B353)</x:f>
        <x:v>2024</x:v>
      </x:c>
      <x:c r="K353" s="20" t="n">
        <x:f>DATE(YEAR(B353),MONTH(B353),1)</x:f>
        <x:v>45627</x:v>
      </x:c>
      <x:c r="L353" s="18" t="n">
        <x:f>F353-G353</x:f>
        <x:v>0</x:v>
      </x:c>
      <x:c r="M353" t="str">
        <x:f>IF(L353&lt;=0,"Payée",IF(G353=0,"Impayée","Partielle"))</x:f>
        <x:v>Payée</x:v>
      </x:c>
      <x:c r="N353" t="n">
        <x:f>IF(I353="","",I353-B353)</x:f>
        <x:v>88</x:v>
      </x:c>
      <x:c r="O353" t="str">
        <x:f>IF(TRIM(C353)&lt;&gt;TRIM(H353),"Oui","Non")</x:f>
        <x:v>Non</x:v>
      </x:c>
      <x:c r="P353" t="str">
        <x:f>IFERROR(INDEX('02_REFERENTIEL_CLIENTS'!$B$2:$B$51,MATCH(TRIM(C353),'02_REFERENTIEL_CLIENTS'!$A$2:$A$51,0)),"Non trouvé")</x:f>
        <x:v>Particuliers</x:v>
      </x:c>
      <x:c r="Q353" t="str">
        <x:f>IFERROR(INDEX('02_REFERENTIEL_CLIENTS'!$C$2:$C$51,MATCH(TRIM(C353),'02_REFERENTIEL_CLIENTS'!$A$2:$A$51,0)),"Non trouvé")</x:f>
        <x:v>International</x:v>
      </x:c>
      <x:c r="R353" t="str">
        <x:f>IF(OR(F353&lt;=0,G353&lt;0,G353&gt;F353,N353&lt;0,P353="Non trouvé"),"À vérifier","OK")</x:f>
        <x:v>OK</x:v>
      </x:c>
    </x:row>
    <x:row r="354">
      <x:c r="A354" t="str">
        <x:v>DV-2024-00353</x:v>
      </x:c>
      <x:c r="B354" s="16" t="n">
        <x:v>45471</x:v>
      </x:c>
      <x:c r="C354" t="str">
        <x:v>Client 38</x:v>
      </x:c>
      <x:c r="D354" t="str">
        <x:v>Fret maritime</x:v>
      </x:c>
      <x:c r="E354" t="str">
        <x:v>Pôle E</x:v>
      </x:c>
      <x:c r="F354" s="18" t="n">
        <x:v>15199</x:v>
      </x:c>
      <x:c r="G354" s="18" t="n">
        <x:v>10154.32</x:v>
      </x:c>
      <x:c r="H354" t="str">
        <x:v>Client 38</x:v>
      </x:c>
      <x:c r="I354" s="16" t="n">
        <x:v>45500</x:v>
      </x:c>
      <x:c r="J354" t="n">
        <x:f>YEAR(B354)</x:f>
        <x:v>2024</x:v>
      </x:c>
      <x:c r="K354" s="20" t="n">
        <x:f>DATE(YEAR(B354),MONTH(B354),1)</x:f>
        <x:v>45444</x:v>
      </x:c>
      <x:c r="L354" s="18" t="n">
        <x:f>F354-G354</x:f>
        <x:v>5044.68</x:v>
      </x:c>
      <x:c r="M354" t="str">
        <x:f>IF(L354&lt;=0,"Payée",IF(G354=0,"Impayée","Partielle"))</x:f>
        <x:v>Partielle</x:v>
      </x:c>
      <x:c r="N354" t="n">
        <x:f>IF(I354="","",I354-B354)</x:f>
        <x:v>29</x:v>
      </x:c>
      <x:c r="O354" t="str">
        <x:f>IF(TRIM(C354)&lt;&gt;TRIM(H354),"Oui","Non")</x:f>
        <x:v>Non</x:v>
      </x:c>
      <x:c r="P354" t="str">
        <x:f>IFERROR(INDEX('02_REFERENTIEL_CLIENTS'!$B$2:$B$51,MATCH(TRIM(C354),'02_REFERENTIEL_CLIENTS'!$A$2:$A$51,0)),"Non trouvé")</x:f>
        <x:v>PME</x:v>
      </x:c>
      <x:c r="Q354" t="str">
        <x:f>IFERROR(INDEX('02_REFERENTIEL_CLIENTS'!$C$2:$C$51,MATCH(TRIM(C354),'02_REFERENTIEL_CLIENTS'!$A$2:$A$51,0)),"Non trouvé")</x:f>
        <x:v>Europe</x:v>
      </x:c>
      <x:c r="R354" t="str">
        <x:f>IF(OR(F354&lt;=0,G354&lt;0,G354&gt;F354,N354&lt;0,P354="Non trouvé"),"À vérifier","OK")</x:f>
        <x:v>OK</x:v>
      </x:c>
    </x:row>
    <x:row r="355">
      <x:c r="A355" t="str">
        <x:v>DV-2024-00354</x:v>
      </x:c>
      <x:c r="B355" s="16" t="n">
        <x:v>45374</x:v>
      </x:c>
      <x:c r="C355" t="str">
        <x:v>Client 03</x:v>
      </x:c>
      <x:c r="D355" t="str">
        <x:v>Fret maritime</x:v>
      </x:c>
      <x:c r="E355" t="str">
        <x:v>Pôle D</x:v>
      </x:c>
      <x:c r="F355" s="18" t="n">
        <x:v>3962.17</x:v>
      </x:c>
      <x:c r="G355" s="18" t="n">
        <x:v>3962.17</x:v>
      </x:c>
      <x:c r="H355" t="str">
        <x:v>Client 03</x:v>
      </x:c>
      <x:c r="I355" s="16" t="n">
        <x:v>45440</x:v>
      </x:c>
      <x:c r="J355" t="n">
        <x:f>YEAR(B355)</x:f>
        <x:v>2024</x:v>
      </x:c>
      <x:c r="K355" s="20" t="n">
        <x:f>DATE(YEAR(B355),MONTH(B355),1)</x:f>
        <x:v>45352</x:v>
      </x:c>
      <x:c r="L355" s="18" t="n">
        <x:f>F355-G355</x:f>
        <x:v>0</x:v>
      </x:c>
      <x:c r="M355" t="str">
        <x:f>IF(L355&lt;=0,"Payée",IF(G355=0,"Impayée","Partielle"))</x:f>
        <x:v>Payée</x:v>
      </x:c>
      <x:c r="N355" t="n">
        <x:f>IF(I355="","",I355-B355)</x:f>
        <x:v>66</x:v>
      </x:c>
      <x:c r="O355" t="str">
        <x:f>IF(TRIM(C355)&lt;&gt;TRIM(H355),"Oui","Non")</x:f>
        <x:v>Non</x:v>
      </x:c>
      <x:c r="P355" t="str">
        <x:f>IFERROR(INDEX('02_REFERENTIEL_CLIENTS'!$B$2:$B$51,MATCH(TRIM(C355),'02_REFERENTIEL_CLIENTS'!$A$2:$A$51,0)),"Non trouvé")</x:f>
        <x:v>Particuliers</x:v>
      </x:c>
      <x:c r="Q355" t="str">
        <x:f>IFERROR(INDEX('02_REFERENTIEL_CLIENTS'!$C$2:$C$51,MATCH(TRIM(C355),'02_REFERENTIEL_CLIENTS'!$A$2:$A$51,0)),"Non trouvé")</x:f>
        <x:v>International</x:v>
      </x:c>
      <x:c r="R355" t="str">
        <x:f>IF(OR(F355&lt;=0,G355&lt;0,G355&gt;F355,N355&lt;0,P355="Non trouvé"),"À vérifier","OK")</x:f>
        <x:v>OK</x:v>
      </x:c>
    </x:row>
    <x:row r="356">
      <x:c r="A356" t="str">
        <x:v>DV-2024-00355</x:v>
      </x:c>
      <x:c r="B356" s="16" t="n">
        <x:v>45336</x:v>
      </x:c>
      <x:c r="C356" t="str">
        <x:v>Client 17</x:v>
      </x:c>
      <x:c r="D356" t="str">
        <x:v>Express</x:v>
      </x:c>
      <x:c r="E356" t="str">
        <x:v>Pôle A</x:v>
      </x:c>
      <x:c r="F356" s="18" t="n">
        <x:v>14295.44</x:v>
      </x:c>
      <x:c r="G356" s="18" t="n">
        <x:v>14295.44</x:v>
      </x:c>
      <x:c r="H356" t="str">
        <x:v>Client 17</x:v>
      </x:c>
      <x:c r="I356" s="16" t="n">
        <x:v>45377</x:v>
      </x:c>
      <x:c r="J356" t="n">
        <x:f>YEAR(B356)</x:f>
        <x:v>2024</x:v>
      </x:c>
      <x:c r="K356" s="20" t="n">
        <x:f>DATE(YEAR(B356),MONTH(B356),1)</x:f>
        <x:v>45323</x:v>
      </x:c>
      <x:c r="L356" s="18" t="n">
        <x:f>F356-G356</x:f>
        <x:v>0</x:v>
      </x:c>
      <x:c r="M356" t="str">
        <x:f>IF(L356&lt;=0,"Payée",IF(G356=0,"Impayée","Partielle"))</x:f>
        <x:v>Payée</x:v>
      </x:c>
      <x:c r="N356" t="n">
        <x:f>IF(I356="","",I356-B356)</x:f>
        <x:v>41</x:v>
      </x:c>
      <x:c r="O356" t="str">
        <x:f>IF(TRIM(C356)&lt;&gt;TRIM(H356),"Oui","Non")</x:f>
        <x:v>Non</x:v>
      </x:c>
      <x:c r="P356" t="str">
        <x:f>IFERROR(INDEX('02_REFERENTIEL_CLIENTS'!$B$2:$B$51,MATCH(TRIM(C356),'02_REFERENTIEL_CLIENTS'!$A$2:$A$51,0)),"Non trouvé")</x:f>
        <x:v>PME</x:v>
      </x:c>
      <x:c r="Q356" t="str">
        <x:f>IFERROR(INDEX('02_REFERENTIEL_CLIENTS'!$C$2:$C$51,MATCH(TRIM(C356),'02_REFERENTIEL_CLIENTS'!$A$2:$A$51,0)),"Non trouvé")</x:f>
        <x:v>Europe</x:v>
      </x:c>
      <x:c r="R356" t="str">
        <x:f>IF(OR(F356&lt;=0,G356&lt;0,G356&gt;F356,N356&lt;0,P356="Non trouvé"),"À vérifier","OK")</x:f>
        <x:v>OK</x:v>
      </x:c>
    </x:row>
    <x:row r="357">
      <x:c r="A357" t="str">
        <x:v>DV-2026-00356</x:v>
      </x:c>
      <x:c r="B357" s="16" t="n">
        <x:v>46133</x:v>
      </x:c>
      <x:c r="C357" t="str">
        <x:v>Client 34</x:v>
      </x:c>
      <x:c r="D357" t="str">
        <x:v>Douane</x:v>
      </x:c>
      <x:c r="E357" t="str">
        <x:v>Pôle A</x:v>
      </x:c>
      <x:c r="F357" s="18" t="n">
        <x:v>14078.67</x:v>
      </x:c>
      <x:c r="G357" s="18" t="n">
        <x:v>14078.67</x:v>
      </x:c>
      <x:c r="H357" t="str">
        <x:v>Client 34</x:v>
      </x:c>
      <x:c r="I357" s="16" t="n">
        <x:v>46195</x:v>
      </x:c>
      <x:c r="J357" t="n">
        <x:f>YEAR(B357)</x:f>
        <x:v>2026</x:v>
      </x:c>
      <x:c r="K357" s="20" t="n">
        <x:f>DATE(YEAR(B357),MONTH(B357),1)</x:f>
        <x:v>46113</x:v>
      </x:c>
      <x:c r="L357" s="18" t="n">
        <x:f>F357-G357</x:f>
        <x:v>0</x:v>
      </x:c>
      <x:c r="M357" t="str">
        <x:f>IF(L357&lt;=0,"Payée",IF(G357=0,"Impayée","Partielle"))</x:f>
        <x:v>Payée</x:v>
      </x:c>
      <x:c r="N357" t="n">
        <x:f>IF(I357="","",I357-B357)</x:f>
        <x:v>62</x:v>
      </x:c>
      <x:c r="O357" t="str">
        <x:f>IF(TRIM(C357)&lt;&gt;TRIM(H357),"Oui","Non")</x:f>
        <x:v>Non</x:v>
      </x:c>
      <x:c r="P357" t="str">
        <x:f>IFERROR(INDEX('02_REFERENTIEL_CLIENTS'!$B$2:$B$51,MATCH(TRIM(C357),'02_REFERENTIEL_CLIENTS'!$A$2:$A$51,0)),"Non trouvé")</x:f>
        <x:v>Grands comptes</x:v>
      </x:c>
      <x:c r="Q357" t="str">
        <x:f>IFERROR(INDEX('02_REFERENTIEL_CLIENTS'!$C$2:$C$51,MATCH(TRIM(C357),'02_REFERENTIEL_CLIENTS'!$A$2:$A$51,0)),"Non trouvé")</x:f>
        <x:v>France</x:v>
      </x:c>
      <x:c r="R357" t="str">
        <x:f>IF(OR(F357&lt;=0,G357&lt;0,G357&gt;F357,N357&lt;0,P357="Non trouvé"),"À vérifier","OK")</x:f>
        <x:v>OK</x:v>
      </x:c>
    </x:row>
    <x:row r="358">
      <x:c r="A358" t="str">
        <x:v>DV-2024-00357</x:v>
      </x:c>
      <x:c r="B358" s="16" t="n">
        <x:v>45326</x:v>
      </x:c>
      <x:c r="C358" t="str">
        <x:v>Client 13</x:v>
      </x:c>
      <x:c r="D358" t="str">
        <x:v>Douane</x:v>
      </x:c>
      <x:c r="E358" t="str">
        <x:v>Pôle E</x:v>
      </x:c>
      <x:c r="F358" s="18" t="n">
        <x:v>6868.85</x:v>
      </x:c>
      <x:c r="G358" s="18" t="n">
        <x:v>1339.6</x:v>
      </x:c>
      <x:c r="H358" t="str">
        <x:v>Client 13</x:v>
      </x:c>
      <x:c r="I358" s="16" t="n">
        <x:v>45340</x:v>
      </x:c>
      <x:c r="J358" t="n">
        <x:f>YEAR(B358)</x:f>
        <x:v>2024</x:v>
      </x:c>
      <x:c r="K358" s="20" t="n">
        <x:f>DATE(YEAR(B358),MONTH(B358),1)</x:f>
        <x:v>45323</x:v>
      </x:c>
      <x:c r="L358" s="18" t="n">
        <x:f>F358-G358</x:f>
        <x:v>5529.25</x:v>
      </x:c>
      <x:c r="M358" t="str">
        <x:f>IF(L358&lt;=0,"Payée",IF(G358=0,"Impayée","Partielle"))</x:f>
        <x:v>Partielle</x:v>
      </x:c>
      <x:c r="N358" t="n">
        <x:f>IF(I358="","",I358-B358)</x:f>
        <x:v>14</x:v>
      </x:c>
      <x:c r="O358" t="str">
        <x:f>IF(TRIM(C358)&lt;&gt;TRIM(H358),"Oui","Non")</x:f>
        <x:v>Non</x:v>
      </x:c>
      <x:c r="P358" t="str">
        <x:f>IFERROR(INDEX('02_REFERENTIEL_CLIENTS'!$B$2:$B$51,MATCH(TRIM(C358),'02_REFERENTIEL_CLIENTS'!$A$2:$A$51,0)),"Non trouvé")</x:f>
        <x:v>Grands comptes</x:v>
      </x:c>
      <x:c r="Q358" t="str">
        <x:f>IFERROR(INDEX('02_REFERENTIEL_CLIENTS'!$C$2:$C$51,MATCH(TRIM(C358),'02_REFERENTIEL_CLIENTS'!$A$2:$A$51,0)),"Non trouvé")</x:f>
        <x:v>France</x:v>
      </x:c>
      <x:c r="R358" t="str">
        <x:f>IF(OR(F358&lt;=0,G358&lt;0,G358&gt;F358,N358&lt;0,P358="Non trouvé"),"À vérifier","OK")</x:f>
        <x:v>OK</x:v>
      </x:c>
    </x:row>
    <x:row r="359">
      <x:c r="A359" t="str">
        <x:v>DV-2025-00358</x:v>
      </x:c>
      <x:c r="B359" s="16" t="n">
        <x:v>45725</x:v>
      </x:c>
      <x:c r="C359" t="str">
        <x:v>Client 29</x:v>
      </x:c>
      <x:c r="D359" t="str">
        <x:v>Fret aérien</x:v>
      </x:c>
      <x:c r="E359" t="str">
        <x:v>Pôle C</x:v>
      </x:c>
      <x:c r="F359" s="18" t="n">
        <x:v>12537.49</x:v>
      </x:c>
      <x:c r="G359" s="18" t="n">
        <x:v>12537.49</x:v>
      </x:c>
      <x:c r="H359" t="str">
        <x:v>Client 29</x:v>
      </x:c>
      <x:c r="I359" s="16" t="n">
        <x:v>45818</x:v>
      </x:c>
      <x:c r="J359" t="n">
        <x:f>YEAR(B359)</x:f>
        <x:v>2025</x:v>
      </x:c>
      <x:c r="K359" s="20" t="n">
        <x:f>DATE(YEAR(B359),MONTH(B359),1)</x:f>
        <x:v>45717</x:v>
      </x:c>
      <x:c r="L359" s="18" t="n">
        <x:f>F359-G359</x:f>
        <x:v>0</x:v>
      </x:c>
      <x:c r="M359" t="str">
        <x:f>IF(L359&lt;=0,"Payée",IF(G359=0,"Impayée","Partielle"))</x:f>
        <x:v>Payée</x:v>
      </x:c>
      <x:c r="N359" t="n">
        <x:f>IF(I359="","",I359-B359)</x:f>
        <x:v>93</x:v>
      </x:c>
      <x:c r="O359" t="str">
        <x:f>IF(TRIM(C359)&lt;&gt;TRIM(H359),"Oui","Non")</x:f>
        <x:v>Non</x:v>
      </x:c>
      <x:c r="P359" t="str">
        <x:f>IFERROR(INDEX('02_REFERENTIEL_CLIENTS'!$B$2:$B$51,MATCH(TRIM(C359),'02_REFERENTIEL_CLIENTS'!$A$2:$A$51,0)),"Non trouvé")</x:f>
        <x:v>PME</x:v>
      </x:c>
      <x:c r="Q359" t="str">
        <x:f>IFERROR(INDEX('02_REFERENTIEL_CLIENTS'!$C$2:$C$51,MATCH(TRIM(C359),'02_REFERENTIEL_CLIENTS'!$A$2:$A$51,0)),"Non trouvé")</x:f>
        <x:v>Europe</x:v>
      </x:c>
      <x:c r="R359" t="str">
        <x:f>IF(OR(F359&lt;=0,G359&lt;0,G359&gt;F359,N359&lt;0,P359="Non trouvé"),"À vérifier","OK")</x:f>
        <x:v>OK</x:v>
      </x:c>
    </x:row>
    <x:row r="360">
      <x:c r="A360" t="str">
        <x:v>DV-2024-00359</x:v>
      </x:c>
      <x:c r="B360" s="16" t="n">
        <x:v>45649</x:v>
      </x:c>
      <x:c r="C360" t="str">
        <x:v>Client 33</x:v>
      </x:c>
      <x:c r="D360" t="str">
        <x:v>Fret aérien</x:v>
      </x:c>
      <x:c r="E360" t="str">
        <x:v>Pôle C</x:v>
      </x:c>
      <x:c r="F360" s="18" t="n">
        <x:v>2133.46</x:v>
      </x:c>
      <x:c r="G360" s="18" t="n">
        <x:v>2133.46</x:v>
      </x:c>
      <x:c r="H360" t="str">
        <x:v>Client 42</x:v>
      </x:c>
      <x:c r="I360" s="16" t="n">
        <x:v>45676</x:v>
      </x:c>
      <x:c r="J360" t="n">
        <x:f>YEAR(B360)</x:f>
        <x:v>2024</x:v>
      </x:c>
      <x:c r="K360" s="20" t="n">
        <x:f>DATE(YEAR(B360),MONTH(B360),1)</x:f>
        <x:v>45627</x:v>
      </x:c>
      <x:c r="L360" s="18" t="n">
        <x:f>F360-G360</x:f>
        <x:v>0</x:v>
      </x:c>
      <x:c r="M360" t="str">
        <x:f>IF(L360&lt;=0,"Payée",IF(G360=0,"Impayée","Partielle"))</x:f>
        <x:v>Payée</x:v>
      </x:c>
      <x:c r="N360" t="n">
        <x:f>IF(I360="","",I360-B360)</x:f>
        <x:v>27</x:v>
      </x:c>
      <x:c r="O360" t="str">
        <x:f>IF(TRIM(C360)&lt;&gt;TRIM(H360),"Oui","Non")</x:f>
        <x:v>Oui</x:v>
      </x:c>
      <x:c r="P360" t="str">
        <x:f>IFERROR(INDEX('02_REFERENTIEL_CLIENTS'!$B$2:$B$51,MATCH(TRIM(C360),'02_REFERENTIEL_CLIENTS'!$A$2:$A$51,0)),"Non trouvé")</x:f>
        <x:v>Particuliers</x:v>
      </x:c>
      <x:c r="Q360" t="str">
        <x:f>IFERROR(INDEX('02_REFERENTIEL_CLIENTS'!$C$2:$C$51,MATCH(TRIM(C360),'02_REFERENTIEL_CLIENTS'!$A$2:$A$51,0)),"Non trouvé")</x:f>
        <x:v>International</x:v>
      </x:c>
      <x:c r="R360" t="str">
        <x:f>IF(OR(F360&lt;=0,G360&lt;0,G360&gt;F360,N360&lt;0,P360="Non trouvé"),"À vérifier","OK")</x:f>
        <x:v>OK</x:v>
      </x:c>
    </x:row>
    <x:row r="361">
      <x:c r="A361" t="str">
        <x:v>DV-2024-00360</x:v>
      </x:c>
      <x:c r="B361" s="16" t="n">
        <x:v>45412</x:v>
      </x:c>
      <x:c r="C361" t="str">
        <x:v>Client 23</x:v>
      </x:c>
      <x:c r="D361" t="str">
        <x:v>Douane</x:v>
      </x:c>
      <x:c r="E361" t="str">
        <x:v>Pôle A</x:v>
      </x:c>
      <x:c r="F361" s="18" t="n">
        <x:v>24643.53</x:v>
      </x:c>
      <x:c r="G361" s="18" t="n">
        <x:v>3836.9</x:v>
      </x:c>
      <x:c r="H361" t="str">
        <x:v>Client 23</x:v>
      </x:c>
      <x:c r="I361" s="16" t="n">
        <x:v>45465</x:v>
      </x:c>
      <x:c r="J361" t="n">
        <x:f>YEAR(B361)</x:f>
        <x:v>2024</x:v>
      </x:c>
      <x:c r="K361" s="20" t="n">
        <x:f>DATE(YEAR(B361),MONTH(B361),1)</x:f>
        <x:v>45383</x:v>
      </x:c>
      <x:c r="L361" s="18" t="n">
        <x:f>F361-G361</x:f>
        <x:v>20806.629999999997</x:v>
      </x:c>
      <x:c r="M361" t="str">
        <x:f>IF(L361&lt;=0,"Payée",IF(G361=0,"Impayée","Partielle"))</x:f>
        <x:v>Partielle</x:v>
      </x:c>
      <x:c r="N361" t="n">
        <x:f>IF(I361="","",I361-B361)</x:f>
        <x:v>53</x:v>
      </x:c>
      <x:c r="O361" t="str">
        <x:f>IF(TRIM(C361)&lt;&gt;TRIM(H361),"Oui","Non")</x:f>
        <x:v>Non</x:v>
      </x:c>
      <x:c r="P361" t="str">
        <x:f>IFERROR(INDEX('02_REFERENTIEL_CLIENTS'!$B$2:$B$51,MATCH(TRIM(C361),'02_REFERENTIEL_CLIENTS'!$A$2:$A$51,0)),"Non trouvé")</x:f>
        <x:v>PME</x:v>
      </x:c>
      <x:c r="Q361" t="str">
        <x:f>IFERROR(INDEX('02_REFERENTIEL_CLIENTS'!$C$2:$C$51,MATCH(TRIM(C361),'02_REFERENTIEL_CLIENTS'!$A$2:$A$51,0)),"Non trouvé")</x:f>
        <x:v>Europe</x:v>
      </x:c>
      <x:c r="R361" t="str">
        <x:f>IF(OR(F361&lt;=0,G361&lt;0,G361&gt;F361,N361&lt;0,P361="Non trouvé"),"À vérifier","OK")</x:f>
        <x:v>OK</x:v>
      </x:c>
    </x:row>
    <x:row r="362">
      <x:c r="A362" t="str">
        <x:v>DV-2025-00361</x:v>
      </x:c>
      <x:c r="B362" s="16" t="n">
        <x:v>45835</x:v>
      </x:c>
      <x:c r="C362" t="str">
        <x:v>Client 43</x:v>
      </x:c>
      <x:c r="D362" t="str">
        <x:v>Fret aérien</x:v>
      </x:c>
      <x:c r="E362" t="str">
        <x:v>Pôle D</x:v>
      </x:c>
      <x:c r="F362" s="18" t="n">
        <x:v>16304.88</x:v>
      </x:c>
      <x:c r="G362" s="18" t="n">
        <x:v>16304.88</x:v>
      </x:c>
      <x:c r="H362" t="str">
        <x:v>Client 43</x:v>
      </x:c>
      <x:c r="I362" s="16" t="n">
        <x:v>45841</x:v>
      </x:c>
      <x:c r="J362" t="n">
        <x:f>YEAR(B362)</x:f>
        <x:v>2025</x:v>
      </x:c>
      <x:c r="K362" s="20" t="n">
        <x:f>DATE(YEAR(B362),MONTH(B362),1)</x:f>
        <x:v>45809</x:v>
      </x:c>
      <x:c r="L362" s="18" t="n">
        <x:f>F362-G362</x:f>
        <x:v>0</x:v>
      </x:c>
      <x:c r="M362" t="str">
        <x:f>IF(L362&lt;=0,"Payée",IF(G362=0,"Impayée","Partielle"))</x:f>
        <x:v>Payée</x:v>
      </x:c>
      <x:c r="N362" t="n">
        <x:f>IF(I362="","",I362-B362)</x:f>
        <x:v>6</x:v>
      </x:c>
      <x:c r="O362" t="str">
        <x:f>IF(TRIM(C362)&lt;&gt;TRIM(H362),"Oui","Non")</x:f>
        <x:v>Non</x:v>
      </x:c>
      <x:c r="P362" t="str">
        <x:f>IFERROR(INDEX('02_REFERENTIEL_CLIENTS'!$B$2:$B$51,MATCH(TRIM(C362),'02_REFERENTIEL_CLIENTS'!$A$2:$A$51,0)),"Non trouvé")</x:f>
        <x:v>Grands comptes</x:v>
      </x:c>
      <x:c r="Q362" t="str">
        <x:f>IFERROR(INDEX('02_REFERENTIEL_CLIENTS'!$C$2:$C$51,MATCH(TRIM(C362),'02_REFERENTIEL_CLIENTS'!$A$2:$A$51,0)),"Non trouvé")</x:f>
        <x:v>France</x:v>
      </x:c>
      <x:c r="R362" t="str">
        <x:f>IF(OR(F362&lt;=0,G362&lt;0,G362&gt;F362,N362&lt;0,P362="Non trouvé"),"À vérifier","OK")</x:f>
        <x:v>OK</x:v>
      </x:c>
    </x:row>
    <x:row r="363">
      <x:c r="A363" t="str">
        <x:v>DV-2026-00362</x:v>
      </x:c>
      <x:c r="B363" s="16" t="n">
        <x:v>46209</x:v>
      </x:c>
      <x:c r="C363" t="str">
        <x:v>Client 41</x:v>
      </x:c>
      <x:c r="D363" t="str">
        <x:v>Fret maritime</x:v>
      </x:c>
      <x:c r="E363" t="str">
        <x:v>Pôle E</x:v>
      </x:c>
      <x:c r="F363" s="18" t="n">
        <x:v>8108.15</x:v>
      </x:c>
      <x:c r="G363" s="18" t="n">
        <x:v>8108.15</x:v>
      </x:c>
      <x:c r="H363" t="str">
        <x:v>Client 41</x:v>
      </x:c>
      <x:c r="I363" s="16" t="n">
        <x:v>46231</x:v>
      </x:c>
      <x:c r="J363" t="n">
        <x:f>YEAR(B363)</x:f>
        <x:v>2026</x:v>
      </x:c>
      <x:c r="K363" s="20" t="n">
        <x:f>DATE(YEAR(B363),MONTH(B363),1)</x:f>
        <x:v>46204</x:v>
      </x:c>
      <x:c r="L363" s="18" t="n">
        <x:f>F363-G363</x:f>
        <x:v>0</x:v>
      </x:c>
      <x:c r="M363" t="str">
        <x:f>IF(L363&lt;=0,"Payée",IF(G363=0,"Impayée","Partielle"))</x:f>
        <x:v>Payée</x:v>
      </x:c>
      <x:c r="N363" t="n">
        <x:f>IF(I363="","",I363-B363)</x:f>
        <x:v>22</x:v>
      </x:c>
      <x:c r="O363" t="str">
        <x:f>IF(TRIM(C363)&lt;&gt;TRIM(H363),"Oui","Non")</x:f>
        <x:v>Non</x:v>
      </x:c>
      <x:c r="P363" t="str">
        <x:f>IFERROR(INDEX('02_REFERENTIEL_CLIENTS'!$B$2:$B$51,MATCH(TRIM(C363),'02_REFERENTIEL_CLIENTS'!$A$2:$A$51,0)),"Non trouvé")</x:f>
        <x:v>PME</x:v>
      </x:c>
      <x:c r="Q363" t="str">
        <x:f>IFERROR(INDEX('02_REFERENTIEL_CLIENTS'!$C$2:$C$51,MATCH(TRIM(C363),'02_REFERENTIEL_CLIENTS'!$A$2:$A$51,0)),"Non trouvé")</x:f>
        <x:v>Europe</x:v>
      </x:c>
      <x:c r="R363" t="str">
        <x:f>IF(OR(F363&lt;=0,G363&lt;0,G363&gt;F363,N363&lt;0,P363="Non trouvé"),"À vérifier","OK")</x:f>
        <x:v>OK</x:v>
      </x:c>
    </x:row>
    <x:row r="364">
      <x:c r="A364" t="str">
        <x:v>DV-2024-00363</x:v>
      </x:c>
      <x:c r="B364" s="16" t="n">
        <x:v>45510</x:v>
      </x:c>
      <x:c r="C364" t="str">
        <x:v>Client 02</x:v>
      </x:c>
      <x:c r="D364" t="str">
        <x:v>Logistique</x:v>
      </x:c>
      <x:c r="E364" t="str">
        <x:v>Pôle B</x:v>
      </x:c>
      <x:c r="F364" s="18" t="n">
        <x:v>526.55</x:v>
      </x:c>
      <x:c r="G364" s="18" t="n">
        <x:v>526.55</x:v>
      </x:c>
      <x:c r="H364" t="str">
        <x:v>Client 02</x:v>
      </x:c>
      <x:c r="I364" s="16" t="n">
        <x:v>45579</x:v>
      </x:c>
      <x:c r="J364" t="n">
        <x:f>YEAR(B364)</x:f>
        <x:v>2024</x:v>
      </x:c>
      <x:c r="K364" s="20" t="n">
        <x:f>DATE(YEAR(B364),MONTH(B364),1)</x:f>
        <x:v>45505</x:v>
      </x:c>
      <x:c r="L364" s="18" t="n">
        <x:f>F364-G364</x:f>
        <x:v>0</x:v>
      </x:c>
      <x:c r="M364" t="str">
        <x:f>IF(L364&lt;=0,"Payée",IF(G364=0,"Impayée","Partielle"))</x:f>
        <x:v>Payée</x:v>
      </x:c>
      <x:c r="N364" t="n">
        <x:f>IF(I364="","",I364-B364)</x:f>
        <x:v>69</x:v>
      </x:c>
      <x:c r="O364" t="str">
        <x:f>IF(TRIM(C364)&lt;&gt;TRIM(H364),"Oui","Non")</x:f>
        <x:v>Non</x:v>
      </x:c>
      <x:c r="P364" t="str">
        <x:f>IFERROR(INDEX('02_REFERENTIEL_CLIENTS'!$B$2:$B$51,MATCH(TRIM(C364),'02_REFERENTIEL_CLIENTS'!$A$2:$A$51,0)),"Non trouvé")</x:f>
        <x:v>PME</x:v>
      </x:c>
      <x:c r="Q364" t="str">
        <x:f>IFERROR(INDEX('02_REFERENTIEL_CLIENTS'!$C$2:$C$51,MATCH(TRIM(C364),'02_REFERENTIEL_CLIENTS'!$A$2:$A$51,0)),"Non trouvé")</x:f>
        <x:v>Europe</x:v>
      </x:c>
      <x:c r="R364" t="str">
        <x:f>IF(OR(F364&lt;=0,G364&lt;0,G364&gt;F364,N364&lt;0,P364="Non trouvé"),"À vérifier","OK")</x:f>
        <x:v>OK</x:v>
      </x:c>
    </x:row>
    <x:row r="365">
      <x:c r="A365" t="str">
        <x:v>DV-2026-00364</x:v>
      </x:c>
      <x:c r="B365" s="16" t="n">
        <x:v>46121</x:v>
      </x:c>
      <x:c r="C365" t="str">
        <x:v>Client 43</x:v>
      </x:c>
      <x:c r="D365" t="str">
        <x:v>Fret aérien</x:v>
      </x:c>
      <x:c r="E365" t="str">
        <x:v>Pôle C</x:v>
      </x:c>
      <x:c r="F365" s="18" t="n">
        <x:v>18038.28</x:v>
      </x:c>
      <x:c r="G365" s="18" t="n">
        <x:v>18038.28</x:v>
      </x:c>
      <x:c r="H365" t="str">
        <x:v>Client 43</x:v>
      </x:c>
      <x:c r="I365" s="16" t="n">
        <x:v>46148</x:v>
      </x:c>
      <x:c r="J365" t="n">
        <x:f>YEAR(B365)</x:f>
        <x:v>2026</x:v>
      </x:c>
      <x:c r="K365" s="20" t="n">
        <x:f>DATE(YEAR(B365),MONTH(B365),1)</x:f>
        <x:v>46113</x:v>
      </x:c>
      <x:c r="L365" s="18" t="n">
        <x:f>F365-G365</x:f>
        <x:v>0</x:v>
      </x:c>
      <x:c r="M365" t="str">
        <x:f>IF(L365&lt;=0,"Payée",IF(G365=0,"Impayée","Partielle"))</x:f>
        <x:v>Payée</x:v>
      </x:c>
      <x:c r="N365" t="n">
        <x:f>IF(I365="","",I365-B365)</x:f>
        <x:v>27</x:v>
      </x:c>
      <x:c r="O365" t="str">
        <x:f>IF(TRIM(C365)&lt;&gt;TRIM(H365),"Oui","Non")</x:f>
        <x:v>Non</x:v>
      </x:c>
      <x:c r="P365" t="str">
        <x:f>IFERROR(INDEX('02_REFERENTIEL_CLIENTS'!$B$2:$B$51,MATCH(TRIM(C365),'02_REFERENTIEL_CLIENTS'!$A$2:$A$51,0)),"Non trouvé")</x:f>
        <x:v>Grands comptes</x:v>
      </x:c>
      <x:c r="Q365" t="str">
        <x:f>IFERROR(INDEX('02_REFERENTIEL_CLIENTS'!$C$2:$C$51,MATCH(TRIM(C365),'02_REFERENTIEL_CLIENTS'!$A$2:$A$51,0)),"Non trouvé")</x:f>
        <x:v>France</x:v>
      </x:c>
      <x:c r="R365" t="str">
        <x:f>IF(OR(F365&lt;=0,G365&lt;0,G365&gt;F365,N365&lt;0,P365="Non trouvé"),"À vérifier","OK")</x:f>
        <x:v>OK</x:v>
      </x:c>
    </x:row>
    <x:row r="366">
      <x:c r="A366" t="str">
        <x:v>DV-2025-00365</x:v>
      </x:c>
      <x:c r="B366" s="16" t="n">
        <x:v>45693</x:v>
      </x:c>
      <x:c r="C366" t="str">
        <x:v>Client 01</x:v>
      </x:c>
      <x:c r="D366" t="str">
        <x:v>Logistique</x:v>
      </x:c>
      <x:c r="E366" t="str">
        <x:v>Pôle C</x:v>
      </x:c>
      <x:c r="F366" s="18" t="n">
        <x:v>11227.72</x:v>
      </x:c>
      <x:c r="G366" s="18" t="n">
        <x:v>9625.15</x:v>
      </x:c>
      <x:c r="H366" t="str">
        <x:v>Client 01</x:v>
      </x:c>
      <x:c r="I366" s="16" t="n">
        <x:v>45759</x:v>
      </x:c>
      <x:c r="J366" t="n">
        <x:f>YEAR(B366)</x:f>
        <x:v>2025</x:v>
      </x:c>
      <x:c r="K366" s="20" t="n">
        <x:f>DATE(YEAR(B366),MONTH(B366),1)</x:f>
        <x:v>45689</x:v>
      </x:c>
      <x:c r="L366" s="18" t="n">
        <x:f>F366-G366</x:f>
        <x:v>1602.5699999999997</x:v>
      </x:c>
      <x:c r="M366" t="str">
        <x:f>IF(L366&lt;=0,"Payée",IF(G366=0,"Impayée","Partielle"))</x:f>
        <x:v>Partielle</x:v>
      </x:c>
      <x:c r="N366" t="n">
        <x:f>IF(I366="","",I366-B366)</x:f>
        <x:v>66</x:v>
      </x:c>
      <x:c r="O366" t="str">
        <x:f>IF(TRIM(C366)&lt;&gt;TRIM(H366),"Oui","Non")</x:f>
        <x:v>Non</x:v>
      </x:c>
      <x:c r="P366" t="str">
        <x:f>IFERROR(INDEX('02_REFERENTIEL_CLIENTS'!$B$2:$B$51,MATCH(TRIM(C366),'02_REFERENTIEL_CLIENTS'!$A$2:$A$51,0)),"Non trouvé")</x:f>
        <x:v>Grands comptes</x:v>
      </x:c>
      <x:c r="Q366" t="str">
        <x:f>IFERROR(INDEX('02_REFERENTIEL_CLIENTS'!$C$2:$C$51,MATCH(TRIM(C366),'02_REFERENTIEL_CLIENTS'!$A$2:$A$51,0)),"Non trouvé")</x:f>
        <x:v>France</x:v>
      </x:c>
      <x:c r="R366" t="str">
        <x:f>IF(OR(F366&lt;=0,G366&lt;0,G366&gt;F366,N366&lt;0,P366="Non trouvé"),"À vérifier","OK")</x:f>
        <x:v>OK</x:v>
      </x:c>
    </x:row>
    <x:row r="367">
      <x:c r="A367" t="str">
        <x:v>DV-2025-00366</x:v>
      </x:c>
      <x:c r="B367" s="16" t="n">
        <x:v>45743</x:v>
      </x:c>
      <x:c r="C367" t="str">
        <x:v>Client 23</x:v>
      </x:c>
      <x:c r="D367" t="str">
        <x:v>Express</x:v>
      </x:c>
      <x:c r="E367" t="str">
        <x:v>Pôle A</x:v>
      </x:c>
      <x:c r="F367" s="18" t="n">
        <x:v>13677.59</x:v>
      </x:c>
      <x:c r="G367" s="18" t="n">
        <x:v>13677.59</x:v>
      </x:c>
      <x:c r="H367" t="str">
        <x:v>Client 23</x:v>
      </x:c>
      <x:c r="I367" s="16" t="n">
        <x:v>45792</x:v>
      </x:c>
      <x:c r="J367" t="n">
        <x:f>YEAR(B367)</x:f>
        <x:v>2025</x:v>
      </x:c>
      <x:c r="K367" s="20" t="n">
        <x:f>DATE(YEAR(B367),MONTH(B367),1)</x:f>
        <x:v>45717</x:v>
      </x:c>
      <x:c r="L367" s="18" t="n">
        <x:f>F367-G367</x:f>
        <x:v>0</x:v>
      </x:c>
      <x:c r="M367" t="str">
        <x:f>IF(L367&lt;=0,"Payée",IF(G367=0,"Impayée","Partielle"))</x:f>
        <x:v>Payée</x:v>
      </x:c>
      <x:c r="N367" t="n">
        <x:f>IF(I367="","",I367-B367)</x:f>
        <x:v>49</x:v>
      </x:c>
      <x:c r="O367" t="str">
        <x:f>IF(TRIM(C367)&lt;&gt;TRIM(H367),"Oui","Non")</x:f>
        <x:v>Non</x:v>
      </x:c>
      <x:c r="P367" t="str">
        <x:f>IFERROR(INDEX('02_REFERENTIEL_CLIENTS'!$B$2:$B$51,MATCH(TRIM(C367),'02_REFERENTIEL_CLIENTS'!$A$2:$A$51,0)),"Non trouvé")</x:f>
        <x:v>PME</x:v>
      </x:c>
      <x:c r="Q367" t="str">
        <x:f>IFERROR(INDEX('02_REFERENTIEL_CLIENTS'!$C$2:$C$51,MATCH(TRIM(C367),'02_REFERENTIEL_CLIENTS'!$A$2:$A$51,0)),"Non trouvé")</x:f>
        <x:v>Europe</x:v>
      </x:c>
      <x:c r="R367" t="str">
        <x:f>IF(OR(F367&lt;=0,G367&lt;0,G367&gt;F367,N367&lt;0,P367="Non trouvé"),"À vérifier","OK")</x:f>
        <x:v>OK</x:v>
      </x:c>
    </x:row>
    <x:row r="368">
      <x:c r="A368" t="str">
        <x:v>DV-2024-00367</x:v>
      </x:c>
      <x:c r="B368" s="16" t="n">
        <x:v>45611</x:v>
      </x:c>
      <x:c r="C368" t="str">
        <x:v>Client 48</x:v>
      </x:c>
      <x:c r="D368" t="str">
        <x:v>Fret maritime</x:v>
      </x:c>
      <x:c r="E368" t="str">
        <x:v>Pôle B</x:v>
      </x:c>
      <x:c r="F368" s="18" t="n">
        <x:v>2884.46</x:v>
      </x:c>
      <x:c r="G368" s="18" t="n">
        <x:v>0</x:v>
      </x:c>
      <x:c r="H368" t="str">
        <x:v>Client 48</x:v>
      </x:c>
      <x:c r="I368" s="16"/>
      <x:c r="J368" t="n">
        <x:f>YEAR(B368)</x:f>
        <x:v>2024</x:v>
      </x:c>
      <x:c r="K368" s="20" t="n">
        <x:f>DATE(YEAR(B368),MONTH(B368),1)</x:f>
        <x:v>45597</x:v>
      </x:c>
      <x:c r="L368" s="18" t="n">
        <x:f>F368-G368</x:f>
        <x:v>2884.46</x:v>
      </x:c>
      <x:c r="M368" t="str">
        <x:f>IF(L368&lt;=0,"Payée",IF(G368=0,"Impayée","Partielle"))</x:f>
        <x:v>Impayée</x:v>
      </x:c>
      <x:c r="N368" t="str">
        <x:f>IF(I368="","",I368-B368)</x:f>
      </x:c>
      <x:c r="O368" t="str">
        <x:f>IF(TRIM(C368)&lt;&gt;TRIM(H368),"Oui","Non")</x:f>
        <x:v>Non</x:v>
      </x:c>
      <x:c r="P368" t="str">
        <x:f>IFERROR(INDEX('02_REFERENTIEL_CLIENTS'!$B$2:$B$51,MATCH(TRIM(C368),'02_REFERENTIEL_CLIENTS'!$A$2:$A$51,0)),"Non trouvé")</x:f>
        <x:v>Particuliers</x:v>
      </x:c>
      <x:c r="Q368" t="str">
        <x:f>IFERROR(INDEX('02_REFERENTIEL_CLIENTS'!$C$2:$C$51,MATCH(TRIM(C368),'02_REFERENTIEL_CLIENTS'!$A$2:$A$51,0)),"Non trouvé")</x:f>
        <x:v>International</x:v>
      </x:c>
      <x:c r="R368" t="str">
        <x:f>IF(OR(F368&lt;=0,G368&lt;0,G368&gt;F368,N368&lt;0,P368="Non trouvé"),"À vérifier","OK")</x:f>
        <x:v>OK</x:v>
      </x:c>
    </x:row>
    <x:row r="369">
      <x:c r="A369" t="str">
        <x:v>DV-2025-00368</x:v>
      </x:c>
      <x:c r="B369" s="16" t="n">
        <x:v>45849</x:v>
      </x:c>
      <x:c r="C369" t="str">
        <x:v>Client 32</x:v>
      </x:c>
      <x:c r="D369" t="str">
        <x:v>Fret maritime</x:v>
      </x:c>
      <x:c r="E369" t="str">
        <x:v>Pôle C</x:v>
      </x:c>
      <x:c r="F369" s="18" t="n">
        <x:v>6782.15</x:v>
      </x:c>
      <x:c r="G369" s="18" t="n">
        <x:v>6782.15</x:v>
      </x:c>
      <x:c r="H369" t="str">
        <x:v>Client 32</x:v>
      </x:c>
      <x:c r="I369" s="16" t="n">
        <x:v>45880</x:v>
      </x:c>
      <x:c r="J369" t="n">
        <x:f>YEAR(B369)</x:f>
        <x:v>2025</x:v>
      </x:c>
      <x:c r="K369" s="20" t="n">
        <x:f>DATE(YEAR(B369),MONTH(B369),1)</x:f>
        <x:v>45839</x:v>
      </x:c>
      <x:c r="L369" s="18" t="n">
        <x:f>F369-G369</x:f>
        <x:v>0</x:v>
      </x:c>
      <x:c r="M369" t="str">
        <x:f>IF(L369&lt;=0,"Payée",IF(G369=0,"Impayée","Partielle"))</x:f>
        <x:v>Payée</x:v>
      </x:c>
      <x:c r="N369" t="n">
        <x:f>IF(I369="","",I369-B369)</x:f>
        <x:v>31</x:v>
      </x:c>
      <x:c r="O369" t="str">
        <x:f>IF(TRIM(C369)&lt;&gt;TRIM(H369),"Oui","Non")</x:f>
        <x:v>Non</x:v>
      </x:c>
      <x:c r="P369" t="str">
        <x:f>IFERROR(INDEX('02_REFERENTIEL_CLIENTS'!$B$2:$B$51,MATCH(TRIM(C369),'02_REFERENTIEL_CLIENTS'!$A$2:$A$51,0)),"Non trouvé")</x:f>
        <x:v>PME</x:v>
      </x:c>
      <x:c r="Q369" t="str">
        <x:f>IFERROR(INDEX('02_REFERENTIEL_CLIENTS'!$C$2:$C$51,MATCH(TRIM(C369),'02_REFERENTIEL_CLIENTS'!$A$2:$A$51,0)),"Non trouvé")</x:f>
        <x:v>Europe</x:v>
      </x:c>
      <x:c r="R369" t="str">
        <x:f>IF(OR(F369&lt;=0,G369&lt;0,G369&gt;F369,N369&lt;0,P369="Non trouvé"),"À vérifier","OK")</x:f>
        <x:v>OK</x:v>
      </x:c>
    </x:row>
    <x:row r="370">
      <x:c r="A370" t="str">
        <x:v>DV-2025-00369</x:v>
      </x:c>
      <x:c r="B370" s="16" t="n">
        <x:v>45855</x:v>
      </x:c>
      <x:c r="C370" t="str">
        <x:v>Client 17</x:v>
      </x:c>
      <x:c r="D370" t="str">
        <x:v>Fret maritime</x:v>
      </x:c>
      <x:c r="E370" t="str">
        <x:v>Pôle B</x:v>
      </x:c>
      <x:c r="F370" s="18" t="n">
        <x:v>1309.07</x:v>
      </x:c>
      <x:c r="G370" s="18" t="n">
        <x:v>1309.07</x:v>
      </x:c>
      <x:c r="H370" t="str">
        <x:v>Client 17</x:v>
      </x:c>
      <x:c r="I370" s="16" t="n">
        <x:v>45946</x:v>
      </x:c>
      <x:c r="J370" t="n">
        <x:f>YEAR(B370)</x:f>
        <x:v>2025</x:v>
      </x:c>
      <x:c r="K370" s="20" t="n">
        <x:f>DATE(YEAR(B370),MONTH(B370),1)</x:f>
        <x:v>45839</x:v>
      </x:c>
      <x:c r="L370" s="18" t="n">
        <x:f>F370-G370</x:f>
        <x:v>0</x:v>
      </x:c>
      <x:c r="M370" t="str">
        <x:f>IF(L370&lt;=0,"Payée",IF(G370=0,"Impayée","Partielle"))</x:f>
        <x:v>Payée</x:v>
      </x:c>
      <x:c r="N370" t="n">
        <x:f>IF(I370="","",I370-B370)</x:f>
        <x:v>91</x:v>
      </x:c>
      <x:c r="O370" t="str">
        <x:f>IF(TRIM(C370)&lt;&gt;TRIM(H370),"Oui","Non")</x:f>
        <x:v>Non</x:v>
      </x:c>
      <x:c r="P370" t="str">
        <x:f>IFERROR(INDEX('02_REFERENTIEL_CLIENTS'!$B$2:$B$51,MATCH(TRIM(C370),'02_REFERENTIEL_CLIENTS'!$A$2:$A$51,0)),"Non trouvé")</x:f>
        <x:v>PME</x:v>
      </x:c>
      <x:c r="Q370" t="str">
        <x:f>IFERROR(INDEX('02_REFERENTIEL_CLIENTS'!$C$2:$C$51,MATCH(TRIM(C370),'02_REFERENTIEL_CLIENTS'!$A$2:$A$51,0)),"Non trouvé")</x:f>
        <x:v>Europe</x:v>
      </x:c>
      <x:c r="R370" t="str">
        <x:f>IF(OR(F370&lt;=0,G370&lt;0,G370&gt;F370,N370&lt;0,P370="Non trouvé"),"À vérifier","OK")</x:f>
        <x:v>OK</x:v>
      </x:c>
    </x:row>
    <x:row r="371">
      <x:c r="A371" t="str">
        <x:v>DV-2026-00370</x:v>
      </x:c>
      <x:c r="B371" s="16" t="n">
        <x:v>46231</x:v>
      </x:c>
      <x:c r="C371" t="str">
        <x:v>Client 15</x:v>
      </x:c>
      <x:c r="D371" t="str">
        <x:v>Logistique</x:v>
      </x:c>
      <x:c r="E371" t="str">
        <x:v>Pôle E</x:v>
      </x:c>
      <x:c r="F371" s="18" t="n">
        <x:v>18028.48</x:v>
      </x:c>
      <x:c r="G371" s="18" t="n">
        <x:v>3497.72</x:v>
      </x:c>
      <x:c r="H371" t="str">
        <x:v>Client 15</x:v>
      </x:c>
      <x:c r="I371" s="16" t="n">
        <x:v>46272</x:v>
      </x:c>
      <x:c r="J371" t="n">
        <x:f>YEAR(B371)</x:f>
        <x:v>2026</x:v>
      </x:c>
      <x:c r="K371" s="20" t="n">
        <x:f>DATE(YEAR(B371),MONTH(B371),1)</x:f>
        <x:v>46204</x:v>
      </x:c>
      <x:c r="L371" s="18" t="n">
        <x:f>F371-G371</x:f>
        <x:v>14530.76</x:v>
      </x:c>
      <x:c r="M371" t="str">
        <x:f>IF(L371&lt;=0,"Payée",IF(G371=0,"Impayée","Partielle"))</x:f>
        <x:v>Partielle</x:v>
      </x:c>
      <x:c r="N371" t="n">
        <x:f>IF(I371="","",I371-B371)</x:f>
        <x:v>41</x:v>
      </x:c>
      <x:c r="O371" t="str">
        <x:f>IF(TRIM(C371)&lt;&gt;TRIM(H371),"Oui","Non")</x:f>
        <x:v>Non</x:v>
      </x:c>
      <x:c r="P371" t="str">
        <x:f>IFERROR(INDEX('02_REFERENTIEL_CLIENTS'!$B$2:$B$51,MATCH(TRIM(C371),'02_REFERENTIEL_CLIENTS'!$A$2:$A$51,0)),"Non trouvé")</x:f>
        <x:v>Particuliers</x:v>
      </x:c>
      <x:c r="Q371" t="str">
        <x:f>IFERROR(INDEX('02_REFERENTIEL_CLIENTS'!$C$2:$C$51,MATCH(TRIM(C371),'02_REFERENTIEL_CLIENTS'!$A$2:$A$51,0)),"Non trouvé")</x:f>
        <x:v>International</x:v>
      </x:c>
      <x:c r="R371" t="str">
        <x:f>IF(OR(F371&lt;=0,G371&lt;0,G371&gt;F371,N371&lt;0,P371="Non trouvé"),"À vérifier","OK")</x:f>
        <x:v>OK</x:v>
      </x:c>
    </x:row>
    <x:row r="372">
      <x:c r="A372" t="str">
        <x:v>DV-2024-00371</x:v>
      </x:c>
      <x:c r="B372" s="16" t="n">
        <x:v>45559</x:v>
      </x:c>
      <x:c r="C372" t="str">
        <x:v>Client 14</x:v>
      </x:c>
      <x:c r="D372" t="str">
        <x:v>Logistique</x:v>
      </x:c>
      <x:c r="E372" t="str">
        <x:v>Pôle E</x:v>
      </x:c>
      <x:c r="F372" s="18" t="n">
        <x:v>6513.15</x:v>
      </x:c>
      <x:c r="G372" s="18" t="n">
        <x:v>6513.15</x:v>
      </x:c>
      <x:c r="H372" t="str">
        <x:v>Client 14</x:v>
      </x:c>
      <x:c r="I372" s="16" t="n">
        <x:v>45603</x:v>
      </x:c>
      <x:c r="J372" t="n">
        <x:f>YEAR(B372)</x:f>
        <x:v>2024</x:v>
      </x:c>
      <x:c r="K372" s="20" t="n">
        <x:f>DATE(YEAR(B372),MONTH(B372),1)</x:f>
        <x:v>45536</x:v>
      </x:c>
      <x:c r="L372" s="18" t="n">
        <x:f>F372-G372</x:f>
        <x:v>0</x:v>
      </x:c>
      <x:c r="M372" t="str">
        <x:f>IF(L372&lt;=0,"Payée",IF(G372=0,"Impayée","Partielle"))</x:f>
        <x:v>Payée</x:v>
      </x:c>
      <x:c r="N372" t="n">
        <x:f>IF(I372="","",I372-B372)</x:f>
        <x:v>44</x:v>
      </x:c>
      <x:c r="O372" t="str">
        <x:f>IF(TRIM(C372)&lt;&gt;TRIM(H372),"Oui","Non")</x:f>
        <x:v>Non</x:v>
      </x:c>
      <x:c r="P372" t="str">
        <x:f>IFERROR(INDEX('02_REFERENTIEL_CLIENTS'!$B$2:$B$51,MATCH(TRIM(C372),'02_REFERENTIEL_CLIENTS'!$A$2:$A$51,0)),"Non trouvé")</x:f>
        <x:v>PME</x:v>
      </x:c>
      <x:c r="Q372" t="str">
        <x:f>IFERROR(INDEX('02_REFERENTIEL_CLIENTS'!$C$2:$C$51,MATCH(TRIM(C372),'02_REFERENTIEL_CLIENTS'!$A$2:$A$51,0)),"Non trouvé")</x:f>
        <x:v>Europe</x:v>
      </x:c>
      <x:c r="R372" t="str">
        <x:f>IF(OR(F372&lt;=0,G372&lt;0,G372&gt;F372,N372&lt;0,P372="Non trouvé"),"À vérifier","OK")</x:f>
        <x:v>OK</x:v>
      </x:c>
    </x:row>
    <x:row r="373">
      <x:c r="A373" t="str">
        <x:v>DV-2024-00372</x:v>
      </x:c>
      <x:c r="B373" s="16" t="n">
        <x:v>45326</x:v>
      </x:c>
      <x:c r="C373" t="str">
        <x:v>Client 12</x:v>
      </x:c>
      <x:c r="D373" t="str">
        <x:v>Douane</x:v>
      </x:c>
      <x:c r="E373" t="str">
        <x:v>Pôle B</x:v>
      </x:c>
      <x:c r="F373" s="18" t="n">
        <x:v>16330.51</x:v>
      </x:c>
      <x:c r="G373" s="18" t="n">
        <x:v>16330.51</x:v>
      </x:c>
      <x:c r="H373" t="str">
        <x:v>Client 02</x:v>
      </x:c>
      <x:c r="I373" s="16" t="n">
        <x:v>45343</x:v>
      </x:c>
      <x:c r="J373" t="n">
        <x:f>YEAR(B373)</x:f>
        <x:v>2024</x:v>
      </x:c>
      <x:c r="K373" s="20" t="n">
        <x:f>DATE(YEAR(B373),MONTH(B373),1)</x:f>
        <x:v>45323</x:v>
      </x:c>
      <x:c r="L373" s="18" t="n">
        <x:f>F373-G373</x:f>
        <x:v>0</x:v>
      </x:c>
      <x:c r="M373" t="str">
        <x:f>IF(L373&lt;=0,"Payée",IF(G373=0,"Impayée","Partielle"))</x:f>
        <x:v>Payée</x:v>
      </x:c>
      <x:c r="N373" t="n">
        <x:f>IF(I373="","",I373-B373)</x:f>
        <x:v>17</x:v>
      </x:c>
      <x:c r="O373" t="str">
        <x:f>IF(TRIM(C373)&lt;&gt;TRIM(H373),"Oui","Non")</x:f>
        <x:v>Oui</x:v>
      </x:c>
      <x:c r="P373" t="str">
        <x:f>IFERROR(INDEX('02_REFERENTIEL_CLIENTS'!$B$2:$B$51,MATCH(TRIM(C373),'02_REFERENTIEL_CLIENTS'!$A$2:$A$51,0)),"Non trouvé")</x:f>
        <x:v>Particuliers</x:v>
      </x:c>
      <x:c r="Q373" t="str">
        <x:f>IFERROR(INDEX('02_REFERENTIEL_CLIENTS'!$C$2:$C$51,MATCH(TRIM(C373),'02_REFERENTIEL_CLIENTS'!$A$2:$A$51,0)),"Non trouvé")</x:f>
        <x:v>International</x:v>
      </x:c>
      <x:c r="R373" t="str">
        <x:f>IF(OR(F373&lt;=0,G373&lt;0,G373&gt;F373,N373&lt;0,P373="Non trouvé"),"À vérifier","OK")</x:f>
        <x:v>OK</x:v>
      </x:c>
    </x:row>
    <x:row r="374">
      <x:c r="A374" t="str">
        <x:v>DV-2025-00373</x:v>
      </x:c>
      <x:c r="B374" s="16" t="n">
        <x:v>45703</x:v>
      </x:c>
      <x:c r="C374" t="str">
        <x:v>Client 01</x:v>
      </x:c>
      <x:c r="D374" t="str">
        <x:v>Logistique</x:v>
      </x:c>
      <x:c r="E374" t="str">
        <x:v>Pôle E</x:v>
      </x:c>
      <x:c r="F374" s="18" t="n">
        <x:v>9286.49</x:v>
      </x:c>
      <x:c r="G374" s="18" t="n">
        <x:v>7261.27</x:v>
      </x:c>
      <x:c r="H374" t="str">
        <x:v>Client 01</x:v>
      </x:c>
      <x:c r="I374" s="16" t="n">
        <x:v>45774</x:v>
      </x:c>
      <x:c r="J374" t="n">
        <x:f>YEAR(B374)</x:f>
        <x:v>2025</x:v>
      </x:c>
      <x:c r="K374" s="20" t="n">
        <x:f>DATE(YEAR(B374),MONTH(B374),1)</x:f>
        <x:v>45689</x:v>
      </x:c>
      <x:c r="L374" s="18" t="n">
        <x:f>F374-G374</x:f>
        <x:v>2025.2199999999993</x:v>
      </x:c>
      <x:c r="M374" t="str">
        <x:f>IF(L374&lt;=0,"Payée",IF(G374=0,"Impayée","Partielle"))</x:f>
        <x:v>Partielle</x:v>
      </x:c>
      <x:c r="N374" t="n">
        <x:f>IF(I374="","",I374-B374)</x:f>
        <x:v>71</x:v>
      </x:c>
      <x:c r="O374" t="str">
        <x:f>IF(TRIM(C374)&lt;&gt;TRIM(H374),"Oui","Non")</x:f>
        <x:v>Non</x:v>
      </x:c>
      <x:c r="P374" t="str">
        <x:f>IFERROR(INDEX('02_REFERENTIEL_CLIENTS'!$B$2:$B$51,MATCH(TRIM(C374),'02_REFERENTIEL_CLIENTS'!$A$2:$A$51,0)),"Non trouvé")</x:f>
        <x:v>Grands comptes</x:v>
      </x:c>
      <x:c r="Q374" t="str">
        <x:f>IFERROR(INDEX('02_REFERENTIEL_CLIENTS'!$C$2:$C$51,MATCH(TRIM(C374),'02_REFERENTIEL_CLIENTS'!$A$2:$A$51,0)),"Non trouvé")</x:f>
        <x:v>France</x:v>
      </x:c>
      <x:c r="R374" t="str">
        <x:f>IF(OR(F374&lt;=0,G374&lt;0,G374&gt;F374,N374&lt;0,P374="Non trouvé"),"À vérifier","OK")</x:f>
        <x:v>OK</x:v>
      </x:c>
    </x:row>
    <x:row r="375">
      <x:c r="A375" t="str">
        <x:v>DV-2025-00374</x:v>
      </x:c>
      <x:c r="B375" s="16" t="n">
        <x:v>45742</x:v>
      </x:c>
      <x:c r="C375" t="str">
        <x:v>Client 07</x:v>
      </x:c>
      <x:c r="D375" t="str">
        <x:v>Fret maritime</x:v>
      </x:c>
      <x:c r="E375" t="str">
        <x:v>Pôle E</x:v>
      </x:c>
      <x:c r="F375" s="18" t="n">
        <x:v>11346.71</x:v>
      </x:c>
      <x:c r="G375" s="18" t="n">
        <x:v>6232.24</x:v>
      </x:c>
      <x:c r="H375" t="str">
        <x:v>Client 07</x:v>
      </x:c>
      <x:c r="I375" s="16" t="n">
        <x:v>45788</x:v>
      </x:c>
      <x:c r="J375" t="n">
        <x:f>YEAR(B375)</x:f>
        <x:v>2025</x:v>
      </x:c>
      <x:c r="K375" s="20" t="n">
        <x:f>DATE(YEAR(B375),MONTH(B375),1)</x:f>
        <x:v>45717</x:v>
      </x:c>
      <x:c r="L375" s="18" t="n">
        <x:f>F375-G375</x:f>
        <x:v>5114.469999999999</x:v>
      </x:c>
      <x:c r="M375" t="str">
        <x:f>IF(L375&lt;=0,"Payée",IF(G375=0,"Impayée","Partielle"))</x:f>
        <x:v>Partielle</x:v>
      </x:c>
      <x:c r="N375" t="n">
        <x:f>IF(I375="","",I375-B375)</x:f>
        <x:v>46</x:v>
      </x:c>
      <x:c r="O375" t="str">
        <x:f>IF(TRIM(C375)&lt;&gt;TRIM(H375),"Oui","Non")</x:f>
        <x:v>Non</x:v>
      </x:c>
      <x:c r="P375" t="str">
        <x:f>IFERROR(INDEX('02_REFERENTIEL_CLIENTS'!$B$2:$B$51,MATCH(TRIM(C375),'02_REFERENTIEL_CLIENTS'!$A$2:$A$51,0)),"Non trouvé")</x:f>
        <x:v>Grands comptes</x:v>
      </x:c>
      <x:c r="Q375" t="str">
        <x:f>IFERROR(INDEX('02_REFERENTIEL_CLIENTS'!$C$2:$C$51,MATCH(TRIM(C375),'02_REFERENTIEL_CLIENTS'!$A$2:$A$51,0)),"Non trouvé")</x:f>
        <x:v>France</x:v>
      </x:c>
      <x:c r="R375" t="str">
        <x:f>IF(OR(F375&lt;=0,G375&lt;0,G375&gt;F375,N375&lt;0,P375="Non trouvé"),"À vérifier","OK")</x:f>
        <x:v>OK</x:v>
      </x:c>
    </x:row>
    <x:row r="376">
      <x:c r="A376" t="str">
        <x:v>DV-2024-00375</x:v>
      </x:c>
      <x:c r="B376" s="16" t="n">
        <x:v>45321</x:v>
      </x:c>
      <x:c r="C376" t="str">
        <x:v>Client 35</x:v>
      </x:c>
      <x:c r="D376" t="str">
        <x:v>Logistique</x:v>
      </x:c>
      <x:c r="E376" t="str">
        <x:v>Pôle E</x:v>
      </x:c>
      <x:c r="F376" s="18" t="n">
        <x:v>20919.99</x:v>
      </x:c>
      <x:c r="G376" s="18" t="n">
        <x:v>20919.99</x:v>
      </x:c>
      <x:c r="H376" t="str">
        <x:v>Client 35</x:v>
      </x:c>
      <x:c r="I376" s="16" t="n">
        <x:v>45386</x:v>
      </x:c>
      <x:c r="J376" t="n">
        <x:f>YEAR(B376)</x:f>
        <x:v>2024</x:v>
      </x:c>
      <x:c r="K376" s="20" t="n">
        <x:f>DATE(YEAR(B376),MONTH(B376),1)</x:f>
        <x:v>45292</x:v>
      </x:c>
      <x:c r="L376" s="18" t="n">
        <x:f>F376-G376</x:f>
        <x:v>0</x:v>
      </x:c>
      <x:c r="M376" t="str">
        <x:f>IF(L376&lt;=0,"Payée",IF(G376=0,"Impayée","Partielle"))</x:f>
        <x:v>Payée</x:v>
      </x:c>
      <x:c r="N376" t="n">
        <x:f>IF(I376="","",I376-B376)</x:f>
        <x:v>65</x:v>
      </x:c>
      <x:c r="O376" t="str">
        <x:f>IF(TRIM(C376)&lt;&gt;TRIM(H376),"Oui","Non")</x:f>
        <x:v>Non</x:v>
      </x:c>
      <x:c r="P376" t="str">
        <x:f>IFERROR(INDEX('02_REFERENTIEL_CLIENTS'!$B$2:$B$51,MATCH(TRIM(C376),'02_REFERENTIEL_CLIENTS'!$A$2:$A$51,0)),"Non trouvé")</x:f>
        <x:v>PME</x:v>
      </x:c>
      <x:c r="Q376" t="str">
        <x:f>IFERROR(INDEX('02_REFERENTIEL_CLIENTS'!$C$2:$C$51,MATCH(TRIM(C376),'02_REFERENTIEL_CLIENTS'!$A$2:$A$51,0)),"Non trouvé")</x:f>
        <x:v>Europe</x:v>
      </x:c>
      <x:c r="R376" t="str">
        <x:f>IF(OR(F376&lt;=0,G376&lt;0,G376&gt;F376,N376&lt;0,P376="Non trouvé"),"À vérifier","OK")</x:f>
        <x:v>OK</x:v>
      </x:c>
    </x:row>
    <x:row r="377">
      <x:c r="A377" t="str">
        <x:v>DV-2025-00376</x:v>
      </x:c>
      <x:c r="B377" s="16" t="n">
        <x:v>45742</x:v>
      </x:c>
      <x:c r="C377" t="str">
        <x:v>Client 07</x:v>
      </x:c>
      <x:c r="D377" t="str">
        <x:v>Fret aérien</x:v>
      </x:c>
      <x:c r="E377" t="str">
        <x:v>Pôle E</x:v>
      </x:c>
      <x:c r="F377" s="18" t="n">
        <x:v>7602.12</x:v>
      </x:c>
      <x:c r="G377" s="18" t="n">
        <x:v>2750.47</x:v>
      </x:c>
      <x:c r="H377" t="str">
        <x:v>Client 07</x:v>
      </x:c>
      <x:c r="I377" s="16" t="n">
        <x:v>45752</x:v>
      </x:c>
      <x:c r="J377" t="n">
        <x:f>YEAR(B377)</x:f>
        <x:v>2025</x:v>
      </x:c>
      <x:c r="K377" s="20" t="n">
        <x:f>DATE(YEAR(B377),MONTH(B377),1)</x:f>
        <x:v>45717</x:v>
      </x:c>
      <x:c r="L377" s="18" t="n">
        <x:f>F377-G377</x:f>
        <x:v>4851.65</x:v>
      </x:c>
      <x:c r="M377" t="str">
        <x:f>IF(L377&lt;=0,"Payée",IF(G377=0,"Impayée","Partielle"))</x:f>
        <x:v>Partielle</x:v>
      </x:c>
      <x:c r="N377" t="n">
        <x:f>IF(I377="","",I377-B377)</x:f>
        <x:v>10</x:v>
      </x:c>
      <x:c r="O377" t="str">
        <x:f>IF(TRIM(C377)&lt;&gt;TRIM(H377),"Oui","Non")</x:f>
        <x:v>Non</x:v>
      </x:c>
      <x:c r="P377" t="str">
        <x:f>IFERROR(INDEX('02_REFERENTIEL_CLIENTS'!$B$2:$B$51,MATCH(TRIM(C377),'02_REFERENTIEL_CLIENTS'!$A$2:$A$51,0)),"Non trouvé")</x:f>
        <x:v>Grands comptes</x:v>
      </x:c>
      <x:c r="Q377" t="str">
        <x:f>IFERROR(INDEX('02_REFERENTIEL_CLIENTS'!$C$2:$C$51,MATCH(TRIM(C377),'02_REFERENTIEL_CLIENTS'!$A$2:$A$51,0)),"Non trouvé")</x:f>
        <x:v>France</x:v>
      </x:c>
      <x:c r="R377" t="str">
        <x:f>IF(OR(F377&lt;=0,G377&lt;0,G377&gt;F377,N377&lt;0,P377="Non trouvé"),"À vérifier","OK")</x:f>
        <x:v>OK</x:v>
      </x:c>
    </x:row>
    <x:row r="378">
      <x:c r="A378" t="str">
        <x:v>DV-2024-00377</x:v>
      </x:c>
      <x:c r="B378" s="16" t="n">
        <x:v>45610</x:v>
      </x:c>
      <x:c r="C378" t="str">
        <x:v>Client 48</x:v>
      </x:c>
      <x:c r="D378" t="str">
        <x:v>Express</x:v>
      </x:c>
      <x:c r="E378" t="str">
        <x:v>Pôle D</x:v>
      </x:c>
      <x:c r="F378" s="18" t="n">
        <x:v>13982.52</x:v>
      </x:c>
      <x:c r="G378" s="18" t="n">
        <x:v>13982.52</x:v>
      </x:c>
      <x:c r="H378" t="str">
        <x:v>Client 48</x:v>
      </x:c>
      <x:c r="I378" s="16" t="n">
        <x:v>45672</x:v>
      </x:c>
      <x:c r="J378" t="n">
        <x:f>YEAR(B378)</x:f>
        <x:v>2024</x:v>
      </x:c>
      <x:c r="K378" s="20" t="n">
        <x:f>DATE(YEAR(B378),MONTH(B378),1)</x:f>
        <x:v>45597</x:v>
      </x:c>
      <x:c r="L378" s="18" t="n">
        <x:f>F378-G378</x:f>
        <x:v>0</x:v>
      </x:c>
      <x:c r="M378" t="str">
        <x:f>IF(L378&lt;=0,"Payée",IF(G378=0,"Impayée","Partielle"))</x:f>
        <x:v>Payée</x:v>
      </x:c>
      <x:c r="N378" t="n">
        <x:f>IF(I378="","",I378-B378)</x:f>
        <x:v>62</x:v>
      </x:c>
      <x:c r="O378" t="str">
        <x:f>IF(TRIM(C378)&lt;&gt;TRIM(H378),"Oui","Non")</x:f>
        <x:v>Non</x:v>
      </x:c>
      <x:c r="P378" t="str">
        <x:f>IFERROR(INDEX('02_REFERENTIEL_CLIENTS'!$B$2:$B$51,MATCH(TRIM(C378),'02_REFERENTIEL_CLIENTS'!$A$2:$A$51,0)),"Non trouvé")</x:f>
        <x:v>Particuliers</x:v>
      </x:c>
      <x:c r="Q378" t="str">
        <x:f>IFERROR(INDEX('02_REFERENTIEL_CLIENTS'!$C$2:$C$51,MATCH(TRIM(C378),'02_REFERENTIEL_CLIENTS'!$A$2:$A$51,0)),"Non trouvé")</x:f>
        <x:v>International</x:v>
      </x:c>
      <x:c r="R378" t="str">
        <x:f>IF(OR(F378&lt;=0,G378&lt;0,G378&gt;F378,N378&lt;0,P378="Non trouvé"),"À vérifier","OK")</x:f>
        <x:v>OK</x:v>
      </x:c>
    </x:row>
    <x:row r="379">
      <x:c r="A379" t="str">
        <x:v>DV-2024-00378</x:v>
      </x:c>
      <x:c r="B379" s="16" t="n">
        <x:v>45463</x:v>
      </x:c>
      <x:c r="C379" t="str">
        <x:v>Client 01</x:v>
      </x:c>
      <x:c r="D379" t="str">
        <x:v>Fret aérien</x:v>
      </x:c>
      <x:c r="E379" t="str">
        <x:v>Pôle C</x:v>
      </x:c>
      <x:c r="F379" s="18" t="n">
        <x:v>1406.9</x:v>
      </x:c>
      <x:c r="G379" s="18" t="n">
        <x:v>1406.9</x:v>
      </x:c>
      <x:c r="H379" t="str">
        <x:v>Client 01</x:v>
      </x:c>
      <x:c r="I379" s="16" t="n">
        <x:v>45522</x:v>
      </x:c>
      <x:c r="J379" t="n">
        <x:f>YEAR(B379)</x:f>
        <x:v>2024</x:v>
      </x:c>
      <x:c r="K379" s="20" t="n">
        <x:f>DATE(YEAR(B379),MONTH(B379),1)</x:f>
        <x:v>45444</x:v>
      </x:c>
      <x:c r="L379" s="18" t="n">
        <x:f>F379-G379</x:f>
        <x:v>0</x:v>
      </x:c>
      <x:c r="M379" t="str">
        <x:f>IF(L379&lt;=0,"Payée",IF(G379=0,"Impayée","Partielle"))</x:f>
        <x:v>Payée</x:v>
      </x:c>
      <x:c r="N379" t="n">
        <x:f>IF(I379="","",I379-B379)</x:f>
        <x:v>59</x:v>
      </x:c>
      <x:c r="O379" t="str">
        <x:f>IF(TRIM(C379)&lt;&gt;TRIM(H379),"Oui","Non")</x:f>
        <x:v>Non</x:v>
      </x:c>
      <x:c r="P379" t="str">
        <x:f>IFERROR(INDEX('02_REFERENTIEL_CLIENTS'!$B$2:$B$51,MATCH(TRIM(C379),'02_REFERENTIEL_CLIENTS'!$A$2:$A$51,0)),"Non trouvé")</x:f>
        <x:v>Grands comptes</x:v>
      </x:c>
      <x:c r="Q379" t="str">
        <x:f>IFERROR(INDEX('02_REFERENTIEL_CLIENTS'!$C$2:$C$51,MATCH(TRIM(C379),'02_REFERENTIEL_CLIENTS'!$A$2:$A$51,0)),"Non trouvé")</x:f>
        <x:v>France</x:v>
      </x:c>
      <x:c r="R379" t="str">
        <x:f>IF(OR(F379&lt;=0,G379&lt;0,G379&gt;F379,N379&lt;0,P379="Non trouvé"),"À vérifier","OK")</x:f>
        <x:v>OK</x:v>
      </x:c>
    </x:row>
    <x:row r="380">
      <x:c r="A380" t="str">
        <x:v>DV-2024-00379</x:v>
      </x:c>
      <x:c r="B380" s="16" t="n">
        <x:v>45655</x:v>
      </x:c>
      <x:c r="C380" t="str">
        <x:v>Client 32</x:v>
      </x:c>
      <x:c r="D380" t="str">
        <x:v>Logistique</x:v>
      </x:c>
      <x:c r="E380" t="str">
        <x:v>Pôle A</x:v>
      </x:c>
      <x:c r="F380" s="18" t="n">
        <x:v>17785.24</x:v>
      </x:c>
      <x:c r="G380" s="18" t="n">
        <x:v>17785.24</x:v>
      </x:c>
      <x:c r="H380" t="str">
        <x:v>Client 32</x:v>
      </x:c>
      <x:c r="I380" s="16" t="n">
        <x:v>45714</x:v>
      </x:c>
      <x:c r="J380" t="n">
        <x:f>YEAR(B380)</x:f>
        <x:v>2024</x:v>
      </x:c>
      <x:c r="K380" s="20" t="n">
        <x:f>DATE(YEAR(B380),MONTH(B380),1)</x:f>
        <x:v>45627</x:v>
      </x:c>
      <x:c r="L380" s="18" t="n">
        <x:f>F380-G380</x:f>
        <x:v>0</x:v>
      </x:c>
      <x:c r="M380" t="str">
        <x:f>IF(L380&lt;=0,"Payée",IF(G380=0,"Impayée","Partielle"))</x:f>
        <x:v>Payée</x:v>
      </x:c>
      <x:c r="N380" t="n">
        <x:f>IF(I380="","",I380-B380)</x:f>
        <x:v>59</x:v>
      </x:c>
      <x:c r="O380" t="str">
        <x:f>IF(TRIM(C380)&lt;&gt;TRIM(H380),"Oui","Non")</x:f>
        <x:v>Non</x:v>
      </x:c>
      <x:c r="P380" t="str">
        <x:f>IFERROR(INDEX('02_REFERENTIEL_CLIENTS'!$B$2:$B$51,MATCH(TRIM(C380),'02_REFERENTIEL_CLIENTS'!$A$2:$A$51,0)),"Non trouvé")</x:f>
        <x:v>PME</x:v>
      </x:c>
      <x:c r="Q380" t="str">
        <x:f>IFERROR(INDEX('02_REFERENTIEL_CLIENTS'!$C$2:$C$51,MATCH(TRIM(C380),'02_REFERENTIEL_CLIENTS'!$A$2:$A$51,0)),"Non trouvé")</x:f>
        <x:v>Europe</x:v>
      </x:c>
      <x:c r="R380" t="str">
        <x:f>IF(OR(F380&lt;=0,G380&lt;0,G380&gt;F380,N380&lt;0,P380="Non trouvé"),"À vérifier","OK")</x:f>
        <x:v>OK</x:v>
      </x:c>
    </x:row>
    <x:row r="381">
      <x:c r="A381" t="str">
        <x:v>DV-2025-00380</x:v>
      </x:c>
      <x:c r="B381" s="16" t="n">
        <x:v>45920</x:v>
      </x:c>
      <x:c r="C381" t="str">
        <x:v>Client 36</x:v>
      </x:c>
      <x:c r="D381" t="str">
        <x:v>Fret aérien</x:v>
      </x:c>
      <x:c r="E381" t="str">
        <x:v>Pôle B</x:v>
      </x:c>
      <x:c r="F381" s="18" t="n">
        <x:v>1547.87</x:v>
      </x:c>
      <x:c r="G381" s="18" t="n">
        <x:v>1547.87</x:v>
      </x:c>
      <x:c r="H381" t="str">
        <x:v>Client 36</x:v>
      </x:c>
      <x:c r="I381" s="16" t="n">
        <x:v>45965</x:v>
      </x:c>
      <x:c r="J381" t="n">
        <x:f>YEAR(B381)</x:f>
        <x:v>2025</x:v>
      </x:c>
      <x:c r="K381" s="20" t="n">
        <x:f>DATE(YEAR(B381),MONTH(B381),1)</x:f>
        <x:v>45901</x:v>
      </x:c>
      <x:c r="L381" s="18" t="n">
        <x:f>F381-G381</x:f>
        <x:v>0</x:v>
      </x:c>
      <x:c r="M381" t="str">
        <x:f>IF(L381&lt;=0,"Payée",IF(G381=0,"Impayée","Partielle"))</x:f>
        <x:v>Payée</x:v>
      </x:c>
      <x:c r="N381" t="n">
        <x:f>IF(I381="","",I381-B381)</x:f>
        <x:v>45</x:v>
      </x:c>
      <x:c r="O381" t="str">
        <x:f>IF(TRIM(C381)&lt;&gt;TRIM(H381),"Oui","Non")</x:f>
        <x:v>Non</x:v>
      </x:c>
      <x:c r="P381" t="str">
        <x:f>IFERROR(INDEX('02_REFERENTIEL_CLIENTS'!$B$2:$B$51,MATCH(TRIM(C381),'02_REFERENTIEL_CLIENTS'!$A$2:$A$51,0)),"Non trouvé")</x:f>
        <x:v>Particuliers</x:v>
      </x:c>
      <x:c r="Q381" t="str">
        <x:f>IFERROR(INDEX('02_REFERENTIEL_CLIENTS'!$C$2:$C$51,MATCH(TRIM(C381),'02_REFERENTIEL_CLIENTS'!$A$2:$A$51,0)),"Non trouvé")</x:f>
        <x:v>International</x:v>
      </x:c>
      <x:c r="R381" t="str">
        <x:f>IF(OR(F381&lt;=0,G381&lt;0,G381&gt;F381,N381&lt;0,P381="Non trouvé"),"À vérifier","OK")</x:f>
        <x:v>OK</x:v>
      </x:c>
    </x:row>
    <x:row r="382">
      <x:c r="A382" t="str">
        <x:v>DV-2025-00381</x:v>
      </x:c>
      <x:c r="B382" s="16" t="n">
        <x:v>45784</x:v>
      </x:c>
      <x:c r="C382" t="str">
        <x:v>Client 50</x:v>
      </x:c>
      <x:c r="D382" t="str">
        <x:v>Express</x:v>
      </x:c>
      <x:c r="E382" t="str">
        <x:v>Pôle E</x:v>
      </x:c>
      <x:c r="F382" s="18" t="n">
        <x:v>5543.42</x:v>
      </x:c>
      <x:c r="G382" s="18" t="n">
        <x:v>2550.78</x:v>
      </x:c>
      <x:c r="H382" t="str">
        <x:v>Client 50</x:v>
      </x:c>
      <x:c r="I382" s="16" t="n">
        <x:v>45833</x:v>
      </x:c>
      <x:c r="J382" t="n">
        <x:f>YEAR(B382)</x:f>
        <x:v>2025</x:v>
      </x:c>
      <x:c r="K382" s="20" t="n">
        <x:f>DATE(YEAR(B382),MONTH(B382),1)</x:f>
        <x:v>45778</x:v>
      </x:c>
      <x:c r="L382" s="18" t="n">
        <x:f>F382-G382</x:f>
        <x:v>2992.64</x:v>
      </x:c>
      <x:c r="M382" t="str">
        <x:f>IF(L382&lt;=0,"Payée",IF(G382=0,"Impayée","Partielle"))</x:f>
        <x:v>Partielle</x:v>
      </x:c>
      <x:c r="N382" t="n">
        <x:f>IF(I382="","",I382-B382)</x:f>
        <x:v>49</x:v>
      </x:c>
      <x:c r="O382" t="str">
        <x:f>IF(TRIM(C382)&lt;&gt;TRIM(H382),"Oui","Non")</x:f>
        <x:v>Non</x:v>
      </x:c>
      <x:c r="P382" t="str">
        <x:f>IFERROR(INDEX('02_REFERENTIEL_CLIENTS'!$B$2:$B$51,MATCH(TRIM(C382),'02_REFERENTIEL_CLIENTS'!$A$2:$A$51,0)),"Non trouvé")</x:f>
        <x:v>PME</x:v>
      </x:c>
      <x:c r="Q382" t="str">
        <x:f>IFERROR(INDEX('02_REFERENTIEL_CLIENTS'!$C$2:$C$51,MATCH(TRIM(C382),'02_REFERENTIEL_CLIENTS'!$A$2:$A$51,0)),"Non trouvé")</x:f>
        <x:v>Europe</x:v>
      </x:c>
      <x:c r="R382" t="str">
        <x:f>IF(OR(F382&lt;=0,G382&lt;0,G382&gt;F382,N382&lt;0,P382="Non trouvé"),"À vérifier","OK")</x:f>
        <x:v>OK</x:v>
      </x:c>
    </x:row>
    <x:row r="383">
      <x:c r="A383" t="str">
        <x:v>DV-2026-00382</x:v>
      </x:c>
      <x:c r="B383" s="16" t="n">
        <x:v>46163</x:v>
      </x:c>
      <x:c r="C383" t="str">
        <x:v>Client 49</x:v>
      </x:c>
      <x:c r="D383" t="str">
        <x:v>Express</x:v>
      </x:c>
      <x:c r="E383" t="str">
        <x:v>Pôle E</x:v>
      </x:c>
      <x:c r="F383" s="18" t="n">
        <x:v>22731.78</x:v>
      </x:c>
      <x:c r="G383" s="18" t="n">
        <x:v>10119.37</x:v>
      </x:c>
      <x:c r="H383" t="str">
        <x:v>Client 49</x:v>
      </x:c>
      <x:c r="I383" s="16" t="n">
        <x:v>46243</x:v>
      </x:c>
      <x:c r="J383" t="n">
        <x:f>YEAR(B383)</x:f>
        <x:v>2026</x:v>
      </x:c>
      <x:c r="K383" s="20" t="n">
        <x:f>DATE(YEAR(B383),MONTH(B383),1)</x:f>
        <x:v>46143</x:v>
      </x:c>
      <x:c r="L383" s="18" t="n">
        <x:f>F383-G383</x:f>
        <x:v>12612.409999999998</x:v>
      </x:c>
      <x:c r="M383" t="str">
        <x:f>IF(L383&lt;=0,"Payée",IF(G383=0,"Impayée","Partielle"))</x:f>
        <x:v>Partielle</x:v>
      </x:c>
      <x:c r="N383" t="n">
        <x:f>IF(I383="","",I383-B383)</x:f>
        <x:v>80</x:v>
      </x:c>
      <x:c r="O383" t="str">
        <x:f>IF(TRIM(C383)&lt;&gt;TRIM(H383),"Oui","Non")</x:f>
        <x:v>Non</x:v>
      </x:c>
      <x:c r="P383" t="str">
        <x:f>IFERROR(INDEX('02_REFERENTIEL_CLIENTS'!$B$2:$B$51,MATCH(TRIM(C383),'02_REFERENTIEL_CLIENTS'!$A$2:$A$51,0)),"Non trouvé")</x:f>
        <x:v>Grands comptes</x:v>
      </x:c>
      <x:c r="Q383" t="str">
        <x:f>IFERROR(INDEX('02_REFERENTIEL_CLIENTS'!$C$2:$C$51,MATCH(TRIM(C383),'02_REFERENTIEL_CLIENTS'!$A$2:$A$51,0)),"Non trouvé")</x:f>
        <x:v>France</x:v>
      </x:c>
      <x:c r="R383" t="str">
        <x:f>IF(OR(F383&lt;=0,G383&lt;0,G383&gt;F383,N383&lt;0,P383="Non trouvé"),"À vérifier","OK")</x:f>
        <x:v>OK</x:v>
      </x:c>
    </x:row>
    <x:row r="384">
      <x:c r="A384" t="str">
        <x:v>DV-2025-00383</x:v>
      </x:c>
      <x:c r="B384" s="16" t="n">
        <x:v>45991</x:v>
      </x:c>
      <x:c r="C384" t="str">
        <x:v>Client 25</x:v>
      </x:c>
      <x:c r="D384" t="str">
        <x:v>Douane</x:v>
      </x:c>
      <x:c r="E384" t="str">
        <x:v>Pôle E</x:v>
      </x:c>
      <x:c r="F384" s="18" t="n">
        <x:v>11895.23</x:v>
      </x:c>
      <x:c r="G384" s="18" t="n">
        <x:v>11895.23</x:v>
      </x:c>
      <x:c r="H384" t="str">
        <x:v>Client 25</x:v>
      </x:c>
      <x:c r="I384" s="16" t="n">
        <x:v>46063</x:v>
      </x:c>
      <x:c r="J384" t="n">
        <x:f>YEAR(B384)</x:f>
        <x:v>2025</x:v>
      </x:c>
      <x:c r="K384" s="20" t="n">
        <x:f>DATE(YEAR(B384),MONTH(B384),1)</x:f>
        <x:v>45962</x:v>
      </x:c>
      <x:c r="L384" s="18" t="n">
        <x:f>F384-G384</x:f>
        <x:v>0</x:v>
      </x:c>
      <x:c r="M384" t="str">
        <x:f>IF(L384&lt;=0,"Payée",IF(G384=0,"Impayée","Partielle"))</x:f>
        <x:v>Payée</x:v>
      </x:c>
      <x:c r="N384" t="n">
        <x:f>IF(I384="","",I384-B384)</x:f>
        <x:v>72</x:v>
      </x:c>
      <x:c r="O384" t="str">
        <x:f>IF(TRIM(C384)&lt;&gt;TRIM(H384),"Oui","Non")</x:f>
        <x:v>Non</x:v>
      </x:c>
      <x:c r="P384" t="str">
        <x:f>IFERROR(INDEX('02_REFERENTIEL_CLIENTS'!$B$2:$B$51,MATCH(TRIM(C384),'02_REFERENTIEL_CLIENTS'!$A$2:$A$51,0)),"Non trouvé")</x:f>
        <x:v>Grands comptes</x:v>
      </x:c>
      <x:c r="Q384" t="str">
        <x:f>IFERROR(INDEX('02_REFERENTIEL_CLIENTS'!$C$2:$C$51,MATCH(TRIM(C384),'02_REFERENTIEL_CLIENTS'!$A$2:$A$51,0)),"Non trouvé")</x:f>
        <x:v>France</x:v>
      </x:c>
      <x:c r="R384" t="str">
        <x:f>IF(OR(F384&lt;=0,G384&lt;0,G384&gt;F384,N384&lt;0,P384="Non trouvé"),"À vérifier","OK")</x:f>
        <x:v>OK</x:v>
      </x:c>
    </x:row>
    <x:row r="385">
      <x:c r="A385" t="str">
        <x:v>DV-2025-00384</x:v>
      </x:c>
      <x:c r="B385" s="16" t="n">
        <x:v>45919</x:v>
      </x:c>
      <x:c r="C385" t="str">
        <x:v>Client 33</x:v>
      </x:c>
      <x:c r="D385" t="str">
        <x:v>Fret maritime</x:v>
      </x:c>
      <x:c r="E385" t="str">
        <x:v>Pôle D</x:v>
      </x:c>
      <x:c r="F385" s="18" t="n">
        <x:v>7384.31</x:v>
      </x:c>
      <x:c r="G385" s="18" t="n">
        <x:v>7384.31</x:v>
      </x:c>
      <x:c r="H385" t="str">
        <x:v>Client 33</x:v>
      </x:c>
      <x:c r="I385" s="16" t="n">
        <x:v>45978</x:v>
      </x:c>
      <x:c r="J385" t="n">
        <x:f>YEAR(B385)</x:f>
        <x:v>2025</x:v>
      </x:c>
      <x:c r="K385" s="20" t="n">
        <x:f>DATE(YEAR(B385),MONTH(B385),1)</x:f>
        <x:v>45901</x:v>
      </x:c>
      <x:c r="L385" s="18" t="n">
        <x:f>F385-G385</x:f>
        <x:v>0</x:v>
      </x:c>
      <x:c r="M385" t="str">
        <x:f>IF(L385&lt;=0,"Payée",IF(G385=0,"Impayée","Partielle"))</x:f>
        <x:v>Payée</x:v>
      </x:c>
      <x:c r="N385" t="n">
        <x:f>IF(I385="","",I385-B385)</x:f>
        <x:v>59</x:v>
      </x:c>
      <x:c r="O385" t="str">
        <x:f>IF(TRIM(C385)&lt;&gt;TRIM(H385),"Oui","Non")</x:f>
        <x:v>Non</x:v>
      </x:c>
      <x:c r="P385" t="str">
        <x:f>IFERROR(INDEX('02_REFERENTIEL_CLIENTS'!$B$2:$B$51,MATCH(TRIM(C385),'02_REFERENTIEL_CLIENTS'!$A$2:$A$51,0)),"Non trouvé")</x:f>
        <x:v>Particuliers</x:v>
      </x:c>
      <x:c r="Q385" t="str">
        <x:f>IFERROR(INDEX('02_REFERENTIEL_CLIENTS'!$C$2:$C$51,MATCH(TRIM(C385),'02_REFERENTIEL_CLIENTS'!$A$2:$A$51,0)),"Non trouvé")</x:f>
        <x:v>International</x:v>
      </x:c>
      <x:c r="R385" t="str">
        <x:f>IF(OR(F385&lt;=0,G385&lt;0,G385&gt;F385,N385&lt;0,P385="Non trouvé"),"À vérifier","OK")</x:f>
        <x:v>OK</x:v>
      </x:c>
    </x:row>
    <x:row r="386">
      <x:c r="A386" t="str">
        <x:v>DV-2025-00385</x:v>
      </x:c>
      <x:c r="B386" s="16" t="n">
        <x:v>45814</x:v>
      </x:c>
      <x:c r="C386" t="str">
        <x:v>Client 03</x:v>
      </x:c>
      <x:c r="D386" t="str">
        <x:v>Express</x:v>
      </x:c>
      <x:c r="E386" t="str">
        <x:v>Pôle E</x:v>
      </x:c>
      <x:c r="F386" s="18" t="n">
        <x:v>23348.39</x:v>
      </x:c>
      <x:c r="G386" s="18" t="n">
        <x:v>23348.39</x:v>
      </x:c>
      <x:c r="H386" t="str">
        <x:v>Client 03</x:v>
      </x:c>
      <x:c r="I386" s="16" t="n">
        <x:v>45884</x:v>
      </x:c>
      <x:c r="J386" t="n">
        <x:f>YEAR(B386)</x:f>
        <x:v>2025</x:v>
      </x:c>
      <x:c r="K386" s="20" t="n">
        <x:f>DATE(YEAR(B386),MONTH(B386),1)</x:f>
        <x:v>45809</x:v>
      </x:c>
      <x:c r="L386" s="18" t="n">
        <x:f>F386-G386</x:f>
        <x:v>0</x:v>
      </x:c>
      <x:c r="M386" t="str">
        <x:f>IF(L386&lt;=0,"Payée",IF(G386=0,"Impayée","Partielle"))</x:f>
        <x:v>Payée</x:v>
      </x:c>
      <x:c r="N386" t="n">
        <x:f>IF(I386="","",I386-B386)</x:f>
        <x:v>70</x:v>
      </x:c>
      <x:c r="O386" t="str">
        <x:f>IF(TRIM(C386)&lt;&gt;TRIM(H386),"Oui","Non")</x:f>
        <x:v>Non</x:v>
      </x:c>
      <x:c r="P386" t="str">
        <x:f>IFERROR(INDEX('02_REFERENTIEL_CLIENTS'!$B$2:$B$51,MATCH(TRIM(C386),'02_REFERENTIEL_CLIENTS'!$A$2:$A$51,0)),"Non trouvé")</x:f>
        <x:v>Particuliers</x:v>
      </x:c>
      <x:c r="Q386" t="str">
        <x:f>IFERROR(INDEX('02_REFERENTIEL_CLIENTS'!$C$2:$C$51,MATCH(TRIM(C386),'02_REFERENTIEL_CLIENTS'!$A$2:$A$51,0)),"Non trouvé")</x:f>
        <x:v>International</x:v>
      </x:c>
      <x:c r="R386" t="str">
        <x:f>IF(OR(F386&lt;=0,G386&lt;0,G386&gt;F386,N386&lt;0,P386="Non trouvé"),"À vérifier","OK")</x:f>
        <x:v>OK</x:v>
      </x:c>
    </x:row>
    <x:row r="387">
      <x:c r="A387" t="str">
        <x:v>DV-2025-00386</x:v>
      </x:c>
      <x:c r="B387" s="16" t="n">
        <x:v>45902</x:v>
      </x:c>
      <x:c r="C387" t="str">
        <x:v>Client 35</x:v>
      </x:c>
      <x:c r="D387" t="str">
        <x:v>Douane</x:v>
      </x:c>
      <x:c r="E387" t="str">
        <x:v>Pôle E</x:v>
      </x:c>
      <x:c r="F387" s="18" t="n">
        <x:v>22424.29</x:v>
      </x:c>
      <x:c r="G387" s="18" t="n">
        <x:v>0</x:v>
      </x:c>
      <x:c r="H387" t="str">
        <x:v>Client 39</x:v>
      </x:c>
      <x:c r="I387" s="16"/>
      <x:c r="J387" t="n">
        <x:f>YEAR(B387)</x:f>
        <x:v>2025</x:v>
      </x:c>
      <x:c r="K387" s="20" t="n">
        <x:f>DATE(YEAR(B387),MONTH(B387),1)</x:f>
        <x:v>45901</x:v>
      </x:c>
      <x:c r="L387" s="18" t="n">
        <x:f>F387-G387</x:f>
        <x:v>22424.29</x:v>
      </x:c>
      <x:c r="M387" t="str">
        <x:f>IF(L387&lt;=0,"Payée",IF(G387=0,"Impayée","Partielle"))</x:f>
        <x:v>Impayée</x:v>
      </x:c>
      <x:c r="N387" t="str">
        <x:f>IF(I387="","",I387-B387)</x:f>
      </x:c>
      <x:c r="O387" t="str">
        <x:f>IF(TRIM(C387)&lt;&gt;TRIM(H387),"Oui","Non")</x:f>
        <x:v>Oui</x:v>
      </x:c>
      <x:c r="P387" t="str">
        <x:f>IFERROR(INDEX('02_REFERENTIEL_CLIENTS'!$B$2:$B$51,MATCH(TRIM(C387),'02_REFERENTIEL_CLIENTS'!$A$2:$A$51,0)),"Non trouvé")</x:f>
        <x:v>PME</x:v>
      </x:c>
      <x:c r="Q387" t="str">
        <x:f>IFERROR(INDEX('02_REFERENTIEL_CLIENTS'!$C$2:$C$51,MATCH(TRIM(C387),'02_REFERENTIEL_CLIENTS'!$A$2:$A$51,0)),"Non trouvé")</x:f>
        <x:v>Europe</x:v>
      </x:c>
      <x:c r="R387" t="str">
        <x:f>IF(OR(F387&lt;=0,G387&lt;0,G387&gt;F387,N387&lt;0,P387="Non trouvé"),"À vérifier","OK")</x:f>
        <x:v>OK</x:v>
      </x:c>
    </x:row>
    <x:row r="388">
      <x:c r="A388" t="str">
        <x:v>DV-2025-00387</x:v>
      </x:c>
      <x:c r="B388" s="16" t="n">
        <x:v>45937</x:v>
      </x:c>
      <x:c r="C388" t="str">
        <x:v>Client 29</x:v>
      </x:c>
      <x:c r="D388" t="str">
        <x:v>Douane</x:v>
      </x:c>
      <x:c r="E388" t="str">
        <x:v>Pôle E</x:v>
      </x:c>
      <x:c r="F388" s="18" t="n">
        <x:v>21693.78</x:v>
      </x:c>
      <x:c r="G388" s="18" t="n">
        <x:v>21693.78</x:v>
      </x:c>
      <x:c r="H388" t="str">
        <x:v>Client 14</x:v>
      </x:c>
      <x:c r="I388" s="16" t="n">
        <x:v>46000</x:v>
      </x:c>
      <x:c r="J388" t="n">
        <x:f>YEAR(B388)</x:f>
        <x:v>2025</x:v>
      </x:c>
      <x:c r="K388" s="20" t="n">
        <x:f>DATE(YEAR(B388),MONTH(B388),1)</x:f>
        <x:v>45931</x:v>
      </x:c>
      <x:c r="L388" s="18" t="n">
        <x:f>F388-G388</x:f>
        <x:v>0</x:v>
      </x:c>
      <x:c r="M388" t="str">
        <x:f>IF(L388&lt;=0,"Payée",IF(G388=0,"Impayée","Partielle"))</x:f>
        <x:v>Payée</x:v>
      </x:c>
      <x:c r="N388" t="n">
        <x:f>IF(I388="","",I388-B388)</x:f>
        <x:v>63</x:v>
      </x:c>
      <x:c r="O388" t="str">
        <x:f>IF(TRIM(C388)&lt;&gt;TRIM(H388),"Oui","Non")</x:f>
        <x:v>Oui</x:v>
      </x:c>
      <x:c r="P388" t="str">
        <x:f>IFERROR(INDEX('02_REFERENTIEL_CLIENTS'!$B$2:$B$51,MATCH(TRIM(C388),'02_REFERENTIEL_CLIENTS'!$A$2:$A$51,0)),"Non trouvé")</x:f>
        <x:v>PME</x:v>
      </x:c>
      <x:c r="Q388" t="str">
        <x:f>IFERROR(INDEX('02_REFERENTIEL_CLIENTS'!$C$2:$C$51,MATCH(TRIM(C388),'02_REFERENTIEL_CLIENTS'!$A$2:$A$51,0)),"Non trouvé")</x:f>
        <x:v>Europe</x:v>
      </x:c>
      <x:c r="R388" t="str">
        <x:f>IF(OR(F388&lt;=0,G388&lt;0,G388&gt;F388,N388&lt;0,P388="Non trouvé"),"À vérifier","OK")</x:f>
        <x:v>OK</x:v>
      </x:c>
    </x:row>
    <x:row r="389">
      <x:c r="A389" t="str">
        <x:v>DV-2024-00388</x:v>
      </x:c>
      <x:c r="B389" s="16" t="n">
        <x:v>45319</x:v>
      </x:c>
      <x:c r="C389" t="str">
        <x:v>Client 06</x:v>
      </x:c>
      <x:c r="D389" t="str">
        <x:v>Fret aérien</x:v>
      </x:c>
      <x:c r="E389" t="str">
        <x:v>Pôle B</x:v>
      </x:c>
      <x:c r="F389" s="18" t="n">
        <x:v>3856.5</x:v>
      </x:c>
      <x:c r="G389" s="18" t="n">
        <x:v>2283.52</x:v>
      </x:c>
      <x:c r="H389" t="str">
        <x:v>Client 48</x:v>
      </x:c>
      <x:c r="I389" s="16" t="n">
        <x:v>45330</x:v>
      </x:c>
      <x:c r="J389" t="n">
        <x:f>YEAR(B389)</x:f>
        <x:v>2024</x:v>
      </x:c>
      <x:c r="K389" s="20" t="n">
        <x:f>DATE(YEAR(B389),MONTH(B389),1)</x:f>
        <x:v>45292</x:v>
      </x:c>
      <x:c r="L389" s="18" t="n">
        <x:f>F389-G389</x:f>
        <x:v>1572.98</x:v>
      </x:c>
      <x:c r="M389" t="str">
        <x:f>IF(L389&lt;=0,"Payée",IF(G389=0,"Impayée","Partielle"))</x:f>
        <x:v>Partielle</x:v>
      </x:c>
      <x:c r="N389" t="n">
        <x:f>IF(I389="","",I389-B389)</x:f>
        <x:v>11</x:v>
      </x:c>
      <x:c r="O389" t="str">
        <x:f>IF(TRIM(C389)&lt;&gt;TRIM(H389),"Oui","Non")</x:f>
        <x:v>Oui</x:v>
      </x:c>
      <x:c r="P389" t="str">
        <x:f>IFERROR(INDEX('02_REFERENTIEL_CLIENTS'!$B$2:$B$51,MATCH(TRIM(C389),'02_REFERENTIEL_CLIENTS'!$A$2:$A$51,0)),"Non trouvé")</x:f>
        <x:v>Particuliers</x:v>
      </x:c>
      <x:c r="Q389" t="str">
        <x:f>IFERROR(INDEX('02_REFERENTIEL_CLIENTS'!$C$2:$C$51,MATCH(TRIM(C389),'02_REFERENTIEL_CLIENTS'!$A$2:$A$51,0)),"Non trouvé")</x:f>
        <x:v>International</x:v>
      </x:c>
      <x:c r="R389" t="str">
        <x:f>IF(OR(F389&lt;=0,G389&lt;0,G389&gt;F389,N389&lt;0,P389="Non trouvé"),"À vérifier","OK")</x:f>
        <x:v>OK</x:v>
      </x:c>
    </x:row>
    <x:row r="390">
      <x:c r="A390" t="str">
        <x:v>DV-2025-00389</x:v>
      </x:c>
      <x:c r="B390" s="16" t="n">
        <x:v>45939</x:v>
      </x:c>
      <x:c r="C390" t="str">
        <x:v>Client 43</x:v>
      </x:c>
      <x:c r="D390" t="str">
        <x:v>Logistique</x:v>
      </x:c>
      <x:c r="E390" t="str">
        <x:v>Pôle A</x:v>
      </x:c>
      <x:c r="F390" s="18" t="n">
        <x:v>16410.17</x:v>
      </x:c>
      <x:c r="G390" s="18" t="n">
        <x:v>9202.25</x:v>
      </x:c>
      <x:c r="H390" t="str">
        <x:v>Client 43</x:v>
      </x:c>
      <x:c r="I390" s="16" t="n">
        <x:v>45993</x:v>
      </x:c>
      <x:c r="J390" t="n">
        <x:f>YEAR(B390)</x:f>
        <x:v>2025</x:v>
      </x:c>
      <x:c r="K390" s="20" t="n">
        <x:f>DATE(YEAR(B390),MONTH(B390),1)</x:f>
        <x:v>45931</x:v>
      </x:c>
      <x:c r="L390" s="18" t="n">
        <x:f>F390-G390</x:f>
        <x:v>7207.919999999998</x:v>
      </x:c>
      <x:c r="M390" t="str">
        <x:f>IF(L390&lt;=0,"Payée",IF(G390=0,"Impayée","Partielle"))</x:f>
        <x:v>Partielle</x:v>
      </x:c>
      <x:c r="N390" t="n">
        <x:f>IF(I390="","",I390-B390)</x:f>
        <x:v>54</x:v>
      </x:c>
      <x:c r="O390" t="str">
        <x:f>IF(TRIM(C390)&lt;&gt;TRIM(H390),"Oui","Non")</x:f>
        <x:v>Non</x:v>
      </x:c>
      <x:c r="P390" t="str">
        <x:f>IFERROR(INDEX('02_REFERENTIEL_CLIENTS'!$B$2:$B$51,MATCH(TRIM(C390),'02_REFERENTIEL_CLIENTS'!$A$2:$A$51,0)),"Non trouvé")</x:f>
        <x:v>Grands comptes</x:v>
      </x:c>
      <x:c r="Q390" t="str">
        <x:f>IFERROR(INDEX('02_REFERENTIEL_CLIENTS'!$C$2:$C$51,MATCH(TRIM(C390),'02_REFERENTIEL_CLIENTS'!$A$2:$A$51,0)),"Non trouvé")</x:f>
        <x:v>France</x:v>
      </x:c>
      <x:c r="R390" t="str">
        <x:f>IF(OR(F390&lt;=0,G390&lt;0,G390&gt;F390,N390&lt;0,P390="Non trouvé"),"À vérifier","OK")</x:f>
        <x:v>OK</x:v>
      </x:c>
    </x:row>
    <x:row r="391">
      <x:c r="A391" t="str">
        <x:v>DV-2024-00390</x:v>
      </x:c>
      <x:c r="B391" s="16" t="n">
        <x:v>45587</x:v>
      </x:c>
      <x:c r="C391" t="str">
        <x:v>Client 42</x:v>
      </x:c>
      <x:c r="D391" t="str">
        <x:v>Express</x:v>
      </x:c>
      <x:c r="E391" t="str">
        <x:v>Pôle B</x:v>
      </x:c>
      <x:c r="F391" s="18" t="n">
        <x:v>13423.03</x:v>
      </x:c>
      <x:c r="G391" s="18" t="n">
        <x:v>13423.03</x:v>
      </x:c>
      <x:c r="H391" t="str">
        <x:v>Client 42</x:v>
      </x:c>
      <x:c r="I391" s="16" t="n">
        <x:v>45619</x:v>
      </x:c>
      <x:c r="J391" t="n">
        <x:f>YEAR(B391)</x:f>
        <x:v>2024</x:v>
      </x:c>
      <x:c r="K391" s="20" t="n">
        <x:f>DATE(YEAR(B391),MONTH(B391),1)</x:f>
        <x:v>45566</x:v>
      </x:c>
      <x:c r="L391" s="18" t="n">
        <x:f>F391-G391</x:f>
        <x:v>0</x:v>
      </x:c>
      <x:c r="M391" t="str">
        <x:f>IF(L391&lt;=0,"Payée",IF(G391=0,"Impayée","Partielle"))</x:f>
        <x:v>Payée</x:v>
      </x:c>
      <x:c r="N391" t="n">
        <x:f>IF(I391="","",I391-B391)</x:f>
        <x:v>32</x:v>
      </x:c>
      <x:c r="O391" t="str">
        <x:f>IF(TRIM(C391)&lt;&gt;TRIM(H391),"Oui","Non")</x:f>
        <x:v>Non</x:v>
      </x:c>
      <x:c r="P391" t="str">
        <x:f>IFERROR(INDEX('02_REFERENTIEL_CLIENTS'!$B$2:$B$51,MATCH(TRIM(C391),'02_REFERENTIEL_CLIENTS'!$A$2:$A$51,0)),"Non trouvé")</x:f>
        <x:v>Particuliers</x:v>
      </x:c>
      <x:c r="Q391" t="str">
        <x:f>IFERROR(INDEX('02_REFERENTIEL_CLIENTS'!$C$2:$C$51,MATCH(TRIM(C391),'02_REFERENTIEL_CLIENTS'!$A$2:$A$51,0)),"Non trouvé")</x:f>
        <x:v>International</x:v>
      </x:c>
      <x:c r="R391" t="str">
        <x:f>IF(OR(F391&lt;=0,G391&lt;0,G391&gt;F391,N391&lt;0,P391="Non trouvé"),"À vérifier","OK")</x:f>
        <x:v>OK</x:v>
      </x:c>
    </x:row>
    <x:row r="392">
      <x:c r="A392" t="str">
        <x:v>DV-2025-00391</x:v>
      </x:c>
      <x:c r="B392" s="16" t="n">
        <x:v>46007</x:v>
      </x:c>
      <x:c r="C392" t="str">
        <x:v>Client 49</x:v>
      </x:c>
      <x:c r="D392" t="str">
        <x:v>Douane</x:v>
      </x:c>
      <x:c r="E392" t="str">
        <x:v>Pôle D</x:v>
      </x:c>
      <x:c r="F392" s="18" t="n">
        <x:v>23353.38</x:v>
      </x:c>
      <x:c r="G392" s="18" t="n">
        <x:v>23353.38</x:v>
      </x:c>
      <x:c r="H392" t="str">
        <x:v>Client 49</x:v>
      </x:c>
      <x:c r="I392" s="16" t="n">
        <x:v>46047</x:v>
      </x:c>
      <x:c r="J392" t="n">
        <x:f>YEAR(B392)</x:f>
        <x:v>2025</x:v>
      </x:c>
      <x:c r="K392" s="20" t="n">
        <x:f>DATE(YEAR(B392),MONTH(B392),1)</x:f>
        <x:v>45992</x:v>
      </x:c>
      <x:c r="L392" s="18" t="n">
        <x:f>F392-G392</x:f>
        <x:v>0</x:v>
      </x:c>
      <x:c r="M392" t="str">
        <x:f>IF(L392&lt;=0,"Payée",IF(G392=0,"Impayée","Partielle"))</x:f>
        <x:v>Payée</x:v>
      </x:c>
      <x:c r="N392" t="n">
        <x:f>IF(I392="","",I392-B392)</x:f>
        <x:v>40</x:v>
      </x:c>
      <x:c r="O392" t="str">
        <x:f>IF(TRIM(C392)&lt;&gt;TRIM(H392),"Oui","Non")</x:f>
        <x:v>Non</x:v>
      </x:c>
      <x:c r="P392" t="str">
        <x:f>IFERROR(INDEX('02_REFERENTIEL_CLIENTS'!$B$2:$B$51,MATCH(TRIM(C392),'02_REFERENTIEL_CLIENTS'!$A$2:$A$51,0)),"Non trouvé")</x:f>
        <x:v>Grands comptes</x:v>
      </x:c>
      <x:c r="Q392" t="str">
        <x:f>IFERROR(INDEX('02_REFERENTIEL_CLIENTS'!$C$2:$C$51,MATCH(TRIM(C392),'02_REFERENTIEL_CLIENTS'!$A$2:$A$51,0)),"Non trouvé")</x:f>
        <x:v>France</x:v>
      </x:c>
      <x:c r="R392" t="str">
        <x:f>IF(OR(F392&lt;=0,G392&lt;0,G392&gt;F392,N392&lt;0,P392="Non trouvé"),"À vérifier","OK")</x:f>
        <x:v>OK</x:v>
      </x:c>
    </x:row>
    <x:row r="393">
      <x:c r="A393" t="str">
        <x:v>DV-2024-00392</x:v>
      </x:c>
      <x:c r="B393" s="16" t="n">
        <x:v>45567</x:v>
      </x:c>
      <x:c r="C393" t="str">
        <x:v>Client 22</x:v>
      </x:c>
      <x:c r="D393" t="str">
        <x:v>Douane</x:v>
      </x:c>
      <x:c r="E393" t="str">
        <x:v>Pôle E</x:v>
      </x:c>
      <x:c r="F393" s="18" t="n">
        <x:v>3949.57</x:v>
      </x:c>
      <x:c r="G393" s="18" t="n">
        <x:v>3949.57</x:v>
      </x:c>
      <x:c r="H393" t="str">
        <x:v>Client 22</x:v>
      </x:c>
      <x:c r="I393" s="16" t="n">
        <x:v>45635</x:v>
      </x:c>
      <x:c r="J393" t="n">
        <x:f>YEAR(B393)</x:f>
        <x:v>2024</x:v>
      </x:c>
      <x:c r="K393" s="20" t="n">
        <x:f>DATE(YEAR(B393),MONTH(B393),1)</x:f>
        <x:v>45566</x:v>
      </x:c>
      <x:c r="L393" s="18" t="n">
        <x:f>F393-G393</x:f>
        <x:v>0</x:v>
      </x:c>
      <x:c r="M393" t="str">
        <x:f>IF(L393&lt;=0,"Payée",IF(G393=0,"Impayée","Partielle"))</x:f>
        <x:v>Payée</x:v>
      </x:c>
      <x:c r="N393" t="n">
        <x:f>IF(I393="","",I393-B393)</x:f>
        <x:v>68</x:v>
      </x:c>
      <x:c r="O393" t="str">
        <x:f>IF(TRIM(C393)&lt;&gt;TRIM(H393),"Oui","Non")</x:f>
        <x:v>Non</x:v>
      </x:c>
      <x:c r="P393" t="str">
        <x:f>IFERROR(INDEX('02_REFERENTIEL_CLIENTS'!$B$2:$B$51,MATCH(TRIM(C393),'02_REFERENTIEL_CLIENTS'!$A$2:$A$51,0)),"Non trouvé")</x:f>
        <x:v>Grands comptes</x:v>
      </x:c>
      <x:c r="Q393" t="str">
        <x:f>IFERROR(INDEX('02_REFERENTIEL_CLIENTS'!$C$2:$C$51,MATCH(TRIM(C393),'02_REFERENTIEL_CLIENTS'!$A$2:$A$51,0)),"Non trouvé")</x:f>
        <x:v>France</x:v>
      </x:c>
      <x:c r="R393" t="str">
        <x:f>IF(OR(F393&lt;=0,G393&lt;0,G393&gt;F393,N393&lt;0,P393="Non trouvé"),"À vérifier","OK")</x:f>
        <x:v>OK</x:v>
      </x:c>
    </x:row>
    <x:row r="394">
      <x:c r="A394" t="str">
        <x:v>DV-2026-00393</x:v>
      </x:c>
      <x:c r="B394" s="16" t="n">
        <x:v>46150</x:v>
      </x:c>
      <x:c r="C394" t="str">
        <x:v>Client 47</x:v>
      </x:c>
      <x:c r="D394" t="str">
        <x:v>Fret aérien</x:v>
      </x:c>
      <x:c r="E394" t="str">
        <x:v>Pôle A</x:v>
      </x:c>
      <x:c r="F394" s="18" t="n">
        <x:v>21807.78</x:v>
      </x:c>
      <x:c r="G394" s="18" t="n">
        <x:v>21807.78</x:v>
      </x:c>
      <x:c r="H394" t="str">
        <x:v>Client 47</x:v>
      </x:c>
      <x:c r="I394" s="16" t="n">
        <x:v>46193</x:v>
      </x:c>
      <x:c r="J394" t="n">
        <x:f>YEAR(B394)</x:f>
        <x:v>2026</x:v>
      </x:c>
      <x:c r="K394" s="20" t="n">
        <x:f>DATE(YEAR(B394),MONTH(B394),1)</x:f>
        <x:v>46143</x:v>
      </x:c>
      <x:c r="L394" s="18" t="n">
        <x:f>F394-G394</x:f>
        <x:v>0</x:v>
      </x:c>
      <x:c r="M394" t="str">
        <x:f>IF(L394&lt;=0,"Payée",IF(G394=0,"Impayée","Partielle"))</x:f>
        <x:v>Payée</x:v>
      </x:c>
      <x:c r="N394" t="n">
        <x:f>IF(I394="","",I394-B394)</x:f>
        <x:v>43</x:v>
      </x:c>
      <x:c r="O394" t="str">
        <x:f>IF(TRIM(C394)&lt;&gt;TRIM(H394),"Oui","Non")</x:f>
        <x:v>Non</x:v>
      </x:c>
      <x:c r="P394" t="str">
        <x:f>IFERROR(INDEX('02_REFERENTIEL_CLIENTS'!$B$2:$B$51,MATCH(TRIM(C394),'02_REFERENTIEL_CLIENTS'!$A$2:$A$51,0)),"Non trouvé")</x:f>
        <x:v>PME</x:v>
      </x:c>
      <x:c r="Q394" t="str">
        <x:f>IFERROR(INDEX('02_REFERENTIEL_CLIENTS'!$C$2:$C$51,MATCH(TRIM(C394),'02_REFERENTIEL_CLIENTS'!$A$2:$A$51,0)),"Non trouvé")</x:f>
        <x:v>Europe</x:v>
      </x:c>
      <x:c r="R394" t="str">
        <x:f>IF(OR(F394&lt;=0,G394&lt;0,G394&gt;F394,N394&lt;0,P394="Non trouvé"),"À vérifier","OK")</x:f>
        <x:v>OK</x:v>
      </x:c>
    </x:row>
    <x:row r="395">
      <x:c r="A395" t="str">
        <x:v>DV-2026-00394</x:v>
      </x:c>
      <x:c r="B395" s="16" t="n">
        <x:v>46185</x:v>
      </x:c>
      <x:c r="C395" t="str">
        <x:v>Client 05</x:v>
      </x:c>
      <x:c r="D395" t="str">
        <x:v>Douane</x:v>
      </x:c>
      <x:c r="E395" t="str">
        <x:v>Pôle C</x:v>
      </x:c>
      <x:c r="F395" s="18" t="n">
        <x:v>14666.51</x:v>
      </x:c>
      <x:c r="G395" s="18" t="n">
        <x:v>14666.51</x:v>
      </x:c>
      <x:c r="H395" t="str">
        <x:v>Client 05</x:v>
      </x:c>
      <x:c r="I395" s="16" t="n">
        <x:v>46280</x:v>
      </x:c>
      <x:c r="J395" t="n">
        <x:f>YEAR(B395)</x:f>
        <x:v>2026</x:v>
      </x:c>
      <x:c r="K395" s="20" t="n">
        <x:f>DATE(YEAR(B395),MONTH(B395),1)</x:f>
        <x:v>46174</x:v>
      </x:c>
      <x:c r="L395" s="18" t="n">
        <x:f>F395-G395</x:f>
        <x:v>0</x:v>
      </x:c>
      <x:c r="M395" t="str">
        <x:f>IF(L395&lt;=0,"Payée",IF(G395=0,"Impayée","Partielle"))</x:f>
        <x:v>Payée</x:v>
      </x:c>
      <x:c r="N395" t="n">
        <x:f>IF(I395="","",I395-B395)</x:f>
        <x:v>95</x:v>
      </x:c>
      <x:c r="O395" t="str">
        <x:f>IF(TRIM(C395)&lt;&gt;TRIM(H395),"Oui","Non")</x:f>
        <x:v>Non</x:v>
      </x:c>
      <x:c r="P395" t="str">
        <x:f>IFERROR(INDEX('02_REFERENTIEL_CLIENTS'!$B$2:$B$51,MATCH(TRIM(C395),'02_REFERENTIEL_CLIENTS'!$A$2:$A$51,0)),"Non trouvé")</x:f>
        <x:v>PME</x:v>
      </x:c>
      <x:c r="Q395" t="str">
        <x:f>IFERROR(INDEX('02_REFERENTIEL_CLIENTS'!$C$2:$C$51,MATCH(TRIM(C395),'02_REFERENTIEL_CLIENTS'!$A$2:$A$51,0)),"Non trouvé")</x:f>
        <x:v>Europe</x:v>
      </x:c>
      <x:c r="R395" t="str">
        <x:f>IF(OR(F395&lt;=0,G395&lt;0,G395&gt;F395,N395&lt;0,P395="Non trouvé"),"À vérifier","OK")</x:f>
        <x:v>OK</x:v>
      </x:c>
    </x:row>
    <x:row r="396">
      <x:c r="A396" t="str">
        <x:v>DV-2024-00395</x:v>
      </x:c>
      <x:c r="B396" s="16" t="n">
        <x:v>45566</x:v>
      </x:c>
      <x:c r="C396" t="str">
        <x:v>Client 17</x:v>
      </x:c>
      <x:c r="D396" t="str">
        <x:v>Douane</x:v>
      </x:c>
      <x:c r="E396" t="str">
        <x:v>Pôle D</x:v>
      </x:c>
      <x:c r="F396" s="18" t="n">
        <x:v>17331.11</x:v>
      </x:c>
      <x:c r="G396" s="18" t="n">
        <x:v>17331.11</x:v>
      </x:c>
      <x:c r="H396" t="str">
        <x:v>Client 07</x:v>
      </x:c>
      <x:c r="I396" s="16" t="n">
        <x:v>45650</x:v>
      </x:c>
      <x:c r="J396" t="n">
        <x:f>YEAR(B396)</x:f>
        <x:v>2024</x:v>
      </x:c>
      <x:c r="K396" s="20" t="n">
        <x:f>DATE(YEAR(B396),MONTH(B396),1)</x:f>
        <x:v>45566</x:v>
      </x:c>
      <x:c r="L396" s="18" t="n">
        <x:f>F396-G396</x:f>
        <x:v>0</x:v>
      </x:c>
      <x:c r="M396" t="str">
        <x:f>IF(L396&lt;=0,"Payée",IF(G396=0,"Impayée","Partielle"))</x:f>
        <x:v>Payée</x:v>
      </x:c>
      <x:c r="N396" t="n">
        <x:f>IF(I396="","",I396-B396)</x:f>
        <x:v>84</x:v>
      </x:c>
      <x:c r="O396" t="str">
        <x:f>IF(TRIM(C396)&lt;&gt;TRIM(H396),"Oui","Non")</x:f>
        <x:v>Oui</x:v>
      </x:c>
      <x:c r="P396" t="str">
        <x:f>IFERROR(INDEX('02_REFERENTIEL_CLIENTS'!$B$2:$B$51,MATCH(TRIM(C396),'02_REFERENTIEL_CLIENTS'!$A$2:$A$51,0)),"Non trouvé")</x:f>
        <x:v>PME</x:v>
      </x:c>
      <x:c r="Q396" t="str">
        <x:f>IFERROR(INDEX('02_REFERENTIEL_CLIENTS'!$C$2:$C$51,MATCH(TRIM(C396),'02_REFERENTIEL_CLIENTS'!$A$2:$A$51,0)),"Non trouvé")</x:f>
        <x:v>Europe</x:v>
      </x:c>
      <x:c r="R396" t="str">
        <x:f>IF(OR(F396&lt;=0,G396&lt;0,G396&gt;F396,N396&lt;0,P396="Non trouvé"),"À vérifier","OK")</x:f>
        <x:v>OK</x:v>
      </x:c>
    </x:row>
    <x:row r="397">
      <x:c r="A397" t="str">
        <x:v>DV-2024-00396</x:v>
      </x:c>
      <x:c r="B397" s="16" t="n">
        <x:v>45358</x:v>
      </x:c>
      <x:c r="C397" t="str">
        <x:v>Client 22</x:v>
      </x:c>
      <x:c r="D397" t="str">
        <x:v>Fret maritime</x:v>
      </x:c>
      <x:c r="E397" t="str">
        <x:v>Pôle D</x:v>
      </x:c>
      <x:c r="F397" s="18" t="n">
        <x:v>18572.57</x:v>
      </x:c>
      <x:c r="G397" s="18" t="n">
        <x:v>18572.57</x:v>
      </x:c>
      <x:c r="H397" t="str">
        <x:v>Client 22</x:v>
      </x:c>
      <x:c r="I397" s="16" t="n">
        <x:v>45379</x:v>
      </x:c>
      <x:c r="J397" t="n">
        <x:f>YEAR(B397)</x:f>
        <x:v>2024</x:v>
      </x:c>
      <x:c r="K397" s="20" t="n">
        <x:f>DATE(YEAR(B397),MONTH(B397),1)</x:f>
        <x:v>45352</x:v>
      </x:c>
      <x:c r="L397" s="18" t="n">
        <x:f>F397-G397</x:f>
        <x:v>0</x:v>
      </x:c>
      <x:c r="M397" t="str">
        <x:f>IF(L397&lt;=0,"Payée",IF(G397=0,"Impayée","Partielle"))</x:f>
        <x:v>Payée</x:v>
      </x:c>
      <x:c r="N397" t="n">
        <x:f>IF(I397="","",I397-B397)</x:f>
        <x:v>21</x:v>
      </x:c>
      <x:c r="O397" t="str">
        <x:f>IF(TRIM(C397)&lt;&gt;TRIM(H397),"Oui","Non")</x:f>
        <x:v>Non</x:v>
      </x:c>
      <x:c r="P397" t="str">
        <x:f>IFERROR(INDEX('02_REFERENTIEL_CLIENTS'!$B$2:$B$51,MATCH(TRIM(C397),'02_REFERENTIEL_CLIENTS'!$A$2:$A$51,0)),"Non trouvé")</x:f>
        <x:v>Grands comptes</x:v>
      </x:c>
      <x:c r="Q397" t="str">
        <x:f>IFERROR(INDEX('02_REFERENTIEL_CLIENTS'!$C$2:$C$51,MATCH(TRIM(C397),'02_REFERENTIEL_CLIENTS'!$A$2:$A$51,0)),"Non trouvé")</x:f>
        <x:v>France</x:v>
      </x:c>
      <x:c r="R397" t="str">
        <x:f>IF(OR(F397&lt;=0,G397&lt;0,G397&gt;F397,N397&lt;0,P397="Non trouvé"),"À vérifier","OK")</x:f>
        <x:v>OK</x:v>
      </x:c>
    </x:row>
    <x:row r="398">
      <x:c r="A398" t="str">
        <x:v>DV-2025-00397</x:v>
      </x:c>
      <x:c r="B398" s="16" t="n">
        <x:v>45743</x:v>
      </x:c>
      <x:c r="C398" t="str">
        <x:v>Client 28</x:v>
      </x:c>
      <x:c r="D398" t="str">
        <x:v>Fret maritime</x:v>
      </x:c>
      <x:c r="E398" t="str">
        <x:v>Pôle C</x:v>
      </x:c>
      <x:c r="F398" s="18" t="n">
        <x:v>2129.97</x:v>
      </x:c>
      <x:c r="G398" s="18" t="n">
        <x:v>2129.97</x:v>
      </x:c>
      <x:c r="H398" t="str">
        <x:v>Client 28</x:v>
      </x:c>
      <x:c r="I398" s="16" t="n">
        <x:v>45817</x:v>
      </x:c>
      <x:c r="J398" t="n">
        <x:f>YEAR(B398)</x:f>
        <x:v>2025</x:v>
      </x:c>
      <x:c r="K398" s="20" t="n">
        <x:f>DATE(YEAR(B398),MONTH(B398),1)</x:f>
        <x:v>45717</x:v>
      </x:c>
      <x:c r="L398" s="18" t="n">
        <x:f>F398-G398</x:f>
        <x:v>0</x:v>
      </x:c>
      <x:c r="M398" t="str">
        <x:f>IF(L398&lt;=0,"Payée",IF(G398=0,"Impayée","Partielle"))</x:f>
        <x:v>Payée</x:v>
      </x:c>
      <x:c r="N398" t="n">
        <x:f>IF(I398="","",I398-B398)</x:f>
        <x:v>74</x:v>
      </x:c>
      <x:c r="O398" t="str">
        <x:f>IF(TRIM(C398)&lt;&gt;TRIM(H398),"Oui","Non")</x:f>
        <x:v>Non</x:v>
      </x:c>
      <x:c r="P398" t="str">
        <x:f>IFERROR(INDEX('02_REFERENTIEL_CLIENTS'!$B$2:$B$51,MATCH(TRIM(C398),'02_REFERENTIEL_CLIENTS'!$A$2:$A$51,0)),"Non trouvé")</x:f>
        <x:v>Grands comptes</x:v>
      </x:c>
      <x:c r="Q398" t="str">
        <x:f>IFERROR(INDEX('02_REFERENTIEL_CLIENTS'!$C$2:$C$51,MATCH(TRIM(C398),'02_REFERENTIEL_CLIENTS'!$A$2:$A$51,0)),"Non trouvé")</x:f>
        <x:v>France</x:v>
      </x:c>
      <x:c r="R398" t="str">
        <x:f>IF(OR(F398&lt;=0,G398&lt;0,G398&gt;F398,N398&lt;0,P398="Non trouvé"),"À vérifier","OK")</x:f>
        <x:v>OK</x:v>
      </x:c>
    </x:row>
    <x:row r="399">
      <x:c r="A399" t="str">
        <x:v>DV-2025-00398</x:v>
      </x:c>
      <x:c r="B399" s="16" t="n">
        <x:v>45862</x:v>
      </x:c>
      <x:c r="C399" t="str">
        <x:v>Client 37</x:v>
      </x:c>
      <x:c r="D399" t="str">
        <x:v>Logistique</x:v>
      </x:c>
      <x:c r="E399" t="str">
        <x:v>Pôle B</x:v>
      </x:c>
      <x:c r="F399" s="18" t="n">
        <x:v>21661.26</x:v>
      </x:c>
      <x:c r="G399" s="18" t="n">
        <x:v>4193.52</x:v>
      </x:c>
      <x:c r="H399" t="str">
        <x:v>Client 37</x:v>
      </x:c>
      <x:c r="I399" s="16" t="n">
        <x:v>45878</x:v>
      </x:c>
      <x:c r="J399" t="n">
        <x:f>YEAR(B399)</x:f>
        <x:v>2025</x:v>
      </x:c>
      <x:c r="K399" s="20" t="n">
        <x:f>DATE(YEAR(B399),MONTH(B399),1)</x:f>
        <x:v>45839</x:v>
      </x:c>
      <x:c r="L399" s="18" t="n">
        <x:f>F399-G399</x:f>
        <x:v>17467.739999999998</x:v>
      </x:c>
      <x:c r="M399" t="str">
        <x:f>IF(L399&lt;=0,"Payée",IF(G399=0,"Impayée","Partielle"))</x:f>
        <x:v>Partielle</x:v>
      </x:c>
      <x:c r="N399" t="n">
        <x:f>IF(I399="","",I399-B399)</x:f>
        <x:v>16</x:v>
      </x:c>
      <x:c r="O399" t="str">
        <x:f>IF(TRIM(C399)&lt;&gt;TRIM(H399),"Oui","Non")</x:f>
        <x:v>Non</x:v>
      </x:c>
      <x:c r="P399" t="str">
        <x:f>IFERROR(INDEX('02_REFERENTIEL_CLIENTS'!$B$2:$B$51,MATCH(TRIM(C399),'02_REFERENTIEL_CLIENTS'!$A$2:$A$51,0)),"Non trouvé")</x:f>
        <x:v>Grands comptes</x:v>
      </x:c>
      <x:c r="Q399" t="str">
        <x:f>IFERROR(INDEX('02_REFERENTIEL_CLIENTS'!$C$2:$C$51,MATCH(TRIM(C399),'02_REFERENTIEL_CLIENTS'!$A$2:$A$51,0)),"Non trouvé")</x:f>
        <x:v>France</x:v>
      </x:c>
      <x:c r="R399" t="str">
        <x:f>IF(OR(F399&lt;=0,G399&lt;0,G399&gt;F399,N399&lt;0,P399="Non trouvé"),"À vérifier","OK")</x:f>
        <x:v>OK</x:v>
      </x:c>
    </x:row>
    <x:row r="400">
      <x:c r="A400" t="str">
        <x:v>DV-2026-00399</x:v>
      </x:c>
      <x:c r="B400" s="16" t="n">
        <x:v>46199</x:v>
      </x:c>
      <x:c r="C400" t="str">
        <x:v>Client 39</x:v>
      </x:c>
      <x:c r="D400" t="str">
        <x:v>Douane</x:v>
      </x:c>
      <x:c r="E400" t="str">
        <x:v>Pôle B</x:v>
      </x:c>
      <x:c r="F400" s="18" t="n">
        <x:v>6480.73</x:v>
      </x:c>
      <x:c r="G400" s="18" t="n">
        <x:v>6480.73</x:v>
      </x:c>
      <x:c r="H400" t="str">
        <x:v>Client 39</x:v>
      </x:c>
      <x:c r="I400" s="16" t="n">
        <x:v>46240</x:v>
      </x:c>
      <x:c r="J400" t="n">
        <x:f>YEAR(B400)</x:f>
        <x:v>2026</x:v>
      </x:c>
      <x:c r="K400" s="20" t="n">
        <x:f>DATE(YEAR(B400),MONTH(B400),1)</x:f>
        <x:v>46174</x:v>
      </x:c>
      <x:c r="L400" s="18" t="n">
        <x:f>F400-G400</x:f>
        <x:v>0</x:v>
      </x:c>
      <x:c r="M400" t="str">
        <x:f>IF(L400&lt;=0,"Payée",IF(G400=0,"Impayée","Partielle"))</x:f>
        <x:v>Payée</x:v>
      </x:c>
      <x:c r="N400" t="n">
        <x:f>IF(I400="","",I400-B400)</x:f>
        <x:v>41</x:v>
      </x:c>
      <x:c r="O400" t="str">
        <x:f>IF(TRIM(C400)&lt;&gt;TRIM(H400),"Oui","Non")</x:f>
        <x:v>Non</x:v>
      </x:c>
      <x:c r="P400" t="str">
        <x:f>IFERROR(INDEX('02_REFERENTIEL_CLIENTS'!$B$2:$B$51,MATCH(TRIM(C400),'02_REFERENTIEL_CLIENTS'!$A$2:$A$51,0)),"Non trouvé")</x:f>
        <x:v>Particuliers</x:v>
      </x:c>
      <x:c r="Q400" t="str">
        <x:f>IFERROR(INDEX('02_REFERENTIEL_CLIENTS'!$C$2:$C$51,MATCH(TRIM(C400),'02_REFERENTIEL_CLIENTS'!$A$2:$A$51,0)),"Non trouvé")</x:f>
        <x:v>International</x:v>
      </x:c>
      <x:c r="R400" t="str">
        <x:f>IF(OR(F400&lt;=0,G400&lt;0,G400&gt;F400,N400&lt;0,P400="Non trouvé"),"À vérifier","OK")</x:f>
        <x:v>OK</x:v>
      </x:c>
    </x:row>
    <x:row r="401">
      <x:c r="A401" t="str">
        <x:v>DV-2025-00400</x:v>
      </x:c>
      <x:c r="B401" s="16" t="n">
        <x:v>45761</x:v>
      </x:c>
      <x:c r="C401" t="str">
        <x:v>Client 45</x:v>
      </x:c>
      <x:c r="D401" t="str">
        <x:v>Fret aérien</x:v>
      </x:c>
      <x:c r="E401" t="str">
        <x:v>Pôle C</x:v>
      </x:c>
      <x:c r="F401" s="18" t="n">
        <x:v>2775.27</x:v>
      </x:c>
      <x:c r="G401" s="18" t="n">
        <x:v>2775.27</x:v>
      </x:c>
      <x:c r="H401" t="str">
        <x:v>Client 45</x:v>
      </x:c>
      <x:c r="I401" s="16" t="n">
        <x:v>45819</x:v>
      </x:c>
      <x:c r="J401" t="n">
        <x:f>YEAR(B401)</x:f>
        <x:v>2025</x:v>
      </x:c>
      <x:c r="K401" s="20" t="n">
        <x:f>DATE(YEAR(B401),MONTH(B401),1)</x:f>
        <x:v>45748</x:v>
      </x:c>
      <x:c r="L401" s="18" t="n">
        <x:f>F401-G401</x:f>
        <x:v>0</x:v>
      </x:c>
      <x:c r="M401" t="str">
        <x:f>IF(L401&lt;=0,"Payée",IF(G401=0,"Impayée","Partielle"))</x:f>
        <x:v>Payée</x:v>
      </x:c>
      <x:c r="N401" t="n">
        <x:f>IF(I401="","",I401-B401)</x:f>
        <x:v>58</x:v>
      </x:c>
      <x:c r="O401" t="str">
        <x:f>IF(TRIM(C401)&lt;&gt;TRIM(H401),"Oui","Non")</x:f>
        <x:v>Non</x:v>
      </x:c>
      <x:c r="P401" t="str">
        <x:f>IFERROR(INDEX('02_REFERENTIEL_CLIENTS'!$B$2:$B$51,MATCH(TRIM(C401),'02_REFERENTIEL_CLIENTS'!$A$2:$A$51,0)),"Non trouvé")</x:f>
        <x:v>Particuliers</x:v>
      </x:c>
      <x:c r="Q401" t="str">
        <x:f>IFERROR(INDEX('02_REFERENTIEL_CLIENTS'!$C$2:$C$51,MATCH(TRIM(C401),'02_REFERENTIEL_CLIENTS'!$A$2:$A$51,0)),"Non trouvé")</x:f>
        <x:v>International</x:v>
      </x:c>
      <x:c r="R401" t="str">
        <x:f>IF(OR(F401&lt;=0,G401&lt;0,G401&gt;F401,N401&lt;0,P401="Non trouvé"),"À vérifier","OK")</x:f>
        <x:v>OK</x:v>
      </x:c>
    </x:row>
    <x:row r="402">
      <x:c r="A402" t="str">
        <x:v>DV-2024-00401</x:v>
      </x:c>
      <x:c r="B402" s="16" t="n">
        <x:v>45548</x:v>
      </x:c>
      <x:c r="C402" t="str">
        <x:v>Client 02</x:v>
      </x:c>
      <x:c r="D402" t="str">
        <x:v>Logistique</x:v>
      </x:c>
      <x:c r="E402" t="str">
        <x:v>Pôle C</x:v>
      </x:c>
      <x:c r="F402" s="18" t="n">
        <x:v>7432.62</x:v>
      </x:c>
      <x:c r="G402" s="18" t="n">
        <x:v>5979.61</x:v>
      </x:c>
      <x:c r="H402" t="str">
        <x:v>Client 02</x:v>
      </x:c>
      <x:c r="I402" s="16" t="n">
        <x:v>45629</x:v>
      </x:c>
      <x:c r="J402" t="n">
        <x:f>YEAR(B402)</x:f>
        <x:v>2024</x:v>
      </x:c>
      <x:c r="K402" s="20" t="n">
        <x:f>DATE(YEAR(B402),MONTH(B402),1)</x:f>
        <x:v>45536</x:v>
      </x:c>
      <x:c r="L402" s="18" t="n">
        <x:f>F402-G402</x:f>
        <x:v>1453.0100000000002</x:v>
      </x:c>
      <x:c r="M402" t="str">
        <x:f>IF(L402&lt;=0,"Payée",IF(G402=0,"Impayée","Partielle"))</x:f>
        <x:v>Partielle</x:v>
      </x:c>
      <x:c r="N402" t="n">
        <x:f>IF(I402="","",I402-B402)</x:f>
        <x:v>81</x:v>
      </x:c>
      <x:c r="O402" t="str">
        <x:f>IF(TRIM(C402)&lt;&gt;TRIM(H402),"Oui","Non")</x:f>
        <x:v>Non</x:v>
      </x:c>
      <x:c r="P402" t="str">
        <x:f>IFERROR(INDEX('02_REFERENTIEL_CLIENTS'!$B$2:$B$51,MATCH(TRIM(C402),'02_REFERENTIEL_CLIENTS'!$A$2:$A$51,0)),"Non trouvé")</x:f>
        <x:v>PME</x:v>
      </x:c>
      <x:c r="Q402" t="str">
        <x:f>IFERROR(INDEX('02_REFERENTIEL_CLIENTS'!$C$2:$C$51,MATCH(TRIM(C402),'02_REFERENTIEL_CLIENTS'!$A$2:$A$51,0)),"Non trouvé")</x:f>
        <x:v>Europe</x:v>
      </x:c>
      <x:c r="R402" t="str">
        <x:f>IF(OR(F402&lt;=0,G402&lt;0,G402&gt;F402,N402&lt;0,P402="Non trouvé"),"À vérifier","OK")</x:f>
        <x:v>OK</x:v>
      </x:c>
    </x:row>
    <x:row r="403">
      <x:c r="A403" t="str">
        <x:v>DV-2026-00402</x:v>
      </x:c>
      <x:c r="B403" s="16" t="n">
        <x:v>46145</x:v>
      </x:c>
      <x:c r="C403" t="str">
        <x:v>Client 38</x:v>
      </x:c>
      <x:c r="D403" t="str">
        <x:v>Fret aérien</x:v>
      </x:c>
      <x:c r="E403" t="str">
        <x:v>Pôle E</x:v>
      </x:c>
      <x:c r="F403" s="18" t="n">
        <x:v>734.12</x:v>
      </x:c>
      <x:c r="G403" s="18" t="n">
        <x:v>520.41</x:v>
      </x:c>
      <x:c r="H403" t="str">
        <x:v>Client 38</x:v>
      </x:c>
      <x:c r="I403" s="16" t="n">
        <x:v>46173</x:v>
      </x:c>
      <x:c r="J403" t="n">
        <x:f>YEAR(B403)</x:f>
        <x:v>2026</x:v>
      </x:c>
      <x:c r="K403" s="20" t="n">
        <x:f>DATE(YEAR(B403),MONTH(B403),1)</x:f>
        <x:v>46143</x:v>
      </x:c>
      <x:c r="L403" s="18" t="n">
        <x:f>F403-G403</x:f>
        <x:v>213.71000000000004</x:v>
      </x:c>
      <x:c r="M403" t="str">
        <x:f>IF(L403&lt;=0,"Payée",IF(G403=0,"Impayée","Partielle"))</x:f>
        <x:v>Partielle</x:v>
      </x:c>
      <x:c r="N403" t="n">
        <x:f>IF(I403="","",I403-B403)</x:f>
        <x:v>28</x:v>
      </x:c>
      <x:c r="O403" t="str">
        <x:f>IF(TRIM(C403)&lt;&gt;TRIM(H403),"Oui","Non")</x:f>
        <x:v>Non</x:v>
      </x:c>
      <x:c r="P403" t="str">
        <x:f>IFERROR(INDEX('02_REFERENTIEL_CLIENTS'!$B$2:$B$51,MATCH(TRIM(C403),'02_REFERENTIEL_CLIENTS'!$A$2:$A$51,0)),"Non trouvé")</x:f>
        <x:v>PME</x:v>
      </x:c>
      <x:c r="Q403" t="str">
        <x:f>IFERROR(INDEX('02_REFERENTIEL_CLIENTS'!$C$2:$C$51,MATCH(TRIM(C403),'02_REFERENTIEL_CLIENTS'!$A$2:$A$51,0)),"Non trouvé")</x:f>
        <x:v>Europe</x:v>
      </x:c>
      <x:c r="R403" t="str">
        <x:f>IF(OR(F403&lt;=0,G403&lt;0,G403&gt;F403,N403&lt;0,P403="Non trouvé"),"À vérifier","OK")</x:f>
        <x:v>OK</x:v>
      </x:c>
    </x:row>
    <x:row r="404">
      <x:c r="A404" t="str">
        <x:v>DV-2026-00403</x:v>
      </x:c>
      <x:c r="B404" s="16" t="n">
        <x:v>46251</x:v>
      </x:c>
      <x:c r="C404" t="str">
        <x:v>Client 13</x:v>
      </x:c>
      <x:c r="D404" t="str">
        <x:v>Douane</x:v>
      </x:c>
      <x:c r="E404" t="str">
        <x:v>Pôle B</x:v>
      </x:c>
      <x:c r="F404" s="18" t="n">
        <x:v>14086.07</x:v>
      </x:c>
      <x:c r="G404" s="18" t="n">
        <x:v>14086.07</x:v>
      </x:c>
      <x:c r="H404" t="str">
        <x:v>Client 39</x:v>
      </x:c>
      <x:c r="I404" s="16" t="n">
        <x:v>46269</x:v>
      </x:c>
      <x:c r="J404" t="n">
        <x:f>YEAR(B404)</x:f>
        <x:v>2026</x:v>
      </x:c>
      <x:c r="K404" s="20" t="n">
        <x:f>DATE(YEAR(B404),MONTH(B404),1)</x:f>
        <x:v>46235</x:v>
      </x:c>
      <x:c r="L404" s="18" t="n">
        <x:f>F404-G404</x:f>
        <x:v>0</x:v>
      </x:c>
      <x:c r="M404" t="str">
        <x:f>IF(L404&lt;=0,"Payée",IF(G404=0,"Impayée","Partielle"))</x:f>
        <x:v>Payée</x:v>
      </x:c>
      <x:c r="N404" t="n">
        <x:f>IF(I404="","",I404-B404)</x:f>
        <x:v>18</x:v>
      </x:c>
      <x:c r="O404" t="str">
        <x:f>IF(TRIM(C404)&lt;&gt;TRIM(H404),"Oui","Non")</x:f>
        <x:v>Oui</x:v>
      </x:c>
      <x:c r="P404" t="str">
        <x:f>IFERROR(INDEX('02_REFERENTIEL_CLIENTS'!$B$2:$B$51,MATCH(TRIM(C404),'02_REFERENTIEL_CLIENTS'!$A$2:$A$51,0)),"Non trouvé")</x:f>
        <x:v>Grands comptes</x:v>
      </x:c>
      <x:c r="Q404" t="str">
        <x:f>IFERROR(INDEX('02_REFERENTIEL_CLIENTS'!$C$2:$C$51,MATCH(TRIM(C404),'02_REFERENTIEL_CLIENTS'!$A$2:$A$51,0)),"Non trouvé")</x:f>
        <x:v>France</x:v>
      </x:c>
      <x:c r="R404" t="str">
        <x:f>IF(OR(F404&lt;=0,G404&lt;0,G404&gt;F404,N404&lt;0,P404="Non trouvé"),"À vérifier","OK")</x:f>
        <x:v>OK</x:v>
      </x:c>
    </x:row>
    <x:row r="405">
      <x:c r="A405" t="str">
        <x:v>DV-2026-00404</x:v>
      </x:c>
      <x:c r="B405" s="16" t="n">
        <x:v>46242</x:v>
      </x:c>
      <x:c r="C405" t="str">
        <x:v>Client 47</x:v>
      </x:c>
      <x:c r="D405" t="str">
        <x:v>Fret maritime</x:v>
      </x:c>
      <x:c r="E405" t="str">
        <x:v>Pôle C</x:v>
      </x:c>
      <x:c r="F405" s="18" t="n">
        <x:v>20451.93</x:v>
      </x:c>
      <x:c r="G405" s="18" t="n">
        <x:v>20451.93</x:v>
      </x:c>
      <x:c r="H405" t="str">
        <x:v>Client 47</x:v>
      </x:c>
      <x:c r="I405" s="16" t="n">
        <x:v>46317</x:v>
      </x:c>
      <x:c r="J405" t="n">
        <x:f>YEAR(B405)</x:f>
        <x:v>2026</x:v>
      </x:c>
      <x:c r="K405" s="20" t="n">
        <x:f>DATE(YEAR(B405),MONTH(B405),1)</x:f>
        <x:v>46235</x:v>
      </x:c>
      <x:c r="L405" s="18" t="n">
        <x:f>F405-G405</x:f>
        <x:v>0</x:v>
      </x:c>
      <x:c r="M405" t="str">
        <x:f>IF(L405&lt;=0,"Payée",IF(G405=0,"Impayée","Partielle"))</x:f>
        <x:v>Payée</x:v>
      </x:c>
      <x:c r="N405" t="n">
        <x:f>IF(I405="","",I405-B405)</x:f>
        <x:v>75</x:v>
      </x:c>
      <x:c r="O405" t="str">
        <x:f>IF(TRIM(C405)&lt;&gt;TRIM(H405),"Oui","Non")</x:f>
        <x:v>Non</x:v>
      </x:c>
      <x:c r="P405" t="str">
        <x:f>IFERROR(INDEX('02_REFERENTIEL_CLIENTS'!$B$2:$B$51,MATCH(TRIM(C405),'02_REFERENTIEL_CLIENTS'!$A$2:$A$51,0)),"Non trouvé")</x:f>
        <x:v>PME</x:v>
      </x:c>
      <x:c r="Q405" t="str">
        <x:f>IFERROR(INDEX('02_REFERENTIEL_CLIENTS'!$C$2:$C$51,MATCH(TRIM(C405),'02_REFERENTIEL_CLIENTS'!$A$2:$A$51,0)),"Non trouvé")</x:f>
        <x:v>Europe</x:v>
      </x:c>
      <x:c r="R405" t="str">
        <x:f>IF(OR(F405&lt;=0,G405&lt;0,G405&gt;F405,N405&lt;0,P405="Non trouvé"),"À vérifier","OK")</x:f>
        <x:v>OK</x:v>
      </x:c>
    </x:row>
    <x:row r="406">
      <x:c r="A406" t="str">
        <x:v>DV-2025-00405</x:v>
      </x:c>
      <x:c r="B406" s="16" t="n">
        <x:v>45804</x:v>
      </x:c>
      <x:c r="C406" t="str">
        <x:v>Client 34</x:v>
      </x:c>
      <x:c r="D406" t="str">
        <x:v>Logistique</x:v>
      </x:c>
      <x:c r="E406" t="str">
        <x:v>Pôle A</x:v>
      </x:c>
      <x:c r="F406" s="18" t="n">
        <x:v>8292.61</x:v>
      </x:c>
      <x:c r="G406" s="18" t="n">
        <x:v>2847.88</x:v>
      </x:c>
      <x:c r="H406" t="str">
        <x:v>Client 17</x:v>
      </x:c>
      <x:c r="I406" s="16" t="n">
        <x:v>45821</x:v>
      </x:c>
      <x:c r="J406" t="n">
        <x:f>YEAR(B406)</x:f>
        <x:v>2025</x:v>
      </x:c>
      <x:c r="K406" s="20" t="n">
        <x:f>DATE(YEAR(B406),MONTH(B406),1)</x:f>
        <x:v>45778</x:v>
      </x:c>
      <x:c r="L406" s="18" t="n">
        <x:f>F406-G406</x:f>
        <x:v>5444.7300000000005</x:v>
      </x:c>
      <x:c r="M406" t="str">
        <x:f>IF(L406&lt;=0,"Payée",IF(G406=0,"Impayée","Partielle"))</x:f>
        <x:v>Partielle</x:v>
      </x:c>
      <x:c r="N406" t="n">
        <x:f>IF(I406="","",I406-B406)</x:f>
        <x:v>17</x:v>
      </x:c>
      <x:c r="O406" t="str">
        <x:f>IF(TRIM(C406)&lt;&gt;TRIM(H406),"Oui","Non")</x:f>
        <x:v>Oui</x:v>
      </x:c>
      <x:c r="P406" t="str">
        <x:f>IFERROR(INDEX('02_REFERENTIEL_CLIENTS'!$B$2:$B$51,MATCH(TRIM(C406),'02_REFERENTIEL_CLIENTS'!$A$2:$A$51,0)),"Non trouvé")</x:f>
        <x:v>Grands comptes</x:v>
      </x:c>
      <x:c r="Q406" t="str">
        <x:f>IFERROR(INDEX('02_REFERENTIEL_CLIENTS'!$C$2:$C$51,MATCH(TRIM(C406),'02_REFERENTIEL_CLIENTS'!$A$2:$A$51,0)),"Non trouvé")</x:f>
        <x:v>France</x:v>
      </x:c>
      <x:c r="R406" t="str">
        <x:f>IF(OR(F406&lt;=0,G406&lt;0,G406&gt;F406,N406&lt;0,P406="Non trouvé"),"À vérifier","OK")</x:f>
        <x:v>OK</x:v>
      </x:c>
    </x:row>
    <x:row r="407">
      <x:c r="A407" t="str">
        <x:v>DV-2024-00406</x:v>
      </x:c>
      <x:c r="B407" s="16" t="n">
        <x:v>45362</x:v>
      </x:c>
      <x:c r="C407" t="str">
        <x:v>Client 24</x:v>
      </x:c>
      <x:c r="D407" t="str">
        <x:v>Logistique</x:v>
      </x:c>
      <x:c r="E407" t="str">
        <x:v>Pôle C</x:v>
      </x:c>
      <x:c r="F407" s="18" t="n">
        <x:v>23632.85</x:v>
      </x:c>
      <x:c r="G407" s="18" t="n">
        <x:v>23632.85</x:v>
      </x:c>
      <x:c r="H407" t="str">
        <x:v>Client 24</x:v>
      </x:c>
      <x:c r="I407" s="16" t="n">
        <x:v>45402</x:v>
      </x:c>
      <x:c r="J407" t="n">
        <x:f>YEAR(B407)</x:f>
        <x:v>2024</x:v>
      </x:c>
      <x:c r="K407" s="20" t="n">
        <x:f>DATE(YEAR(B407),MONTH(B407),1)</x:f>
        <x:v>45352</x:v>
      </x:c>
      <x:c r="L407" s="18" t="n">
        <x:f>F407-G407</x:f>
        <x:v>0</x:v>
      </x:c>
      <x:c r="M407" t="str">
        <x:f>IF(L407&lt;=0,"Payée",IF(G407=0,"Impayée","Partielle"))</x:f>
        <x:v>Payée</x:v>
      </x:c>
      <x:c r="N407" t="n">
        <x:f>IF(I407="","",I407-B407)</x:f>
        <x:v>40</x:v>
      </x:c>
      <x:c r="O407" t="str">
        <x:f>IF(TRIM(C407)&lt;&gt;TRIM(H407),"Oui","Non")</x:f>
        <x:v>Non</x:v>
      </x:c>
      <x:c r="P407" t="str">
        <x:f>IFERROR(INDEX('02_REFERENTIEL_CLIENTS'!$B$2:$B$51,MATCH(TRIM(C407),'02_REFERENTIEL_CLIENTS'!$A$2:$A$51,0)),"Non trouvé")</x:f>
        <x:v>Particuliers</x:v>
      </x:c>
      <x:c r="Q407" t="str">
        <x:f>IFERROR(INDEX('02_REFERENTIEL_CLIENTS'!$C$2:$C$51,MATCH(TRIM(C407),'02_REFERENTIEL_CLIENTS'!$A$2:$A$51,0)),"Non trouvé")</x:f>
        <x:v>International</x:v>
      </x:c>
      <x:c r="R407" t="str">
        <x:f>IF(OR(F407&lt;=0,G407&lt;0,G407&gt;F407,N407&lt;0,P407="Non trouvé"),"À vérifier","OK")</x:f>
        <x:v>OK</x:v>
      </x:c>
    </x:row>
    <x:row r="408">
      <x:c r="A408" t="str">
        <x:v>DV-2025-00407</x:v>
      </x:c>
      <x:c r="B408" s="16" t="n">
        <x:v>46011</x:v>
      </x:c>
      <x:c r="C408" t="str">
        <x:v>Client 15</x:v>
      </x:c>
      <x:c r="D408" t="str">
        <x:v>Fret maritime</x:v>
      </x:c>
      <x:c r="E408" t="str">
        <x:v>Pôle B</x:v>
      </x:c>
      <x:c r="F408" s="18" t="n">
        <x:v>18827.77</x:v>
      </x:c>
      <x:c r="G408" s="18" t="n">
        <x:v>4269.07</x:v>
      </x:c>
      <x:c r="H408" t="str">
        <x:v>Client 15</x:v>
      </x:c>
      <x:c r="I408" s="16" t="n">
        <x:v>46013</x:v>
      </x:c>
      <x:c r="J408" t="n">
        <x:f>YEAR(B408)</x:f>
        <x:v>2025</x:v>
      </x:c>
      <x:c r="K408" s="20" t="n">
        <x:f>DATE(YEAR(B408),MONTH(B408),1)</x:f>
        <x:v>45992</x:v>
      </x:c>
      <x:c r="L408" s="18" t="n">
        <x:f>F408-G408</x:f>
        <x:v>14558.7</x:v>
      </x:c>
      <x:c r="M408" t="str">
        <x:f>IF(L408&lt;=0,"Payée",IF(G408=0,"Impayée","Partielle"))</x:f>
        <x:v>Partielle</x:v>
      </x:c>
      <x:c r="N408" t="n">
        <x:f>IF(I408="","",I408-B408)</x:f>
        <x:v>2</x:v>
      </x:c>
      <x:c r="O408" t="str">
        <x:f>IF(TRIM(C408)&lt;&gt;TRIM(H408),"Oui","Non")</x:f>
        <x:v>Non</x:v>
      </x:c>
      <x:c r="P408" t="str">
        <x:f>IFERROR(INDEX('02_REFERENTIEL_CLIENTS'!$B$2:$B$51,MATCH(TRIM(C408),'02_REFERENTIEL_CLIENTS'!$A$2:$A$51,0)),"Non trouvé")</x:f>
        <x:v>Particuliers</x:v>
      </x:c>
      <x:c r="Q408" t="str">
        <x:f>IFERROR(INDEX('02_REFERENTIEL_CLIENTS'!$C$2:$C$51,MATCH(TRIM(C408),'02_REFERENTIEL_CLIENTS'!$A$2:$A$51,0)),"Non trouvé")</x:f>
        <x:v>International</x:v>
      </x:c>
      <x:c r="R408" t="str">
        <x:f>IF(OR(F408&lt;=0,G408&lt;0,G408&gt;F408,N408&lt;0,P408="Non trouvé"),"À vérifier","OK")</x:f>
        <x:v>OK</x:v>
      </x:c>
    </x:row>
    <x:row r="409">
      <x:c r="A409" t="str">
        <x:v>DV-2026-00408</x:v>
      </x:c>
      <x:c r="B409" s="16" t="n">
        <x:v>46059</x:v>
      </x:c>
      <x:c r="C409" t="str">
        <x:v>Client 11</x:v>
      </x:c>
      <x:c r="D409" t="str">
        <x:v>Logistique</x:v>
      </x:c>
      <x:c r="E409" t="str">
        <x:v>Pôle E</x:v>
      </x:c>
      <x:c r="F409" s="18" t="n">
        <x:v>3296.59</x:v>
      </x:c>
      <x:c r="G409" s="18" t="n">
        <x:v>3296.59</x:v>
      </x:c>
      <x:c r="H409" t="str">
        <x:v>Client 18</x:v>
      </x:c>
      <x:c r="I409" s="16" t="n">
        <x:v>46104</x:v>
      </x:c>
      <x:c r="J409" t="n">
        <x:f>YEAR(B409)</x:f>
        <x:v>2026</x:v>
      </x:c>
      <x:c r="K409" s="20" t="n">
        <x:f>DATE(YEAR(B409),MONTH(B409),1)</x:f>
        <x:v>46054</x:v>
      </x:c>
      <x:c r="L409" s="18" t="n">
        <x:f>F409-G409</x:f>
        <x:v>0</x:v>
      </x:c>
      <x:c r="M409" t="str">
        <x:f>IF(L409&lt;=0,"Payée",IF(G409=0,"Impayée","Partielle"))</x:f>
        <x:v>Payée</x:v>
      </x:c>
      <x:c r="N409" t="n">
        <x:f>IF(I409="","",I409-B409)</x:f>
        <x:v>45</x:v>
      </x:c>
      <x:c r="O409" t="str">
        <x:f>IF(TRIM(C409)&lt;&gt;TRIM(H409),"Oui","Non")</x:f>
        <x:v>Oui</x:v>
      </x:c>
      <x:c r="P409" t="str">
        <x:f>IFERROR(INDEX('02_REFERENTIEL_CLIENTS'!$B$2:$B$51,MATCH(TRIM(C409),'02_REFERENTIEL_CLIENTS'!$A$2:$A$51,0)),"Non trouvé")</x:f>
        <x:v>PME</x:v>
      </x:c>
      <x:c r="Q409" t="str">
        <x:f>IFERROR(INDEX('02_REFERENTIEL_CLIENTS'!$C$2:$C$51,MATCH(TRIM(C409),'02_REFERENTIEL_CLIENTS'!$A$2:$A$51,0)),"Non trouvé")</x:f>
        <x:v>Europe</x:v>
      </x:c>
      <x:c r="R409" t="str">
        <x:f>IF(OR(F409&lt;=0,G409&lt;0,G409&gt;F409,N409&lt;0,P409="Non trouvé"),"À vérifier","OK")</x:f>
        <x:v>OK</x:v>
      </x:c>
    </x:row>
    <x:row r="410">
      <x:c r="A410" t="str">
        <x:v>DV-2026-00409</x:v>
      </x:c>
      <x:c r="B410" s="16" t="n">
        <x:v>46094</x:v>
      </x:c>
      <x:c r="C410" t="str">
        <x:v>Client 30</x:v>
      </x:c>
      <x:c r="D410" t="str">
        <x:v>Douane</x:v>
      </x:c>
      <x:c r="E410" t="str">
        <x:v>Pôle B</x:v>
      </x:c>
      <x:c r="F410" s="18" t="n">
        <x:v>13769.69</x:v>
      </x:c>
      <x:c r="G410" s="18" t="n">
        <x:v>13769.69</x:v>
      </x:c>
      <x:c r="H410" t="str">
        <x:v>Client 30</x:v>
      </x:c>
      <x:c r="I410" s="16" t="n">
        <x:v>46111</x:v>
      </x:c>
      <x:c r="J410" t="n">
        <x:f>YEAR(B410)</x:f>
        <x:v>2026</x:v>
      </x:c>
      <x:c r="K410" s="20" t="n">
        <x:f>DATE(YEAR(B410),MONTH(B410),1)</x:f>
        <x:v>46082</x:v>
      </x:c>
      <x:c r="L410" s="18" t="n">
        <x:f>F410-G410</x:f>
        <x:v>0</x:v>
      </x:c>
      <x:c r="M410" t="str">
        <x:f>IF(L410&lt;=0,"Payée",IF(G410=0,"Impayée","Partielle"))</x:f>
        <x:v>Payée</x:v>
      </x:c>
      <x:c r="N410" t="n">
        <x:f>IF(I410="","",I410-B410)</x:f>
        <x:v>17</x:v>
      </x:c>
      <x:c r="O410" t="str">
        <x:f>IF(TRIM(C410)&lt;&gt;TRIM(H410),"Oui","Non")</x:f>
        <x:v>Non</x:v>
      </x:c>
      <x:c r="P410" t="str">
        <x:f>IFERROR(INDEX('02_REFERENTIEL_CLIENTS'!$B$2:$B$51,MATCH(TRIM(C410),'02_REFERENTIEL_CLIENTS'!$A$2:$A$51,0)),"Non trouvé")</x:f>
        <x:v>Particuliers</x:v>
      </x:c>
      <x:c r="Q410" t="str">
        <x:f>IFERROR(INDEX('02_REFERENTIEL_CLIENTS'!$C$2:$C$51,MATCH(TRIM(C410),'02_REFERENTIEL_CLIENTS'!$A$2:$A$51,0)),"Non trouvé")</x:f>
        <x:v>International</x:v>
      </x:c>
      <x:c r="R410" t="str">
        <x:f>IF(OR(F410&lt;=0,G410&lt;0,G410&gt;F410,N410&lt;0,P410="Non trouvé"),"À vérifier","OK")</x:f>
        <x:v>OK</x:v>
      </x:c>
    </x:row>
    <x:row r="411">
      <x:c r="A411" t="str">
        <x:v>DV-2024-00410</x:v>
      </x:c>
      <x:c r="B411" s="16" t="n">
        <x:v>45647</x:v>
      </x:c>
      <x:c r="C411" t="str">
        <x:v>Client 26</x:v>
      </x:c>
      <x:c r="D411" t="str">
        <x:v>Fret maritime</x:v>
      </x:c>
      <x:c r="E411" t="str">
        <x:v>Pôle C</x:v>
      </x:c>
      <x:c r="F411" s="18" t="n">
        <x:v>13765.75</x:v>
      </x:c>
      <x:c r="G411" s="18" t="n">
        <x:v>13765.75</x:v>
      </x:c>
      <x:c r="H411" t="str">
        <x:v>Client 26</x:v>
      </x:c>
      <x:c r="I411" s="16" t="n">
        <x:v>45670</x:v>
      </x:c>
      <x:c r="J411" t="n">
        <x:f>YEAR(B411)</x:f>
        <x:v>2024</x:v>
      </x:c>
      <x:c r="K411" s="20" t="n">
        <x:f>DATE(YEAR(B411),MONTH(B411),1)</x:f>
        <x:v>45627</x:v>
      </x:c>
      <x:c r="L411" s="18" t="n">
        <x:f>F411-G411</x:f>
        <x:v>0</x:v>
      </x:c>
      <x:c r="M411" t="str">
        <x:f>IF(L411&lt;=0,"Payée",IF(G411=0,"Impayée","Partielle"))</x:f>
        <x:v>Payée</x:v>
      </x:c>
      <x:c r="N411" t="n">
        <x:f>IF(I411="","",I411-B411)</x:f>
        <x:v>23</x:v>
      </x:c>
      <x:c r="O411" t="str">
        <x:f>IF(TRIM(C411)&lt;&gt;TRIM(H411),"Oui","Non")</x:f>
        <x:v>Non</x:v>
      </x:c>
      <x:c r="P411" t="str">
        <x:f>IFERROR(INDEX('02_REFERENTIEL_CLIENTS'!$B$2:$B$51,MATCH(TRIM(C411),'02_REFERENTIEL_CLIENTS'!$A$2:$A$51,0)),"Non trouvé")</x:f>
        <x:v>PME</x:v>
      </x:c>
      <x:c r="Q411" t="str">
        <x:f>IFERROR(INDEX('02_REFERENTIEL_CLIENTS'!$C$2:$C$51,MATCH(TRIM(C411),'02_REFERENTIEL_CLIENTS'!$A$2:$A$51,0)),"Non trouvé")</x:f>
        <x:v>Europe</x:v>
      </x:c>
      <x:c r="R411" t="str">
        <x:f>IF(OR(F411&lt;=0,G411&lt;0,G411&gt;F411,N411&lt;0,P411="Non trouvé"),"À vérifier","OK")</x:f>
        <x:v>OK</x:v>
      </x:c>
    </x:row>
    <x:row r="412">
      <x:c r="A412" t="str">
        <x:v>DV-2024-00411</x:v>
      </x:c>
      <x:c r="B412" s="16" t="n">
        <x:v>45330</x:v>
      </x:c>
      <x:c r="C412" t="str">
        <x:v>Client 36</x:v>
      </x:c>
      <x:c r="D412" t="str">
        <x:v>Fret maritime</x:v>
      </x:c>
      <x:c r="E412" t="str">
        <x:v>Pôle C</x:v>
      </x:c>
      <x:c r="F412" s="18" t="n">
        <x:v>15363.84</x:v>
      </x:c>
      <x:c r="G412" s="18" t="n">
        <x:v>15363.84</x:v>
      </x:c>
      <x:c r="H412" t="str">
        <x:v>Client 36</x:v>
      </x:c>
      <x:c r="I412" s="16" t="n">
        <x:v>45395</x:v>
      </x:c>
      <x:c r="J412" t="n">
        <x:f>YEAR(B412)</x:f>
        <x:v>2024</x:v>
      </x:c>
      <x:c r="K412" s="20" t="n">
        <x:f>DATE(YEAR(B412),MONTH(B412),1)</x:f>
        <x:v>45323</x:v>
      </x:c>
      <x:c r="L412" s="18" t="n">
        <x:f>F412-G412</x:f>
        <x:v>0</x:v>
      </x:c>
      <x:c r="M412" t="str">
        <x:f>IF(L412&lt;=0,"Payée",IF(G412=0,"Impayée","Partielle"))</x:f>
        <x:v>Payée</x:v>
      </x:c>
      <x:c r="N412" t="n">
        <x:f>IF(I412="","",I412-B412)</x:f>
        <x:v>65</x:v>
      </x:c>
      <x:c r="O412" t="str">
        <x:f>IF(TRIM(C412)&lt;&gt;TRIM(H412),"Oui","Non")</x:f>
        <x:v>Non</x:v>
      </x:c>
      <x:c r="P412" t="str">
        <x:f>IFERROR(INDEX('02_REFERENTIEL_CLIENTS'!$B$2:$B$51,MATCH(TRIM(C412),'02_REFERENTIEL_CLIENTS'!$A$2:$A$51,0)),"Non trouvé")</x:f>
        <x:v>Particuliers</x:v>
      </x:c>
      <x:c r="Q412" t="str">
        <x:f>IFERROR(INDEX('02_REFERENTIEL_CLIENTS'!$C$2:$C$51,MATCH(TRIM(C412),'02_REFERENTIEL_CLIENTS'!$A$2:$A$51,0)),"Non trouvé")</x:f>
        <x:v>International</x:v>
      </x:c>
      <x:c r="R412" t="str">
        <x:f>IF(OR(F412&lt;=0,G412&lt;0,G412&gt;F412,N412&lt;0,P412="Non trouvé"),"À vérifier","OK")</x:f>
        <x:v>OK</x:v>
      </x:c>
    </x:row>
    <x:row r="413">
      <x:c r="A413" t="str">
        <x:v>DV-2025-00412</x:v>
      </x:c>
      <x:c r="B413" s="16" t="n">
        <x:v>45798</x:v>
      </x:c>
      <x:c r="C413" t="str">
        <x:v>Client 24 </x:v>
      </x:c>
      <x:c r="D413" t="str">
        <x:v>Fret maritime</x:v>
      </x:c>
      <x:c r="E413" t="str">
        <x:v>Pôle E</x:v>
      </x:c>
      <x:c r="F413" s="18" t="n">
        <x:v>21755.88</x:v>
      </x:c>
      <x:c r="G413" s="18" t="n">
        <x:v>21755.88</x:v>
      </x:c>
      <x:c r="H413" t="str">
        <x:v>Client 24</x:v>
      </x:c>
      <x:c r="I413" s="16" t="n">
        <x:v>45869</x:v>
      </x:c>
      <x:c r="J413" t="n">
        <x:f>YEAR(B413)</x:f>
        <x:v>2025</x:v>
      </x:c>
      <x:c r="K413" s="20" t="n">
        <x:f>DATE(YEAR(B413),MONTH(B413),1)</x:f>
        <x:v>45778</x:v>
      </x:c>
      <x:c r="L413" s="18" t="n">
        <x:f>F413-G413</x:f>
        <x:v>0</x:v>
      </x:c>
      <x:c r="M413" t="str">
        <x:f>IF(L413&lt;=0,"Payée",IF(G413=0,"Impayée","Partielle"))</x:f>
        <x:v>Payée</x:v>
      </x:c>
      <x:c r="N413" t="n">
        <x:f>IF(I413="","",I413-B413)</x:f>
        <x:v>71</x:v>
      </x:c>
      <x:c r="O413" t="str">
        <x:f>IF(TRIM(C413)&lt;&gt;TRIM(H413),"Oui","Non")</x:f>
        <x:v>Non</x:v>
      </x:c>
      <x:c r="P413" t="str">
        <x:f>IFERROR(INDEX('02_REFERENTIEL_CLIENTS'!$B$2:$B$51,MATCH(TRIM(C413),'02_REFERENTIEL_CLIENTS'!$A$2:$A$51,0)),"Non trouvé")</x:f>
        <x:v>Particuliers</x:v>
      </x:c>
      <x:c r="Q413" t="str">
        <x:f>IFERROR(INDEX('02_REFERENTIEL_CLIENTS'!$C$2:$C$51,MATCH(TRIM(C413),'02_REFERENTIEL_CLIENTS'!$A$2:$A$51,0)),"Non trouvé")</x:f>
        <x:v>International</x:v>
      </x:c>
      <x:c r="R413" t="str">
        <x:f>IF(OR(F413&lt;=0,G413&lt;0,G413&gt;F413,N413&lt;0,P413="Non trouvé"),"À vérifier","OK")</x:f>
        <x:v>OK</x:v>
      </x:c>
    </x:row>
    <x:row r="414">
      <x:c r="A414" t="str">
        <x:v>DV-2024-00413</x:v>
      </x:c>
      <x:c r="B414" s="16" t="n">
        <x:v>45486</x:v>
      </x:c>
      <x:c r="C414" t="str">
        <x:v>Client 41</x:v>
      </x:c>
      <x:c r="D414" t="str">
        <x:v>Fret maritime</x:v>
      </x:c>
      <x:c r="E414" t="str">
        <x:v>Pôle B</x:v>
      </x:c>
      <x:c r="F414" s="18" t="n">
        <x:v>17591.53</x:v>
      </x:c>
      <x:c r="G414" s="18" t="n">
        <x:v>17591.53</x:v>
      </x:c>
      <x:c r="H414" t="str">
        <x:v>Client 41</x:v>
      </x:c>
      <x:c r="I414" s="16" t="n">
        <x:v>45560</x:v>
      </x:c>
      <x:c r="J414" t="n">
        <x:f>YEAR(B414)</x:f>
        <x:v>2024</x:v>
      </x:c>
      <x:c r="K414" s="20" t="n">
        <x:f>DATE(YEAR(B414),MONTH(B414),1)</x:f>
        <x:v>45474</x:v>
      </x:c>
      <x:c r="L414" s="18" t="n">
        <x:f>F414-G414</x:f>
        <x:v>0</x:v>
      </x:c>
      <x:c r="M414" t="str">
        <x:f>IF(L414&lt;=0,"Payée",IF(G414=0,"Impayée","Partielle"))</x:f>
        <x:v>Payée</x:v>
      </x:c>
      <x:c r="N414" t="n">
        <x:f>IF(I414="","",I414-B414)</x:f>
        <x:v>74</x:v>
      </x:c>
      <x:c r="O414" t="str">
        <x:f>IF(TRIM(C414)&lt;&gt;TRIM(H414),"Oui","Non")</x:f>
        <x:v>Non</x:v>
      </x:c>
      <x:c r="P414" t="str">
        <x:f>IFERROR(INDEX('02_REFERENTIEL_CLIENTS'!$B$2:$B$51,MATCH(TRIM(C414),'02_REFERENTIEL_CLIENTS'!$A$2:$A$51,0)),"Non trouvé")</x:f>
        <x:v>PME</x:v>
      </x:c>
      <x:c r="Q414" t="str">
        <x:f>IFERROR(INDEX('02_REFERENTIEL_CLIENTS'!$C$2:$C$51,MATCH(TRIM(C414),'02_REFERENTIEL_CLIENTS'!$A$2:$A$51,0)),"Non trouvé")</x:f>
        <x:v>Europe</x:v>
      </x:c>
      <x:c r="R414" t="str">
        <x:f>IF(OR(F414&lt;=0,G414&lt;0,G414&gt;F414,N414&lt;0,P414="Non trouvé"),"À vérifier","OK")</x:f>
        <x:v>OK</x:v>
      </x:c>
    </x:row>
    <x:row r="415">
      <x:c r="A415" t="str">
        <x:v>DV-2025-00414</x:v>
      </x:c>
      <x:c r="B415" s="16" t="n">
        <x:v>45993</x:v>
      </x:c>
      <x:c r="C415" t="str">
        <x:v>Client 14</x:v>
      </x:c>
      <x:c r="D415" t="str">
        <x:v>Logistique</x:v>
      </x:c>
      <x:c r="E415" t="str">
        <x:v>Pôle D</x:v>
      </x:c>
      <x:c r="F415" s="18" t="n">
        <x:v>8805.36</x:v>
      </x:c>
      <x:c r="G415" s="18" t="n">
        <x:v>0</x:v>
      </x:c>
      <x:c r="H415" t="str">
        <x:v>Client 48</x:v>
      </x:c>
      <x:c r="I415" s="16"/>
      <x:c r="J415" t="n">
        <x:f>YEAR(B415)</x:f>
        <x:v>2025</x:v>
      </x:c>
      <x:c r="K415" s="20" t="n">
        <x:f>DATE(YEAR(B415),MONTH(B415),1)</x:f>
        <x:v>45992</x:v>
      </x:c>
      <x:c r="L415" s="18" t="n">
        <x:f>F415-G415</x:f>
        <x:v>8805.36</x:v>
      </x:c>
      <x:c r="M415" t="str">
        <x:f>IF(L415&lt;=0,"Payée",IF(G415=0,"Impayée","Partielle"))</x:f>
        <x:v>Impayée</x:v>
      </x:c>
      <x:c r="N415" t="str">
        <x:f>IF(I415="","",I415-B415)</x:f>
      </x:c>
      <x:c r="O415" t="str">
        <x:f>IF(TRIM(C415)&lt;&gt;TRIM(H415),"Oui","Non")</x:f>
        <x:v>Oui</x:v>
      </x:c>
      <x:c r="P415" t="str">
        <x:f>IFERROR(INDEX('02_REFERENTIEL_CLIENTS'!$B$2:$B$51,MATCH(TRIM(C415),'02_REFERENTIEL_CLIENTS'!$A$2:$A$51,0)),"Non trouvé")</x:f>
        <x:v>PME</x:v>
      </x:c>
      <x:c r="Q415" t="str">
        <x:f>IFERROR(INDEX('02_REFERENTIEL_CLIENTS'!$C$2:$C$51,MATCH(TRIM(C415),'02_REFERENTIEL_CLIENTS'!$A$2:$A$51,0)),"Non trouvé")</x:f>
        <x:v>Europe</x:v>
      </x:c>
      <x:c r="R415" t="str">
        <x:f>IF(OR(F415&lt;=0,G415&lt;0,G415&gt;F415,N415&lt;0,P415="Non trouvé"),"À vérifier","OK")</x:f>
        <x:v>OK</x:v>
      </x:c>
    </x:row>
    <x:row r="416">
      <x:c r="A416" t="str">
        <x:v>DV-2024-00415</x:v>
      </x:c>
      <x:c r="B416" s="16" t="n">
        <x:v>45549</x:v>
      </x:c>
      <x:c r="C416" t="str">
        <x:v>Client 21</x:v>
      </x:c>
      <x:c r="D416" t="str">
        <x:v>Fret maritime</x:v>
      </x:c>
      <x:c r="E416" t="str">
        <x:v>Pôle C</x:v>
      </x:c>
      <x:c r="F416" s="18" t="n">
        <x:v>7722.38</x:v>
      </x:c>
      <x:c r="G416" s="18" t="n">
        <x:v>7722.38</x:v>
      </x:c>
      <x:c r="H416" t="str">
        <x:v>Client 21</x:v>
      </x:c>
      <x:c r="I416" s="16" t="n">
        <x:v>45578</x:v>
      </x:c>
      <x:c r="J416" t="n">
        <x:f>YEAR(B416)</x:f>
        <x:v>2024</x:v>
      </x:c>
      <x:c r="K416" s="20" t="n">
        <x:f>DATE(YEAR(B416),MONTH(B416),1)</x:f>
        <x:v>45536</x:v>
      </x:c>
      <x:c r="L416" s="18" t="n">
        <x:f>F416-G416</x:f>
        <x:v>0</x:v>
      </x:c>
      <x:c r="M416" t="str">
        <x:f>IF(L416&lt;=0,"Payée",IF(G416=0,"Impayée","Partielle"))</x:f>
        <x:v>Payée</x:v>
      </x:c>
      <x:c r="N416" t="n">
        <x:f>IF(I416="","",I416-B416)</x:f>
        <x:v>29</x:v>
      </x:c>
      <x:c r="O416" t="str">
        <x:f>IF(TRIM(C416)&lt;&gt;TRIM(H416),"Oui","Non")</x:f>
        <x:v>Non</x:v>
      </x:c>
      <x:c r="P416" t="str">
        <x:f>IFERROR(INDEX('02_REFERENTIEL_CLIENTS'!$B$2:$B$51,MATCH(TRIM(C416),'02_REFERENTIEL_CLIENTS'!$A$2:$A$51,0)),"Non trouvé")</x:f>
        <x:v>Particuliers</x:v>
      </x:c>
      <x:c r="Q416" t="str">
        <x:f>IFERROR(INDEX('02_REFERENTIEL_CLIENTS'!$C$2:$C$51,MATCH(TRIM(C416),'02_REFERENTIEL_CLIENTS'!$A$2:$A$51,0)),"Non trouvé")</x:f>
        <x:v>International</x:v>
      </x:c>
      <x:c r="R416" t="str">
        <x:f>IF(OR(F416&lt;=0,G416&lt;0,G416&gt;F416,N416&lt;0,P416="Non trouvé"),"À vérifier","OK")</x:f>
        <x:v>OK</x:v>
      </x:c>
    </x:row>
    <x:row r="417">
      <x:c r="A417" t="str">
        <x:v>DV-2026-00416</x:v>
      </x:c>
      <x:c r="B417" s="16" t="n">
        <x:v>46222</x:v>
      </x:c>
      <x:c r="C417" t="str">
        <x:v>Client 12</x:v>
      </x:c>
      <x:c r="D417" t="str">
        <x:v>Fret aérien</x:v>
      </x:c>
      <x:c r="E417" t="str">
        <x:v>Pôle D</x:v>
      </x:c>
      <x:c r="F417" s="18" t="n">
        <x:v>12736.79</x:v>
      </x:c>
      <x:c r="G417" s="18" t="n">
        <x:v>12736.79</x:v>
      </x:c>
      <x:c r="H417" t="str">
        <x:v>Client 12</x:v>
      </x:c>
      <x:c r="I417" s="16" t="n">
        <x:v>46289</x:v>
      </x:c>
      <x:c r="J417" t="n">
        <x:f>YEAR(B417)</x:f>
        <x:v>2026</x:v>
      </x:c>
      <x:c r="K417" s="20" t="n">
        <x:f>DATE(YEAR(B417),MONTH(B417),1)</x:f>
        <x:v>46204</x:v>
      </x:c>
      <x:c r="L417" s="18" t="n">
        <x:f>F417-G417</x:f>
        <x:v>0</x:v>
      </x:c>
      <x:c r="M417" t="str">
        <x:f>IF(L417&lt;=0,"Payée",IF(G417=0,"Impayée","Partielle"))</x:f>
        <x:v>Payée</x:v>
      </x:c>
      <x:c r="N417" t="n">
        <x:f>IF(I417="","",I417-B417)</x:f>
        <x:v>67</x:v>
      </x:c>
      <x:c r="O417" t="str">
        <x:f>IF(TRIM(C417)&lt;&gt;TRIM(H417),"Oui","Non")</x:f>
        <x:v>Non</x:v>
      </x:c>
      <x:c r="P417" t="str">
        <x:f>IFERROR(INDEX('02_REFERENTIEL_CLIENTS'!$B$2:$B$51,MATCH(TRIM(C417),'02_REFERENTIEL_CLIENTS'!$A$2:$A$51,0)),"Non trouvé")</x:f>
        <x:v>Particuliers</x:v>
      </x:c>
      <x:c r="Q417" t="str">
        <x:f>IFERROR(INDEX('02_REFERENTIEL_CLIENTS'!$C$2:$C$51,MATCH(TRIM(C417),'02_REFERENTIEL_CLIENTS'!$A$2:$A$51,0)),"Non trouvé")</x:f>
        <x:v>International</x:v>
      </x:c>
      <x:c r="R417" t="str">
        <x:f>IF(OR(F417&lt;=0,G417&lt;0,G417&gt;F417,N417&lt;0,P417="Non trouvé"),"À vérifier","OK")</x:f>
        <x:v>OK</x:v>
      </x:c>
    </x:row>
    <x:row r="418">
      <x:c r="A418" t="str">
        <x:v>DV-2024-00417</x:v>
      </x:c>
      <x:c r="B418" s="16" t="n">
        <x:v>45337</x:v>
      </x:c>
      <x:c r="C418" t="str">
        <x:v>Client 12</x:v>
      </x:c>
      <x:c r="D418" t="str">
        <x:v>Fret aérien</x:v>
      </x:c>
      <x:c r="E418" t="str">
        <x:v>Pôle A</x:v>
      </x:c>
      <x:c r="F418" s="18" t="n">
        <x:v>18145.59</x:v>
      </x:c>
      <x:c r="G418" s="18" t="n">
        <x:v>10509.96</x:v>
      </x:c>
      <x:c r="H418" t="str">
        <x:v>Client 12</x:v>
      </x:c>
      <x:c r="I418" s="16" t="n">
        <x:v>45341</x:v>
      </x:c>
      <x:c r="J418" t="n">
        <x:f>YEAR(B418)</x:f>
        <x:v>2024</x:v>
      </x:c>
      <x:c r="K418" s="20" t="n">
        <x:f>DATE(YEAR(B418),MONTH(B418),1)</x:f>
        <x:v>45323</x:v>
      </x:c>
      <x:c r="L418" s="18" t="n">
        <x:f>F418-G418</x:f>
        <x:v>7635.630000000001</x:v>
      </x:c>
      <x:c r="M418" t="str">
        <x:f>IF(L418&lt;=0,"Payée",IF(G418=0,"Impayée","Partielle"))</x:f>
        <x:v>Partielle</x:v>
      </x:c>
      <x:c r="N418" t="n">
        <x:f>IF(I418="","",I418-B418)</x:f>
        <x:v>4</x:v>
      </x:c>
      <x:c r="O418" t="str">
        <x:f>IF(TRIM(C418)&lt;&gt;TRIM(H418),"Oui","Non")</x:f>
        <x:v>Non</x:v>
      </x:c>
      <x:c r="P418" t="str">
        <x:f>IFERROR(INDEX('02_REFERENTIEL_CLIENTS'!$B$2:$B$51,MATCH(TRIM(C418),'02_REFERENTIEL_CLIENTS'!$A$2:$A$51,0)),"Non trouvé")</x:f>
        <x:v>Particuliers</x:v>
      </x:c>
      <x:c r="Q418" t="str">
        <x:f>IFERROR(INDEX('02_REFERENTIEL_CLIENTS'!$C$2:$C$51,MATCH(TRIM(C418),'02_REFERENTIEL_CLIENTS'!$A$2:$A$51,0)),"Non trouvé")</x:f>
        <x:v>International</x:v>
      </x:c>
      <x:c r="R418" t="str">
        <x:f>IF(OR(F418&lt;=0,G418&lt;0,G418&gt;F418,N418&lt;0,P418="Non trouvé"),"À vérifier","OK")</x:f>
        <x:v>OK</x:v>
      </x:c>
    </x:row>
    <x:row r="419">
      <x:c r="A419" t="str">
        <x:v>DV-2024-00418</x:v>
      </x:c>
      <x:c r="B419" s="16" t="n">
        <x:v>45425</x:v>
      </x:c>
      <x:c r="C419" t="str">
        <x:v>Client 09</x:v>
      </x:c>
      <x:c r="D419" t="str">
        <x:v>Fret maritime</x:v>
      </x:c>
      <x:c r="E419" t="str">
        <x:v>Pôle C</x:v>
      </x:c>
      <x:c r="F419" s="18" t="n">
        <x:v>2116.49</x:v>
      </x:c>
      <x:c r="G419" s="18" t="n">
        <x:v>1546.71</x:v>
      </x:c>
      <x:c r="H419" t="str">
        <x:v>Client 09</x:v>
      </x:c>
      <x:c r="I419" s="16" t="n">
        <x:v>45507</x:v>
      </x:c>
      <x:c r="J419" t="n">
        <x:f>YEAR(B419)</x:f>
        <x:v>2024</x:v>
      </x:c>
      <x:c r="K419" s="20" t="n">
        <x:f>DATE(YEAR(B419),MONTH(B419),1)</x:f>
        <x:v>45413</x:v>
      </x:c>
      <x:c r="L419" s="18" t="n">
        <x:f>F419-G419</x:f>
        <x:v>569.7799999999997</x:v>
      </x:c>
      <x:c r="M419" t="str">
        <x:f>IF(L419&lt;=0,"Payée",IF(G419=0,"Impayée","Partielle"))</x:f>
        <x:v>Partielle</x:v>
      </x:c>
      <x:c r="N419" t="n">
        <x:f>IF(I419="","",I419-B419)</x:f>
        <x:v>82</x:v>
      </x:c>
      <x:c r="O419" t="str">
        <x:f>IF(TRIM(C419)&lt;&gt;TRIM(H419),"Oui","Non")</x:f>
        <x:v>Non</x:v>
      </x:c>
      <x:c r="P419" t="str">
        <x:f>IFERROR(INDEX('02_REFERENTIEL_CLIENTS'!$B$2:$B$51,MATCH(TRIM(C419),'02_REFERENTIEL_CLIENTS'!$A$2:$A$51,0)),"Non trouvé")</x:f>
        <x:v>Particuliers</x:v>
      </x:c>
      <x:c r="Q419" t="str">
        <x:f>IFERROR(INDEX('02_REFERENTIEL_CLIENTS'!$C$2:$C$51,MATCH(TRIM(C419),'02_REFERENTIEL_CLIENTS'!$A$2:$A$51,0)),"Non trouvé")</x:f>
        <x:v>International</x:v>
      </x:c>
      <x:c r="R419" t="str">
        <x:f>IF(OR(F419&lt;=0,G419&lt;0,G419&gt;F419,N419&lt;0,P419="Non trouvé"),"À vérifier","OK")</x:f>
        <x:v>OK</x:v>
      </x:c>
    </x:row>
    <x:row r="420">
      <x:c r="A420" t="str">
        <x:v>DV-2025-00419</x:v>
      </x:c>
      <x:c r="B420" s="16" t="n">
        <x:v>45738</x:v>
      </x:c>
      <x:c r="C420" t="str">
        <x:v>Client 30</x:v>
      </x:c>
      <x:c r="D420" t="str">
        <x:v>Logistique</x:v>
      </x:c>
      <x:c r="E420" t="str">
        <x:v>Pôle E</x:v>
      </x:c>
      <x:c r="F420" s="18" t="n">
        <x:v>18245.14</x:v>
      </x:c>
      <x:c r="G420" s="18" t="n">
        <x:v>18245.14</x:v>
      </x:c>
      <x:c r="H420" t="str">
        <x:v>Client 30</x:v>
      </x:c>
      <x:c r="I420" s="16" t="n">
        <x:v>45798</x:v>
      </x:c>
      <x:c r="J420" t="n">
        <x:f>YEAR(B420)</x:f>
        <x:v>2025</x:v>
      </x:c>
      <x:c r="K420" s="20" t="n">
        <x:f>DATE(YEAR(B420),MONTH(B420),1)</x:f>
        <x:v>45717</x:v>
      </x:c>
      <x:c r="L420" s="18" t="n">
        <x:f>F420-G420</x:f>
        <x:v>0</x:v>
      </x:c>
      <x:c r="M420" t="str">
        <x:f>IF(L420&lt;=0,"Payée",IF(G420=0,"Impayée","Partielle"))</x:f>
        <x:v>Payée</x:v>
      </x:c>
      <x:c r="N420" t="n">
        <x:f>IF(I420="","",I420-B420)</x:f>
        <x:v>60</x:v>
      </x:c>
      <x:c r="O420" t="str">
        <x:f>IF(TRIM(C420)&lt;&gt;TRIM(H420),"Oui","Non")</x:f>
        <x:v>Non</x:v>
      </x:c>
      <x:c r="P420" t="str">
        <x:f>IFERROR(INDEX('02_REFERENTIEL_CLIENTS'!$B$2:$B$51,MATCH(TRIM(C420),'02_REFERENTIEL_CLIENTS'!$A$2:$A$51,0)),"Non trouvé")</x:f>
        <x:v>Particuliers</x:v>
      </x:c>
      <x:c r="Q420" t="str">
        <x:f>IFERROR(INDEX('02_REFERENTIEL_CLIENTS'!$C$2:$C$51,MATCH(TRIM(C420),'02_REFERENTIEL_CLIENTS'!$A$2:$A$51,0)),"Non trouvé")</x:f>
        <x:v>International</x:v>
      </x:c>
      <x:c r="R420" t="str">
        <x:f>IF(OR(F420&lt;=0,G420&lt;0,G420&gt;F420,N420&lt;0,P420="Non trouvé"),"À vérifier","OK")</x:f>
        <x:v>OK</x:v>
      </x:c>
    </x:row>
    <x:row r="421">
      <x:c r="A421" t="str">
        <x:v>DV-2024-00420</x:v>
      </x:c>
      <x:c r="B421" s="16" t="n">
        <x:v>45566</x:v>
      </x:c>
      <x:c r="C421" t="str">
        <x:v>Client 21</x:v>
      </x:c>
      <x:c r="D421" t="str">
        <x:v>Fret aérien</x:v>
      </x:c>
      <x:c r="E421" t="str">
        <x:v>Pôle D</x:v>
      </x:c>
      <x:c r="F421" s="18" t="n">
        <x:v>15888.92</x:v>
      </x:c>
      <x:c r="G421" s="18" t="n">
        <x:v>15888.92</x:v>
      </x:c>
      <x:c r="H421" t="str">
        <x:v>Client 21</x:v>
      </x:c>
      <x:c r="I421" s="16" t="n">
        <x:v>45613</x:v>
      </x:c>
      <x:c r="J421" t="n">
        <x:f>YEAR(B421)</x:f>
        <x:v>2024</x:v>
      </x:c>
      <x:c r="K421" s="20" t="n">
        <x:f>DATE(YEAR(B421),MONTH(B421),1)</x:f>
        <x:v>45566</x:v>
      </x:c>
      <x:c r="L421" s="18" t="n">
        <x:f>F421-G421</x:f>
        <x:v>0</x:v>
      </x:c>
      <x:c r="M421" t="str">
        <x:f>IF(L421&lt;=0,"Payée",IF(G421=0,"Impayée","Partielle"))</x:f>
        <x:v>Payée</x:v>
      </x:c>
      <x:c r="N421" t="n">
        <x:f>IF(I421="","",I421-B421)</x:f>
        <x:v>47</x:v>
      </x:c>
      <x:c r="O421" t="str">
        <x:f>IF(TRIM(C421)&lt;&gt;TRIM(H421),"Oui","Non")</x:f>
        <x:v>Non</x:v>
      </x:c>
      <x:c r="P421" t="str">
        <x:f>IFERROR(INDEX('02_REFERENTIEL_CLIENTS'!$B$2:$B$51,MATCH(TRIM(C421),'02_REFERENTIEL_CLIENTS'!$A$2:$A$51,0)),"Non trouvé")</x:f>
        <x:v>Particuliers</x:v>
      </x:c>
      <x:c r="Q421" t="str">
        <x:f>IFERROR(INDEX('02_REFERENTIEL_CLIENTS'!$C$2:$C$51,MATCH(TRIM(C421),'02_REFERENTIEL_CLIENTS'!$A$2:$A$51,0)),"Non trouvé")</x:f>
        <x:v>International</x:v>
      </x:c>
      <x:c r="R421" t="str">
        <x:f>IF(OR(F421&lt;=0,G421&lt;0,G421&gt;F421,N421&lt;0,P421="Non trouvé"),"À vérifier","OK")</x:f>
        <x:v>OK</x:v>
      </x:c>
    </x:row>
    <x:row r="422">
      <x:c r="A422" t="str">
        <x:v>DV-2024-00421</x:v>
      </x:c>
      <x:c r="B422" s="16" t="n">
        <x:v>45576</x:v>
      </x:c>
      <x:c r="C422" t="str">
        <x:v>Client 44</x:v>
      </x:c>
      <x:c r="D422" t="str">
        <x:v>Douane</x:v>
      </x:c>
      <x:c r="E422" t="str">
        <x:v>Pôle C</x:v>
      </x:c>
      <x:c r="F422" s="18" t="n">
        <x:v>5322.58</x:v>
      </x:c>
      <x:c r="G422" s="18" t="n">
        <x:v>5322.58</x:v>
      </x:c>
      <x:c r="H422" t="str">
        <x:v>Client 44</x:v>
      </x:c>
      <x:c r="I422" s="16" t="n">
        <x:v>45607</x:v>
      </x:c>
      <x:c r="J422" t="n">
        <x:f>YEAR(B422)</x:f>
        <x:v>2024</x:v>
      </x:c>
      <x:c r="K422" s="20" t="n">
        <x:f>DATE(YEAR(B422),MONTH(B422),1)</x:f>
        <x:v>45566</x:v>
      </x:c>
      <x:c r="L422" s="18" t="n">
        <x:f>F422-G422</x:f>
        <x:v>0</x:v>
      </x:c>
      <x:c r="M422" t="str">
        <x:f>IF(L422&lt;=0,"Payée",IF(G422=0,"Impayée","Partielle"))</x:f>
        <x:v>Payée</x:v>
      </x:c>
      <x:c r="N422" t="n">
        <x:f>IF(I422="","",I422-B422)</x:f>
        <x:v>31</x:v>
      </x:c>
      <x:c r="O422" t="str">
        <x:f>IF(TRIM(C422)&lt;&gt;TRIM(H422),"Oui","Non")</x:f>
        <x:v>Non</x:v>
      </x:c>
      <x:c r="P422" t="str">
        <x:f>IFERROR(INDEX('02_REFERENTIEL_CLIENTS'!$B$2:$B$51,MATCH(TRIM(C422),'02_REFERENTIEL_CLIENTS'!$A$2:$A$51,0)),"Non trouvé")</x:f>
        <x:v>PME</x:v>
      </x:c>
      <x:c r="Q422" t="str">
        <x:f>IFERROR(INDEX('02_REFERENTIEL_CLIENTS'!$C$2:$C$51,MATCH(TRIM(C422),'02_REFERENTIEL_CLIENTS'!$A$2:$A$51,0)),"Non trouvé")</x:f>
        <x:v>Europe</x:v>
      </x:c>
      <x:c r="R422" t="str">
        <x:f>IF(OR(F422&lt;=0,G422&lt;0,G422&gt;F422,N422&lt;0,P422="Non trouvé"),"À vérifier","OK")</x:f>
        <x:v>OK</x:v>
      </x:c>
    </x:row>
    <x:row r="423">
      <x:c r="A423" t="str">
        <x:v>DV-2025-00422</x:v>
      </x:c>
      <x:c r="B423" s="16" t="n">
        <x:v>45719</x:v>
      </x:c>
      <x:c r="C423" t="str">
        <x:v>Client 11</x:v>
      </x:c>
      <x:c r="D423" t="str">
        <x:v>Douane</x:v>
      </x:c>
      <x:c r="E423" t="str">
        <x:v>Pôle A</x:v>
      </x:c>
      <x:c r="F423" s="18" t="n">
        <x:v>12907.37</x:v>
      </x:c>
      <x:c r="G423" s="18" t="n">
        <x:v>0</x:v>
      </x:c>
      <x:c r="H423" t="str">
        <x:v>Client 11</x:v>
      </x:c>
      <x:c r="I423" s="16"/>
      <x:c r="J423" t="n">
        <x:f>YEAR(B423)</x:f>
        <x:v>2025</x:v>
      </x:c>
      <x:c r="K423" s="20" t="n">
        <x:f>DATE(YEAR(B423),MONTH(B423),1)</x:f>
        <x:v>45717</x:v>
      </x:c>
      <x:c r="L423" s="18" t="n">
        <x:f>F423-G423</x:f>
        <x:v>12907.37</x:v>
      </x:c>
      <x:c r="M423" t="str">
        <x:f>IF(L423&lt;=0,"Payée",IF(G423=0,"Impayée","Partielle"))</x:f>
        <x:v>Impayée</x:v>
      </x:c>
      <x:c r="N423" t="str">
        <x:f>IF(I423="","",I423-B423)</x:f>
      </x:c>
      <x:c r="O423" t="str">
        <x:f>IF(TRIM(C423)&lt;&gt;TRIM(H423),"Oui","Non")</x:f>
        <x:v>Non</x:v>
      </x:c>
      <x:c r="P423" t="str">
        <x:f>IFERROR(INDEX('02_REFERENTIEL_CLIENTS'!$B$2:$B$51,MATCH(TRIM(C423),'02_REFERENTIEL_CLIENTS'!$A$2:$A$51,0)),"Non trouvé")</x:f>
        <x:v>PME</x:v>
      </x:c>
      <x:c r="Q423" t="str">
        <x:f>IFERROR(INDEX('02_REFERENTIEL_CLIENTS'!$C$2:$C$51,MATCH(TRIM(C423),'02_REFERENTIEL_CLIENTS'!$A$2:$A$51,0)),"Non trouvé")</x:f>
        <x:v>Europe</x:v>
      </x:c>
      <x:c r="R423" t="str">
        <x:f>IF(OR(F423&lt;=0,G423&lt;0,G423&gt;F423,N423&lt;0,P423="Non trouvé"),"À vérifier","OK")</x:f>
        <x:v>OK</x:v>
      </x:c>
    </x:row>
    <x:row r="424">
      <x:c r="A424" t="str">
        <x:v>DV-2024-00423</x:v>
      </x:c>
      <x:c r="B424" s="16" t="n">
        <x:v>45500</x:v>
      </x:c>
      <x:c r="C424" t="str">
        <x:v>Client 20</x:v>
      </x:c>
      <x:c r="D424" t="str">
        <x:v>Express</x:v>
      </x:c>
      <x:c r="E424" t="str">
        <x:v>Pôle E</x:v>
      </x:c>
      <x:c r="F424" s="18" t="n">
        <x:v>11177.9</x:v>
      </x:c>
      <x:c r="G424" s="18" t="n">
        <x:v>5409.16</x:v>
      </x:c>
      <x:c r="H424" t="str">
        <x:v>Client 20</x:v>
      </x:c>
      <x:c r="I424" s="16" t="n">
        <x:v>45524</x:v>
      </x:c>
      <x:c r="J424" t="n">
        <x:f>YEAR(B424)</x:f>
        <x:v>2024</x:v>
      </x:c>
      <x:c r="K424" s="20" t="n">
        <x:f>DATE(YEAR(B424),MONTH(B424),1)</x:f>
        <x:v>45474</x:v>
      </x:c>
      <x:c r="L424" s="18" t="n">
        <x:f>F424-G424</x:f>
        <x:v>5768.74</x:v>
      </x:c>
      <x:c r="M424" t="str">
        <x:f>IF(L424&lt;=0,"Payée",IF(G424=0,"Impayée","Partielle"))</x:f>
        <x:v>Partielle</x:v>
      </x:c>
      <x:c r="N424" t="n">
        <x:f>IF(I424="","",I424-B424)</x:f>
        <x:v>24</x:v>
      </x:c>
      <x:c r="O424" t="str">
        <x:f>IF(TRIM(C424)&lt;&gt;TRIM(H424),"Oui","Non")</x:f>
        <x:v>Non</x:v>
      </x:c>
      <x:c r="P424" t="str">
        <x:f>IFERROR(INDEX('02_REFERENTIEL_CLIENTS'!$B$2:$B$51,MATCH(TRIM(C424),'02_REFERENTIEL_CLIENTS'!$A$2:$A$51,0)),"Non trouvé")</x:f>
        <x:v>PME</x:v>
      </x:c>
      <x:c r="Q424" t="str">
        <x:f>IFERROR(INDEX('02_REFERENTIEL_CLIENTS'!$C$2:$C$51,MATCH(TRIM(C424),'02_REFERENTIEL_CLIENTS'!$A$2:$A$51,0)),"Non trouvé")</x:f>
        <x:v>Europe</x:v>
      </x:c>
      <x:c r="R424" t="str">
        <x:f>IF(OR(F424&lt;=0,G424&lt;0,G424&gt;F424,N424&lt;0,P424="Non trouvé"),"À vérifier","OK")</x:f>
        <x:v>OK</x:v>
      </x:c>
    </x:row>
    <x:row r="425">
      <x:c r="A425" t="str">
        <x:v>DV-2024-00424</x:v>
      </x:c>
      <x:c r="B425" s="16" t="n">
        <x:v>45351</x:v>
      </x:c>
      <x:c r="C425" t="str">
        <x:v>Client 19</x:v>
      </x:c>
      <x:c r="D425" t="str">
        <x:v>Fret aérien</x:v>
      </x:c>
      <x:c r="E425" t="str">
        <x:v>Pôle D</x:v>
      </x:c>
      <x:c r="F425" s="18" t="n">
        <x:v>17317.07</x:v>
      </x:c>
      <x:c r="G425" s="18" t="n">
        <x:v>17317.07</x:v>
      </x:c>
      <x:c r="H425" t="str">
        <x:v>Client 19</x:v>
      </x:c>
      <x:c r="I425" s="16" t="n">
        <x:v>45377</x:v>
      </x:c>
      <x:c r="J425" t="n">
        <x:f>YEAR(B425)</x:f>
        <x:v>2024</x:v>
      </x:c>
      <x:c r="K425" s="20" t="n">
        <x:f>DATE(YEAR(B425),MONTH(B425),1)</x:f>
        <x:v>45323</x:v>
      </x:c>
      <x:c r="L425" s="18" t="n">
        <x:f>F425-G425</x:f>
        <x:v>0</x:v>
      </x:c>
      <x:c r="M425" t="str">
        <x:f>IF(L425&lt;=0,"Payée",IF(G425=0,"Impayée","Partielle"))</x:f>
        <x:v>Payée</x:v>
      </x:c>
      <x:c r="N425" t="n">
        <x:f>IF(I425="","",I425-B425)</x:f>
        <x:v>26</x:v>
      </x:c>
      <x:c r="O425" t="str">
        <x:f>IF(TRIM(C425)&lt;&gt;TRIM(H425),"Oui","Non")</x:f>
        <x:v>Non</x:v>
      </x:c>
      <x:c r="P425" t="str">
        <x:f>IFERROR(INDEX('02_REFERENTIEL_CLIENTS'!$B$2:$B$51,MATCH(TRIM(C425),'02_REFERENTIEL_CLIENTS'!$A$2:$A$51,0)),"Non trouvé")</x:f>
        <x:v>Grands comptes</x:v>
      </x:c>
      <x:c r="Q425" t="str">
        <x:f>IFERROR(INDEX('02_REFERENTIEL_CLIENTS'!$C$2:$C$51,MATCH(TRIM(C425),'02_REFERENTIEL_CLIENTS'!$A$2:$A$51,0)),"Non trouvé")</x:f>
        <x:v>France</x:v>
      </x:c>
      <x:c r="R425" t="str">
        <x:f>IF(OR(F425&lt;=0,G425&lt;0,G425&gt;F425,N425&lt;0,P425="Non trouvé"),"À vérifier","OK")</x:f>
        <x:v>OK</x:v>
      </x:c>
    </x:row>
    <x:row r="426">
      <x:c r="A426" t="str">
        <x:v>DV-2024-00425</x:v>
      </x:c>
      <x:c r="B426" s="16" t="n">
        <x:v>45423</x:v>
      </x:c>
      <x:c r="C426" t="str">
        <x:v>Client 41</x:v>
      </x:c>
      <x:c r="D426" t="str">
        <x:v>Express</x:v>
      </x:c>
      <x:c r="E426" t="str">
        <x:v>Pôle A</x:v>
      </x:c>
      <x:c r="F426" s="18" t="n">
        <x:v>8544.15</x:v>
      </x:c>
      <x:c r="G426" s="18" t="n">
        <x:v>8544.15</x:v>
      </x:c>
      <x:c r="H426" t="str">
        <x:v>Client 41</x:v>
      </x:c>
      <x:c r="I426" s="16" t="n">
        <x:v>45441</x:v>
      </x:c>
      <x:c r="J426" t="n">
        <x:f>YEAR(B426)</x:f>
        <x:v>2024</x:v>
      </x:c>
      <x:c r="K426" s="20" t="n">
        <x:f>DATE(YEAR(B426),MONTH(B426),1)</x:f>
        <x:v>45413</x:v>
      </x:c>
      <x:c r="L426" s="18" t="n">
        <x:f>F426-G426</x:f>
        <x:v>0</x:v>
      </x:c>
      <x:c r="M426" t="str">
        <x:f>IF(L426&lt;=0,"Payée",IF(G426=0,"Impayée","Partielle"))</x:f>
        <x:v>Payée</x:v>
      </x:c>
      <x:c r="N426" t="n">
        <x:f>IF(I426="","",I426-B426)</x:f>
        <x:v>18</x:v>
      </x:c>
      <x:c r="O426" t="str">
        <x:f>IF(TRIM(C426)&lt;&gt;TRIM(H426),"Oui","Non")</x:f>
        <x:v>Non</x:v>
      </x:c>
      <x:c r="P426" t="str">
        <x:f>IFERROR(INDEX('02_REFERENTIEL_CLIENTS'!$B$2:$B$51,MATCH(TRIM(C426),'02_REFERENTIEL_CLIENTS'!$A$2:$A$51,0)),"Non trouvé")</x:f>
        <x:v>PME</x:v>
      </x:c>
      <x:c r="Q426" t="str">
        <x:f>IFERROR(INDEX('02_REFERENTIEL_CLIENTS'!$C$2:$C$51,MATCH(TRIM(C426),'02_REFERENTIEL_CLIENTS'!$A$2:$A$51,0)),"Non trouvé")</x:f>
        <x:v>Europe</x:v>
      </x:c>
      <x:c r="R426" t="str">
        <x:f>IF(OR(F426&lt;=0,G426&lt;0,G426&gt;F426,N426&lt;0,P426="Non trouvé"),"À vérifier","OK")</x:f>
        <x:v>OK</x:v>
      </x:c>
    </x:row>
    <x:row r="427">
      <x:c r="A427" t="str">
        <x:v>DV-2024-00426</x:v>
      </x:c>
      <x:c r="B427" s="16" t="n">
        <x:v>45560</x:v>
      </x:c>
      <x:c r="C427" t="str">
        <x:v>Client 31</x:v>
      </x:c>
      <x:c r="D427" t="str">
        <x:v>Logistique</x:v>
      </x:c>
      <x:c r="E427" t="str">
        <x:v>Pôle E</x:v>
      </x:c>
      <x:c r="F427" s="18" t="n">
        <x:v>18963.19</x:v>
      </x:c>
      <x:c r="G427" s="18" t="n">
        <x:v>6342.08</x:v>
      </x:c>
      <x:c r="H427" t="str">
        <x:v>Client 31</x:v>
      </x:c>
      <x:c r="I427" s="16" t="n">
        <x:v>45575</x:v>
      </x:c>
      <x:c r="J427" t="n">
        <x:f>YEAR(B427)</x:f>
        <x:v>2024</x:v>
      </x:c>
      <x:c r="K427" s="20" t="n">
        <x:f>DATE(YEAR(B427),MONTH(B427),1)</x:f>
        <x:v>45536</x:v>
      </x:c>
      <x:c r="L427" s="18" t="n">
        <x:f>F427-G427</x:f>
        <x:v>12621.109999999999</x:v>
      </x:c>
      <x:c r="M427" t="str">
        <x:f>IF(L427&lt;=0,"Payée",IF(G427=0,"Impayée","Partielle"))</x:f>
        <x:v>Partielle</x:v>
      </x:c>
      <x:c r="N427" t="n">
        <x:f>IF(I427="","",I427-B427)</x:f>
        <x:v>15</x:v>
      </x:c>
      <x:c r="O427" t="str">
        <x:f>IF(TRIM(C427)&lt;&gt;TRIM(H427),"Oui","Non")</x:f>
        <x:v>Non</x:v>
      </x:c>
      <x:c r="P427" t="str">
        <x:f>IFERROR(INDEX('02_REFERENTIEL_CLIENTS'!$B$2:$B$51,MATCH(TRIM(C427),'02_REFERENTIEL_CLIENTS'!$A$2:$A$51,0)),"Non trouvé")</x:f>
        <x:v>Grands comptes</x:v>
      </x:c>
      <x:c r="Q427" t="str">
        <x:f>IFERROR(INDEX('02_REFERENTIEL_CLIENTS'!$C$2:$C$51,MATCH(TRIM(C427),'02_REFERENTIEL_CLIENTS'!$A$2:$A$51,0)),"Non trouvé")</x:f>
        <x:v>France</x:v>
      </x:c>
      <x:c r="R427" t="str">
        <x:f>IF(OR(F427&lt;=0,G427&lt;0,G427&gt;F427,N427&lt;0,P427="Non trouvé"),"À vérifier","OK")</x:f>
        <x:v>OK</x:v>
      </x:c>
    </x:row>
    <x:row r="428">
      <x:c r="A428" t="str">
        <x:v>DV-2025-00427</x:v>
      </x:c>
      <x:c r="B428" s="16" t="n">
        <x:v>45938</x:v>
      </x:c>
      <x:c r="C428" t="str">
        <x:v>Client 42</x:v>
      </x:c>
      <x:c r="D428" t="str">
        <x:v>Logistique</x:v>
      </x:c>
      <x:c r="E428" t="str">
        <x:v>Pôle C</x:v>
      </x:c>
      <x:c r="F428" s="18" t="n">
        <x:v>3591.78</x:v>
      </x:c>
      <x:c r="G428" s="18" t="n">
        <x:v>2730.76</x:v>
      </x:c>
      <x:c r="H428" t="str">
        <x:v>Client 42</x:v>
      </x:c>
      <x:c r="I428" s="16" t="n">
        <x:v>46006</x:v>
      </x:c>
      <x:c r="J428" t="n">
        <x:f>YEAR(B428)</x:f>
        <x:v>2025</x:v>
      </x:c>
      <x:c r="K428" s="20" t="n">
        <x:f>DATE(YEAR(B428),MONTH(B428),1)</x:f>
        <x:v>45931</x:v>
      </x:c>
      <x:c r="L428" s="18" t="n">
        <x:f>F428-G428</x:f>
        <x:v>861.02</x:v>
      </x:c>
      <x:c r="M428" t="str">
        <x:f>IF(L428&lt;=0,"Payée",IF(G428=0,"Impayée","Partielle"))</x:f>
        <x:v>Partielle</x:v>
      </x:c>
      <x:c r="N428" t="n">
        <x:f>IF(I428="","",I428-B428)</x:f>
        <x:v>68</x:v>
      </x:c>
      <x:c r="O428" t="str">
        <x:f>IF(TRIM(C428)&lt;&gt;TRIM(H428),"Oui","Non")</x:f>
        <x:v>Non</x:v>
      </x:c>
      <x:c r="P428" t="str">
        <x:f>IFERROR(INDEX('02_REFERENTIEL_CLIENTS'!$B$2:$B$51,MATCH(TRIM(C428),'02_REFERENTIEL_CLIENTS'!$A$2:$A$51,0)),"Non trouvé")</x:f>
        <x:v>Particuliers</x:v>
      </x:c>
      <x:c r="Q428" t="str">
        <x:f>IFERROR(INDEX('02_REFERENTIEL_CLIENTS'!$C$2:$C$51,MATCH(TRIM(C428),'02_REFERENTIEL_CLIENTS'!$A$2:$A$51,0)),"Non trouvé")</x:f>
        <x:v>International</x:v>
      </x:c>
      <x:c r="R428" t="str">
        <x:f>IF(OR(F428&lt;=0,G428&lt;0,G428&gt;F428,N428&lt;0,P428="Non trouvé"),"À vérifier","OK")</x:f>
        <x:v>OK</x:v>
      </x:c>
    </x:row>
    <x:row r="429">
      <x:c r="A429" t="str">
        <x:v>DV-2025-00428</x:v>
      </x:c>
      <x:c r="B429" s="16" t="n">
        <x:v>45777</x:v>
      </x:c>
      <x:c r="C429" t="str">
        <x:v>Client 38</x:v>
      </x:c>
      <x:c r="D429" t="str">
        <x:v>Express</x:v>
      </x:c>
      <x:c r="E429" t="str">
        <x:v>Pôle C</x:v>
      </x:c>
      <x:c r="F429" s="18" t="n">
        <x:v>18877.69</x:v>
      </x:c>
      <x:c r="G429" s="18" t="n">
        <x:v>6468.64</x:v>
      </x:c>
      <x:c r="H429" t="str">
        <x:v>Client 38</x:v>
      </x:c>
      <x:c r="I429" s="16" t="n">
        <x:v>45857</x:v>
      </x:c>
      <x:c r="J429" t="n">
        <x:f>YEAR(B429)</x:f>
        <x:v>2025</x:v>
      </x:c>
      <x:c r="K429" s="20" t="n">
        <x:f>DATE(YEAR(B429),MONTH(B429),1)</x:f>
        <x:v>45748</x:v>
      </x:c>
      <x:c r="L429" s="18" t="n">
        <x:f>F429-G429</x:f>
        <x:v>12409.05</x:v>
      </x:c>
      <x:c r="M429" t="str">
        <x:f>IF(L429&lt;=0,"Payée",IF(G429=0,"Impayée","Partielle"))</x:f>
        <x:v>Partielle</x:v>
      </x:c>
      <x:c r="N429" t="n">
        <x:f>IF(I429="","",I429-B429)</x:f>
        <x:v>80</x:v>
      </x:c>
      <x:c r="O429" t="str">
        <x:f>IF(TRIM(C429)&lt;&gt;TRIM(H429),"Oui","Non")</x:f>
        <x:v>Non</x:v>
      </x:c>
      <x:c r="P429" t="str">
        <x:f>IFERROR(INDEX('02_REFERENTIEL_CLIENTS'!$B$2:$B$51,MATCH(TRIM(C429),'02_REFERENTIEL_CLIENTS'!$A$2:$A$51,0)),"Non trouvé")</x:f>
        <x:v>PME</x:v>
      </x:c>
      <x:c r="Q429" t="str">
        <x:f>IFERROR(INDEX('02_REFERENTIEL_CLIENTS'!$C$2:$C$51,MATCH(TRIM(C429),'02_REFERENTIEL_CLIENTS'!$A$2:$A$51,0)),"Non trouvé")</x:f>
        <x:v>Europe</x:v>
      </x:c>
      <x:c r="R429" t="str">
        <x:f>IF(OR(F429&lt;=0,G429&lt;0,G429&gt;F429,N429&lt;0,P429="Non trouvé"),"À vérifier","OK")</x:f>
        <x:v>OK</x:v>
      </x:c>
    </x:row>
    <x:row r="430">
      <x:c r="A430" t="str">
        <x:v>DV-2024-00429</x:v>
      </x:c>
      <x:c r="B430" s="16" t="n">
        <x:v>45595</x:v>
      </x:c>
      <x:c r="C430" t="str">
        <x:v>Client 24</x:v>
      </x:c>
      <x:c r="D430" t="str">
        <x:v>Express</x:v>
      </x:c>
      <x:c r="E430" t="str">
        <x:v>Pôle B</x:v>
      </x:c>
      <x:c r="F430" s="18" t="n">
        <x:v>21574.54</x:v>
      </x:c>
      <x:c r="G430" s="18" t="n">
        <x:v>21574.54</x:v>
      </x:c>
      <x:c r="H430" t="str">
        <x:v>Client 24</x:v>
      </x:c>
      <x:c r="I430" s="16" t="n">
        <x:v>45608</x:v>
      </x:c>
      <x:c r="J430" t="n">
        <x:f>YEAR(B430)</x:f>
        <x:v>2024</x:v>
      </x:c>
      <x:c r="K430" s="20" t="n">
        <x:f>DATE(YEAR(B430),MONTH(B430),1)</x:f>
        <x:v>45566</x:v>
      </x:c>
      <x:c r="L430" s="18" t="n">
        <x:f>F430-G430</x:f>
        <x:v>0</x:v>
      </x:c>
      <x:c r="M430" t="str">
        <x:f>IF(L430&lt;=0,"Payée",IF(G430=0,"Impayée","Partielle"))</x:f>
        <x:v>Payée</x:v>
      </x:c>
      <x:c r="N430" t="n">
        <x:f>IF(I430="","",I430-B430)</x:f>
        <x:v>13</x:v>
      </x:c>
      <x:c r="O430" t="str">
        <x:f>IF(TRIM(C430)&lt;&gt;TRIM(H430),"Oui","Non")</x:f>
        <x:v>Non</x:v>
      </x:c>
      <x:c r="P430" t="str">
        <x:f>IFERROR(INDEX('02_REFERENTIEL_CLIENTS'!$B$2:$B$51,MATCH(TRIM(C430),'02_REFERENTIEL_CLIENTS'!$A$2:$A$51,0)),"Non trouvé")</x:f>
        <x:v>Particuliers</x:v>
      </x:c>
      <x:c r="Q430" t="str">
        <x:f>IFERROR(INDEX('02_REFERENTIEL_CLIENTS'!$C$2:$C$51,MATCH(TRIM(C430),'02_REFERENTIEL_CLIENTS'!$A$2:$A$51,0)),"Non trouvé")</x:f>
        <x:v>International</x:v>
      </x:c>
      <x:c r="R430" t="str">
        <x:f>IF(OR(F430&lt;=0,G430&lt;0,G430&gt;F430,N430&lt;0,P430="Non trouvé"),"À vérifier","OK")</x:f>
        <x:v>OK</x:v>
      </x:c>
    </x:row>
    <x:row r="431">
      <x:c r="A431" t="str">
        <x:v>DV-2024-00430</x:v>
      </x:c>
      <x:c r="B431" s="16" t="n">
        <x:v>45374</x:v>
      </x:c>
      <x:c r="C431" t="str">
        <x:v>Client 21</x:v>
      </x:c>
      <x:c r="D431" t="str">
        <x:v>Express</x:v>
      </x:c>
      <x:c r="E431" t="str">
        <x:v>Pôle B</x:v>
      </x:c>
      <x:c r="F431" s="18" t="n">
        <x:v>3822.25</x:v>
      </x:c>
      <x:c r="G431" s="18" t="n">
        <x:v>3822.25</x:v>
      </x:c>
      <x:c r="H431" t="str">
        <x:v>Client 21</x:v>
      </x:c>
      <x:c r="I431" s="16" t="n">
        <x:v>45431</x:v>
      </x:c>
      <x:c r="J431" t="n">
        <x:f>YEAR(B431)</x:f>
        <x:v>2024</x:v>
      </x:c>
      <x:c r="K431" s="20" t="n">
        <x:f>DATE(YEAR(B431),MONTH(B431),1)</x:f>
        <x:v>45352</x:v>
      </x:c>
      <x:c r="L431" s="18" t="n">
        <x:f>F431-G431</x:f>
        <x:v>0</x:v>
      </x:c>
      <x:c r="M431" t="str">
        <x:f>IF(L431&lt;=0,"Payée",IF(G431=0,"Impayée","Partielle"))</x:f>
        <x:v>Payée</x:v>
      </x:c>
      <x:c r="N431" t="n">
        <x:f>IF(I431="","",I431-B431)</x:f>
        <x:v>57</x:v>
      </x:c>
      <x:c r="O431" t="str">
        <x:f>IF(TRIM(C431)&lt;&gt;TRIM(H431),"Oui","Non")</x:f>
        <x:v>Non</x:v>
      </x:c>
      <x:c r="P431" t="str">
        <x:f>IFERROR(INDEX('02_REFERENTIEL_CLIENTS'!$B$2:$B$51,MATCH(TRIM(C431),'02_REFERENTIEL_CLIENTS'!$A$2:$A$51,0)),"Non trouvé")</x:f>
        <x:v>Particuliers</x:v>
      </x:c>
      <x:c r="Q431" t="str">
        <x:f>IFERROR(INDEX('02_REFERENTIEL_CLIENTS'!$C$2:$C$51,MATCH(TRIM(C431),'02_REFERENTIEL_CLIENTS'!$A$2:$A$51,0)),"Non trouvé")</x:f>
        <x:v>International</x:v>
      </x:c>
      <x:c r="R431" t="str">
        <x:f>IF(OR(F431&lt;=0,G431&lt;0,G431&gt;F431,N431&lt;0,P431="Non trouvé"),"À vérifier","OK")</x:f>
        <x:v>OK</x:v>
      </x:c>
    </x:row>
    <x:row r="432">
      <x:c r="A432" t="str">
        <x:v>DV-2026-00431</x:v>
      </x:c>
      <x:c r="B432" s="16" t="n">
        <x:v>46217</x:v>
      </x:c>
      <x:c r="C432" t="str">
        <x:v>Client 13</x:v>
      </x:c>
      <x:c r="D432" t="str">
        <x:v>Douane</x:v>
      </x:c>
      <x:c r="E432" t="str">
        <x:v>Pôle E</x:v>
      </x:c>
      <x:c r="F432" s="18" t="n">
        <x:v>21246.1</x:v>
      </x:c>
      <x:c r="G432" s="18" t="n">
        <x:v>21246.1</x:v>
      </x:c>
      <x:c r="H432" t="str">
        <x:v>Client 13</x:v>
      </x:c>
      <x:c r="I432" s="16" t="n">
        <x:v>46257</x:v>
      </x:c>
      <x:c r="J432" t="n">
        <x:f>YEAR(B432)</x:f>
        <x:v>2026</x:v>
      </x:c>
      <x:c r="K432" s="20" t="n">
        <x:f>DATE(YEAR(B432),MONTH(B432),1)</x:f>
        <x:v>46204</x:v>
      </x:c>
      <x:c r="L432" s="18" t="n">
        <x:f>F432-G432</x:f>
        <x:v>0</x:v>
      </x:c>
      <x:c r="M432" t="str">
        <x:f>IF(L432&lt;=0,"Payée",IF(G432=0,"Impayée","Partielle"))</x:f>
        <x:v>Payée</x:v>
      </x:c>
      <x:c r="N432" t="n">
        <x:f>IF(I432="","",I432-B432)</x:f>
        <x:v>40</x:v>
      </x:c>
      <x:c r="O432" t="str">
        <x:f>IF(TRIM(C432)&lt;&gt;TRIM(H432),"Oui","Non")</x:f>
        <x:v>Non</x:v>
      </x:c>
      <x:c r="P432" t="str">
        <x:f>IFERROR(INDEX('02_REFERENTIEL_CLIENTS'!$B$2:$B$51,MATCH(TRIM(C432),'02_REFERENTIEL_CLIENTS'!$A$2:$A$51,0)),"Non trouvé")</x:f>
        <x:v>Grands comptes</x:v>
      </x:c>
      <x:c r="Q432" t="str">
        <x:f>IFERROR(INDEX('02_REFERENTIEL_CLIENTS'!$C$2:$C$51,MATCH(TRIM(C432),'02_REFERENTIEL_CLIENTS'!$A$2:$A$51,0)),"Non trouvé")</x:f>
        <x:v>France</x:v>
      </x:c>
      <x:c r="R432" t="str">
        <x:f>IF(OR(F432&lt;=0,G432&lt;0,G432&gt;F432,N432&lt;0,P432="Non trouvé"),"À vérifier","OK")</x:f>
        <x:v>OK</x:v>
      </x:c>
    </x:row>
    <x:row r="433">
      <x:c r="A433" t="str">
        <x:v>DV-2024-00432</x:v>
      </x:c>
      <x:c r="B433" s="16" t="n">
        <x:v>45409</x:v>
      </x:c>
      <x:c r="C433" t="str">
        <x:v>Client 40</x:v>
      </x:c>
      <x:c r="D433" t="str">
        <x:v>Fret maritime</x:v>
      </x:c>
      <x:c r="E433" t="str">
        <x:v>Pôle C</x:v>
      </x:c>
      <x:c r="F433" s="18" t="n">
        <x:v>1178.34</x:v>
      </x:c>
      <x:c r="G433" s="18" t="n">
        <x:v>1178.34</x:v>
      </x:c>
      <x:c r="H433" t="str">
        <x:v>Client 40</x:v>
      </x:c>
      <x:c r="I433" s="16" t="n">
        <x:v>45492</x:v>
      </x:c>
      <x:c r="J433" t="n">
        <x:f>YEAR(B433)</x:f>
        <x:v>2024</x:v>
      </x:c>
      <x:c r="K433" s="20" t="n">
        <x:f>DATE(YEAR(B433),MONTH(B433),1)</x:f>
        <x:v>45383</x:v>
      </x:c>
      <x:c r="L433" s="18" t="n">
        <x:f>F433-G433</x:f>
        <x:v>0</x:v>
      </x:c>
      <x:c r="M433" t="str">
        <x:f>IF(L433&lt;=0,"Payée",IF(G433=0,"Impayée","Partielle"))</x:f>
        <x:v>Payée</x:v>
      </x:c>
      <x:c r="N433" t="n">
        <x:f>IF(I433="","",I433-B433)</x:f>
        <x:v>83</x:v>
      </x:c>
      <x:c r="O433" t="str">
        <x:f>IF(TRIM(C433)&lt;&gt;TRIM(H433),"Oui","Non")</x:f>
        <x:v>Non</x:v>
      </x:c>
      <x:c r="P433" t="str">
        <x:f>IFERROR(INDEX('02_REFERENTIEL_CLIENTS'!$B$2:$B$51,MATCH(TRIM(C433),'02_REFERENTIEL_CLIENTS'!$A$2:$A$51,0)),"Non trouvé")</x:f>
        <x:v>Grands comptes</x:v>
      </x:c>
      <x:c r="Q433" t="str">
        <x:f>IFERROR(INDEX('02_REFERENTIEL_CLIENTS'!$C$2:$C$51,MATCH(TRIM(C433),'02_REFERENTIEL_CLIENTS'!$A$2:$A$51,0)),"Non trouvé")</x:f>
        <x:v>France</x:v>
      </x:c>
      <x:c r="R433" t="str">
        <x:f>IF(OR(F433&lt;=0,G433&lt;0,G433&gt;F433,N433&lt;0,P433="Non trouvé"),"À vérifier","OK")</x:f>
        <x:v>OK</x:v>
      </x:c>
    </x:row>
    <x:row r="434">
      <x:c r="A434" t="str">
        <x:v>DV-2026-00433</x:v>
      </x:c>
      <x:c r="B434" s="16" t="n">
        <x:v>46127</x:v>
      </x:c>
      <x:c r="C434" t="str">
        <x:v>Client 21</x:v>
      </x:c>
      <x:c r="D434" t="str">
        <x:v>Fret aérien</x:v>
      </x:c>
      <x:c r="E434" t="str">
        <x:v>Pôle E</x:v>
      </x:c>
      <x:c r="F434" s="18" t="n">
        <x:v>2479.58</x:v>
      </x:c>
      <x:c r="G434" s="18" t="n">
        <x:v>844.54</x:v>
      </x:c>
      <x:c r="H434" t="str">
        <x:v>Client 21</x:v>
      </x:c>
      <x:c r="I434" s="16" t="n">
        <x:v>46162</x:v>
      </x:c>
      <x:c r="J434" t="n">
        <x:f>YEAR(B434)</x:f>
        <x:v>2026</x:v>
      </x:c>
      <x:c r="K434" s="20" t="n">
        <x:f>DATE(YEAR(B434),MONTH(B434),1)</x:f>
        <x:v>46113</x:v>
      </x:c>
      <x:c r="L434" s="18" t="n">
        <x:f>F434-G434</x:f>
        <x:v>1635.04</x:v>
      </x:c>
      <x:c r="M434" t="str">
        <x:f>IF(L434&lt;=0,"Payée",IF(G434=0,"Impayée","Partielle"))</x:f>
        <x:v>Partielle</x:v>
      </x:c>
      <x:c r="N434" t="n">
        <x:f>IF(I434="","",I434-B434)</x:f>
        <x:v>35</x:v>
      </x:c>
      <x:c r="O434" t="str">
        <x:f>IF(TRIM(C434)&lt;&gt;TRIM(H434),"Oui","Non")</x:f>
        <x:v>Non</x:v>
      </x:c>
      <x:c r="P434" t="str">
        <x:f>IFERROR(INDEX('02_REFERENTIEL_CLIENTS'!$B$2:$B$51,MATCH(TRIM(C434),'02_REFERENTIEL_CLIENTS'!$A$2:$A$51,0)),"Non trouvé")</x:f>
        <x:v>Particuliers</x:v>
      </x:c>
      <x:c r="Q434" t="str">
        <x:f>IFERROR(INDEX('02_REFERENTIEL_CLIENTS'!$C$2:$C$51,MATCH(TRIM(C434),'02_REFERENTIEL_CLIENTS'!$A$2:$A$51,0)),"Non trouvé")</x:f>
        <x:v>International</x:v>
      </x:c>
      <x:c r="R434" t="str">
        <x:f>IF(OR(F434&lt;=0,G434&lt;0,G434&gt;F434,N434&lt;0,P434="Non trouvé"),"À vérifier","OK")</x:f>
        <x:v>OK</x:v>
      </x:c>
    </x:row>
    <x:row r="435">
      <x:c r="A435" t="str">
        <x:v>DV-2024-00434</x:v>
      </x:c>
      <x:c r="B435" s="16" t="n">
        <x:v>45411</x:v>
      </x:c>
      <x:c r="C435" t="str">
        <x:v>Client 33</x:v>
      </x:c>
      <x:c r="D435" t="str">
        <x:v>Fret maritime</x:v>
      </x:c>
      <x:c r="E435" t="str">
        <x:v>Pôle E</x:v>
      </x:c>
      <x:c r="F435" s="18" t="n">
        <x:v>15047.07</x:v>
      </x:c>
      <x:c r="G435" s="18" t="n">
        <x:v>15047.07</x:v>
      </x:c>
      <x:c r="H435" t="str">
        <x:v>Client 33</x:v>
      </x:c>
      <x:c r="I435" s="16" t="n">
        <x:v>45454</x:v>
      </x:c>
      <x:c r="J435" t="n">
        <x:f>YEAR(B435)</x:f>
        <x:v>2024</x:v>
      </x:c>
      <x:c r="K435" s="20" t="n">
        <x:f>DATE(YEAR(B435),MONTH(B435),1)</x:f>
        <x:v>45383</x:v>
      </x:c>
      <x:c r="L435" s="18" t="n">
        <x:f>F435-G435</x:f>
        <x:v>0</x:v>
      </x:c>
      <x:c r="M435" t="str">
        <x:f>IF(L435&lt;=0,"Payée",IF(G435=0,"Impayée","Partielle"))</x:f>
        <x:v>Payée</x:v>
      </x:c>
      <x:c r="N435" t="n">
        <x:f>IF(I435="","",I435-B435)</x:f>
        <x:v>43</x:v>
      </x:c>
      <x:c r="O435" t="str">
        <x:f>IF(TRIM(C435)&lt;&gt;TRIM(H435),"Oui","Non")</x:f>
        <x:v>Non</x:v>
      </x:c>
      <x:c r="P435" t="str">
        <x:f>IFERROR(INDEX('02_REFERENTIEL_CLIENTS'!$B$2:$B$51,MATCH(TRIM(C435),'02_REFERENTIEL_CLIENTS'!$A$2:$A$51,0)),"Non trouvé")</x:f>
        <x:v>Particuliers</x:v>
      </x:c>
      <x:c r="Q435" t="str">
        <x:f>IFERROR(INDEX('02_REFERENTIEL_CLIENTS'!$C$2:$C$51,MATCH(TRIM(C435),'02_REFERENTIEL_CLIENTS'!$A$2:$A$51,0)),"Non trouvé")</x:f>
        <x:v>International</x:v>
      </x:c>
      <x:c r="R435" t="str">
        <x:f>IF(OR(F435&lt;=0,G435&lt;0,G435&gt;F435,N435&lt;0,P435="Non trouvé"),"À vérifier","OK")</x:f>
        <x:v>OK</x:v>
      </x:c>
    </x:row>
    <x:row r="436">
      <x:c r="A436" t="str">
        <x:v>DV-2025-00435</x:v>
      </x:c>
      <x:c r="B436" s="16" t="n">
        <x:v>45696</x:v>
      </x:c>
      <x:c r="C436" t="str">
        <x:v>Client 40</x:v>
      </x:c>
      <x:c r="D436" t="str">
        <x:v>Douane</x:v>
      </x:c>
      <x:c r="E436" t="str">
        <x:v>Pôle C</x:v>
      </x:c>
      <x:c r="F436" s="18" t="n">
        <x:v>16431.71</x:v>
      </x:c>
      <x:c r="G436" s="18" t="n">
        <x:v>16431.71</x:v>
      </x:c>
      <x:c r="H436" t="str">
        <x:v>Client 40</x:v>
      </x:c>
      <x:c r="I436" s="16" t="n">
        <x:v>45748</x:v>
      </x:c>
      <x:c r="J436" t="n">
        <x:f>YEAR(B436)</x:f>
        <x:v>2025</x:v>
      </x:c>
      <x:c r="K436" s="20" t="n">
        <x:f>DATE(YEAR(B436),MONTH(B436),1)</x:f>
        <x:v>45689</x:v>
      </x:c>
      <x:c r="L436" s="18" t="n">
        <x:f>F436-G436</x:f>
        <x:v>0</x:v>
      </x:c>
      <x:c r="M436" t="str">
        <x:f>IF(L436&lt;=0,"Payée",IF(G436=0,"Impayée","Partielle"))</x:f>
        <x:v>Payée</x:v>
      </x:c>
      <x:c r="N436" t="n">
        <x:f>IF(I436="","",I436-B436)</x:f>
        <x:v>52</x:v>
      </x:c>
      <x:c r="O436" t="str">
        <x:f>IF(TRIM(C436)&lt;&gt;TRIM(H436),"Oui","Non")</x:f>
        <x:v>Non</x:v>
      </x:c>
      <x:c r="P436" t="str">
        <x:f>IFERROR(INDEX('02_REFERENTIEL_CLIENTS'!$B$2:$B$51,MATCH(TRIM(C436),'02_REFERENTIEL_CLIENTS'!$A$2:$A$51,0)),"Non trouvé")</x:f>
        <x:v>Grands comptes</x:v>
      </x:c>
      <x:c r="Q436" t="str">
        <x:f>IFERROR(INDEX('02_REFERENTIEL_CLIENTS'!$C$2:$C$51,MATCH(TRIM(C436),'02_REFERENTIEL_CLIENTS'!$A$2:$A$51,0)),"Non trouvé")</x:f>
        <x:v>France</x:v>
      </x:c>
      <x:c r="R436" t="str">
        <x:f>IF(OR(F436&lt;=0,G436&lt;0,G436&gt;F436,N436&lt;0,P436="Non trouvé"),"À vérifier","OK")</x:f>
        <x:v>OK</x:v>
      </x:c>
    </x:row>
    <x:row r="437">
      <x:c r="A437" t="str">
        <x:v>DV-2025-00436</x:v>
      </x:c>
      <x:c r="B437" s="16" t="n">
        <x:v>45725</x:v>
      </x:c>
      <x:c r="C437" t="str">
        <x:v>Client 46</x:v>
      </x:c>
      <x:c r="D437" t="str">
        <x:v>Fret aérien</x:v>
      </x:c>
      <x:c r="E437" t="str">
        <x:v>Pôle C</x:v>
      </x:c>
      <x:c r="F437" s="18" t="n">
        <x:v>1493.61</x:v>
      </x:c>
      <x:c r="G437" s="18" t="n">
        <x:v>1493.61</x:v>
      </x:c>
      <x:c r="H437" t="str">
        <x:v>Client 46</x:v>
      </x:c>
      <x:c r="I437" s="16" t="n">
        <x:v>45807</x:v>
      </x:c>
      <x:c r="J437" t="n">
        <x:f>YEAR(B437)</x:f>
        <x:v>2025</x:v>
      </x:c>
      <x:c r="K437" s="20" t="n">
        <x:f>DATE(YEAR(B437),MONTH(B437),1)</x:f>
        <x:v>45717</x:v>
      </x:c>
      <x:c r="L437" s="18" t="n">
        <x:f>F437-G437</x:f>
        <x:v>0</x:v>
      </x:c>
      <x:c r="M437" t="str">
        <x:f>IF(L437&lt;=0,"Payée",IF(G437=0,"Impayée","Partielle"))</x:f>
        <x:v>Payée</x:v>
      </x:c>
      <x:c r="N437" t="n">
        <x:f>IF(I437="","",I437-B437)</x:f>
        <x:v>82</x:v>
      </x:c>
      <x:c r="O437" t="str">
        <x:f>IF(TRIM(C437)&lt;&gt;TRIM(H437),"Oui","Non")</x:f>
        <x:v>Non</x:v>
      </x:c>
      <x:c r="P437" t="str">
        <x:f>IFERROR(INDEX('02_REFERENTIEL_CLIENTS'!$B$2:$B$51,MATCH(TRIM(C437),'02_REFERENTIEL_CLIENTS'!$A$2:$A$51,0)),"Non trouvé")</x:f>
        <x:v>Grands comptes</x:v>
      </x:c>
      <x:c r="Q437" t="str">
        <x:f>IFERROR(INDEX('02_REFERENTIEL_CLIENTS'!$C$2:$C$51,MATCH(TRIM(C437),'02_REFERENTIEL_CLIENTS'!$A$2:$A$51,0)),"Non trouvé")</x:f>
        <x:v>France</x:v>
      </x:c>
      <x:c r="R437" t="str">
        <x:f>IF(OR(F437&lt;=0,G437&lt;0,G437&gt;F437,N437&lt;0,P437="Non trouvé"),"À vérifier","OK")</x:f>
        <x:v>OK</x:v>
      </x:c>
    </x:row>
    <x:row r="438">
      <x:c r="A438" t="str">
        <x:v>DV-2025-00437</x:v>
      </x:c>
      <x:c r="B438" s="16" t="n">
        <x:v>45871</x:v>
      </x:c>
      <x:c r="C438" t="str">
        <x:v>Client 25</x:v>
      </x:c>
      <x:c r="D438" t="str">
        <x:v>Fret aérien</x:v>
      </x:c>
      <x:c r="E438" t="str">
        <x:v>Pôle D</x:v>
      </x:c>
      <x:c r="F438" s="18" t="n">
        <x:v>3815.54</x:v>
      </x:c>
      <x:c r="G438" s="18" t="n">
        <x:v>0</x:v>
      </x:c>
      <x:c r="H438" t="str">
        <x:v>Client 14</x:v>
      </x:c>
      <x:c r="I438" s="16"/>
      <x:c r="J438" t="n">
        <x:f>YEAR(B438)</x:f>
        <x:v>2025</x:v>
      </x:c>
      <x:c r="K438" s="20" t="n">
        <x:f>DATE(YEAR(B438),MONTH(B438),1)</x:f>
        <x:v>45870</x:v>
      </x:c>
      <x:c r="L438" s="18" t="n">
        <x:f>F438-G438</x:f>
        <x:v>3815.54</x:v>
      </x:c>
      <x:c r="M438" t="str">
        <x:f>IF(L438&lt;=0,"Payée",IF(G438=0,"Impayée","Partielle"))</x:f>
        <x:v>Impayée</x:v>
      </x:c>
      <x:c r="N438" t="str">
        <x:f>IF(I438="","",I438-B438)</x:f>
      </x:c>
      <x:c r="O438" t="str">
        <x:f>IF(TRIM(C438)&lt;&gt;TRIM(H438),"Oui","Non")</x:f>
        <x:v>Oui</x:v>
      </x:c>
      <x:c r="P438" t="str">
        <x:f>IFERROR(INDEX('02_REFERENTIEL_CLIENTS'!$B$2:$B$51,MATCH(TRIM(C438),'02_REFERENTIEL_CLIENTS'!$A$2:$A$51,0)),"Non trouvé")</x:f>
        <x:v>Grands comptes</x:v>
      </x:c>
      <x:c r="Q438" t="str">
        <x:f>IFERROR(INDEX('02_REFERENTIEL_CLIENTS'!$C$2:$C$51,MATCH(TRIM(C438),'02_REFERENTIEL_CLIENTS'!$A$2:$A$51,0)),"Non trouvé")</x:f>
        <x:v>France</x:v>
      </x:c>
      <x:c r="R438" t="str">
        <x:f>IF(OR(F438&lt;=0,G438&lt;0,G438&gt;F438,N438&lt;0,P438="Non trouvé"),"À vérifier","OK")</x:f>
        <x:v>OK</x:v>
      </x:c>
    </x:row>
    <x:row r="439">
      <x:c r="A439" t="str">
        <x:v>DV-2025-00438</x:v>
      </x:c>
      <x:c r="B439" s="16" t="n">
        <x:v>45671</x:v>
      </x:c>
      <x:c r="C439" t="str">
        <x:v>Client 26</x:v>
      </x:c>
      <x:c r="D439" t="str">
        <x:v>Fret maritime</x:v>
      </x:c>
      <x:c r="E439" t="str">
        <x:v>Pôle E</x:v>
      </x:c>
      <x:c r="F439" s="18" t="n">
        <x:v>11321.88</x:v>
      </x:c>
      <x:c r="G439" s="18" t="n">
        <x:v>11321.88</x:v>
      </x:c>
      <x:c r="H439" t="str">
        <x:v>Client 26</x:v>
      </x:c>
      <x:c r="I439" s="16" t="n">
        <x:v>45723</x:v>
      </x:c>
      <x:c r="J439" t="n">
        <x:f>YEAR(B439)</x:f>
        <x:v>2025</x:v>
      </x:c>
      <x:c r="K439" s="20" t="n">
        <x:f>DATE(YEAR(B439),MONTH(B439),1)</x:f>
        <x:v>45658</x:v>
      </x:c>
      <x:c r="L439" s="18" t="n">
        <x:f>F439-G439</x:f>
        <x:v>0</x:v>
      </x:c>
      <x:c r="M439" t="str">
        <x:f>IF(L439&lt;=0,"Payée",IF(G439=0,"Impayée","Partielle"))</x:f>
        <x:v>Payée</x:v>
      </x:c>
      <x:c r="N439" t="n">
        <x:f>IF(I439="","",I439-B439)</x:f>
        <x:v>52</x:v>
      </x:c>
      <x:c r="O439" t="str">
        <x:f>IF(TRIM(C439)&lt;&gt;TRIM(H439),"Oui","Non")</x:f>
        <x:v>Non</x:v>
      </x:c>
      <x:c r="P439" t="str">
        <x:f>IFERROR(INDEX('02_REFERENTIEL_CLIENTS'!$B$2:$B$51,MATCH(TRIM(C439),'02_REFERENTIEL_CLIENTS'!$A$2:$A$51,0)),"Non trouvé")</x:f>
        <x:v>PME</x:v>
      </x:c>
      <x:c r="Q439" t="str">
        <x:f>IFERROR(INDEX('02_REFERENTIEL_CLIENTS'!$C$2:$C$51,MATCH(TRIM(C439),'02_REFERENTIEL_CLIENTS'!$A$2:$A$51,0)),"Non trouvé")</x:f>
        <x:v>Europe</x:v>
      </x:c>
      <x:c r="R439" t="str">
        <x:f>IF(OR(F439&lt;=0,G439&lt;0,G439&gt;F439,N439&lt;0,P439="Non trouvé"),"À vérifier","OK")</x:f>
        <x:v>OK</x:v>
      </x:c>
    </x:row>
    <x:row r="440">
      <x:c r="A440" t="str">
        <x:v>DV-2025-00439</x:v>
      </x:c>
      <x:c r="B440" s="16" t="n">
        <x:v>45697</x:v>
      </x:c>
      <x:c r="C440" t="str">
        <x:v>Client 04</x:v>
      </x:c>
      <x:c r="D440" t="str">
        <x:v>Logistique</x:v>
      </x:c>
      <x:c r="E440" t="str">
        <x:v>Pôle A</x:v>
      </x:c>
      <x:c r="F440" s="18" t="n">
        <x:v>11803.99</x:v>
      </x:c>
      <x:c r="G440" s="18" t="n">
        <x:v>2157.78</x:v>
      </x:c>
      <x:c r="H440" t="str">
        <x:v>Client 04</x:v>
      </x:c>
      <x:c r="I440" s="16" t="n">
        <x:v>45774</x:v>
      </x:c>
      <x:c r="J440" t="n">
        <x:f>YEAR(B440)</x:f>
        <x:v>2025</x:v>
      </x:c>
      <x:c r="K440" s="20" t="n">
        <x:f>DATE(YEAR(B440),MONTH(B440),1)</x:f>
        <x:v>45689</x:v>
      </x:c>
      <x:c r="L440" s="18" t="n">
        <x:f>F440-G440</x:f>
        <x:v>9646.21</x:v>
      </x:c>
      <x:c r="M440" t="str">
        <x:f>IF(L440&lt;=0,"Payée",IF(G440=0,"Impayée","Partielle"))</x:f>
        <x:v>Partielle</x:v>
      </x:c>
      <x:c r="N440" t="n">
        <x:f>IF(I440="","",I440-B440)</x:f>
        <x:v>77</x:v>
      </x:c>
      <x:c r="O440" t="str">
        <x:f>IF(TRIM(C440)&lt;&gt;TRIM(H440),"Oui","Non")</x:f>
        <x:v>Non</x:v>
      </x:c>
      <x:c r="P440" t="str">
        <x:f>IFERROR(INDEX('02_REFERENTIEL_CLIENTS'!$B$2:$B$51,MATCH(TRIM(C440),'02_REFERENTIEL_CLIENTS'!$A$2:$A$51,0)),"Non trouvé")</x:f>
        <x:v>Grands comptes</x:v>
      </x:c>
      <x:c r="Q440" t="str">
        <x:f>IFERROR(INDEX('02_REFERENTIEL_CLIENTS'!$C$2:$C$51,MATCH(TRIM(C440),'02_REFERENTIEL_CLIENTS'!$A$2:$A$51,0)),"Non trouvé")</x:f>
        <x:v>France</x:v>
      </x:c>
      <x:c r="R440" t="str">
        <x:f>IF(OR(F440&lt;=0,G440&lt;0,G440&gt;F440,N440&lt;0,P440="Non trouvé"),"À vérifier","OK")</x:f>
        <x:v>OK</x:v>
      </x:c>
    </x:row>
    <x:row r="441">
      <x:c r="A441" t="str">
        <x:v>DV-2024-00440</x:v>
      </x:c>
      <x:c r="B441" s="16" t="n">
        <x:v>45516</x:v>
      </x:c>
      <x:c r="C441" t="str">
        <x:v>Client 23</x:v>
      </x:c>
      <x:c r="D441" t="str">
        <x:v>Douane</x:v>
      </x:c>
      <x:c r="E441" t="str">
        <x:v>Pôle D</x:v>
      </x:c>
      <x:c r="F441" s="18" t="n">
        <x:v>12545.74</x:v>
      </x:c>
      <x:c r="G441" s="18" t="n">
        <x:v>12545.74</x:v>
      </x:c>
      <x:c r="H441" t="str">
        <x:v>Client 23</x:v>
      </x:c>
      <x:c r="I441" s="16" t="n">
        <x:v>45540</x:v>
      </x:c>
      <x:c r="J441" t="n">
        <x:f>YEAR(B441)</x:f>
        <x:v>2024</x:v>
      </x:c>
      <x:c r="K441" s="20" t="n">
        <x:f>DATE(YEAR(B441),MONTH(B441),1)</x:f>
        <x:v>45505</x:v>
      </x:c>
      <x:c r="L441" s="18" t="n">
        <x:f>F441-G441</x:f>
        <x:v>0</x:v>
      </x:c>
      <x:c r="M441" t="str">
        <x:f>IF(L441&lt;=0,"Payée",IF(G441=0,"Impayée","Partielle"))</x:f>
        <x:v>Payée</x:v>
      </x:c>
      <x:c r="N441" t="n">
        <x:f>IF(I441="","",I441-B441)</x:f>
        <x:v>24</x:v>
      </x:c>
      <x:c r="O441" t="str">
        <x:f>IF(TRIM(C441)&lt;&gt;TRIM(H441),"Oui","Non")</x:f>
        <x:v>Non</x:v>
      </x:c>
      <x:c r="P441" t="str">
        <x:f>IFERROR(INDEX('02_REFERENTIEL_CLIENTS'!$B$2:$B$51,MATCH(TRIM(C441),'02_REFERENTIEL_CLIENTS'!$A$2:$A$51,0)),"Non trouvé")</x:f>
        <x:v>PME</x:v>
      </x:c>
      <x:c r="Q441" t="str">
        <x:f>IFERROR(INDEX('02_REFERENTIEL_CLIENTS'!$C$2:$C$51,MATCH(TRIM(C441),'02_REFERENTIEL_CLIENTS'!$A$2:$A$51,0)),"Non trouvé")</x:f>
        <x:v>Europe</x:v>
      </x:c>
      <x:c r="R441" t="str">
        <x:f>IF(OR(F441&lt;=0,G441&lt;0,G441&gt;F441,N441&lt;0,P441="Non trouvé"),"À vérifier","OK")</x:f>
        <x:v>OK</x:v>
      </x:c>
    </x:row>
    <x:row r="442">
      <x:c r="A442" t="str">
        <x:v>DV-2024-00441</x:v>
      </x:c>
      <x:c r="B442" s="16" t="n">
        <x:v>45390</x:v>
      </x:c>
      <x:c r="C442" t="str">
        <x:v>Client 20</x:v>
      </x:c>
      <x:c r="D442" t="str">
        <x:v>Express</x:v>
      </x:c>
      <x:c r="E442" t="str">
        <x:v>Pôle D</x:v>
      </x:c>
      <x:c r="F442" s="18" t="n">
        <x:v>10547.62</x:v>
      </x:c>
      <x:c r="G442" s="18" t="n">
        <x:v>10547.62</x:v>
      </x:c>
      <x:c r="H442" t="str">
        <x:v>Client 03</x:v>
      </x:c>
      <x:c r="I442" s="16" t="n">
        <x:v>45448</x:v>
      </x:c>
      <x:c r="J442" t="n">
        <x:f>YEAR(B442)</x:f>
        <x:v>2024</x:v>
      </x:c>
      <x:c r="K442" s="20" t="n">
        <x:f>DATE(YEAR(B442),MONTH(B442),1)</x:f>
        <x:v>45383</x:v>
      </x:c>
      <x:c r="L442" s="18" t="n">
        <x:f>F442-G442</x:f>
        <x:v>0</x:v>
      </x:c>
      <x:c r="M442" t="str">
        <x:f>IF(L442&lt;=0,"Payée",IF(G442=0,"Impayée","Partielle"))</x:f>
        <x:v>Payée</x:v>
      </x:c>
      <x:c r="N442" t="n">
        <x:f>IF(I442="","",I442-B442)</x:f>
        <x:v>58</x:v>
      </x:c>
      <x:c r="O442" t="str">
        <x:f>IF(TRIM(C442)&lt;&gt;TRIM(H442),"Oui","Non")</x:f>
        <x:v>Oui</x:v>
      </x:c>
      <x:c r="P442" t="str">
        <x:f>IFERROR(INDEX('02_REFERENTIEL_CLIENTS'!$B$2:$B$51,MATCH(TRIM(C442),'02_REFERENTIEL_CLIENTS'!$A$2:$A$51,0)),"Non trouvé")</x:f>
        <x:v>PME</x:v>
      </x:c>
      <x:c r="Q442" t="str">
        <x:f>IFERROR(INDEX('02_REFERENTIEL_CLIENTS'!$C$2:$C$51,MATCH(TRIM(C442),'02_REFERENTIEL_CLIENTS'!$A$2:$A$51,0)),"Non trouvé")</x:f>
        <x:v>Europe</x:v>
      </x:c>
      <x:c r="R442" t="str">
        <x:f>IF(OR(F442&lt;=0,G442&lt;0,G442&gt;F442,N442&lt;0,P442="Non trouvé"),"À vérifier","OK")</x:f>
        <x:v>OK</x:v>
      </x:c>
    </x:row>
    <x:row r="443">
      <x:c r="A443" t="str">
        <x:v>DV-2024-00442</x:v>
      </x:c>
      <x:c r="B443" s="16" t="n">
        <x:v>45438</x:v>
      </x:c>
      <x:c r="C443" t="str">
        <x:v>Client 30</x:v>
      </x:c>
      <x:c r="D443" t="str">
        <x:v>Express</x:v>
      </x:c>
      <x:c r="E443" t="str">
        <x:v>Pôle D</x:v>
      </x:c>
      <x:c r="F443" s="18" t="n">
        <x:v>9506.97</x:v>
      </x:c>
      <x:c r="G443" s="18" t="n">
        <x:v>6165.9</x:v>
      </x:c>
      <x:c r="H443" t="str">
        <x:v>Client 30</x:v>
      </x:c>
      <x:c r="I443" s="16" t="n">
        <x:v>45504</x:v>
      </x:c>
      <x:c r="J443" t="n">
        <x:f>YEAR(B443)</x:f>
        <x:v>2024</x:v>
      </x:c>
      <x:c r="K443" s="20" t="n">
        <x:f>DATE(YEAR(B443),MONTH(B443),1)</x:f>
        <x:v>45413</x:v>
      </x:c>
      <x:c r="L443" s="18" t="n">
        <x:f>F443-G443</x:f>
        <x:v>3341.0699999999997</x:v>
      </x:c>
      <x:c r="M443" t="str">
        <x:f>IF(L443&lt;=0,"Payée",IF(G443=0,"Impayée","Partielle"))</x:f>
        <x:v>Partielle</x:v>
      </x:c>
      <x:c r="N443" t="n">
        <x:f>IF(I443="","",I443-B443)</x:f>
        <x:v>66</x:v>
      </x:c>
      <x:c r="O443" t="str">
        <x:f>IF(TRIM(C443)&lt;&gt;TRIM(H443),"Oui","Non")</x:f>
        <x:v>Non</x:v>
      </x:c>
      <x:c r="P443" t="str">
        <x:f>IFERROR(INDEX('02_REFERENTIEL_CLIENTS'!$B$2:$B$51,MATCH(TRIM(C443),'02_REFERENTIEL_CLIENTS'!$A$2:$A$51,0)),"Non trouvé")</x:f>
        <x:v>Particuliers</x:v>
      </x:c>
      <x:c r="Q443" t="str">
        <x:f>IFERROR(INDEX('02_REFERENTIEL_CLIENTS'!$C$2:$C$51,MATCH(TRIM(C443),'02_REFERENTIEL_CLIENTS'!$A$2:$A$51,0)),"Non trouvé")</x:f>
        <x:v>International</x:v>
      </x:c>
      <x:c r="R443" t="str">
        <x:f>IF(OR(F443&lt;=0,G443&lt;0,G443&gt;F443,N443&lt;0,P443="Non trouvé"),"À vérifier","OK")</x:f>
        <x:v>OK</x:v>
      </x:c>
    </x:row>
    <x:row r="444">
      <x:c r="A444" t="str">
        <x:v>DV-2026-00443</x:v>
      </x:c>
      <x:c r="B444" s="16" t="n">
        <x:v>46097</x:v>
      </x:c>
      <x:c r="C444" t="str">
        <x:v>Client 41</x:v>
      </x:c>
      <x:c r="D444" t="str">
        <x:v>Fret aérien</x:v>
      </x:c>
      <x:c r="E444" t="str">
        <x:v>Pôle A</x:v>
      </x:c>
      <x:c r="F444" s="18" t="n">
        <x:v>16241.13</x:v>
      </x:c>
      <x:c r="G444" s="18" t="n">
        <x:v>16241.13</x:v>
      </x:c>
      <x:c r="H444" t="str">
        <x:v>Client 41</x:v>
      </x:c>
      <x:c r="I444" s="16" t="n">
        <x:v>46107</x:v>
      </x:c>
      <x:c r="J444" t="n">
        <x:f>YEAR(B444)</x:f>
        <x:v>2026</x:v>
      </x:c>
      <x:c r="K444" s="20" t="n">
        <x:f>DATE(YEAR(B444),MONTH(B444),1)</x:f>
        <x:v>46082</x:v>
      </x:c>
      <x:c r="L444" s="18" t="n">
        <x:f>F444-G444</x:f>
        <x:v>0</x:v>
      </x:c>
      <x:c r="M444" t="str">
        <x:f>IF(L444&lt;=0,"Payée",IF(G444=0,"Impayée","Partielle"))</x:f>
        <x:v>Payée</x:v>
      </x:c>
      <x:c r="N444" t="n">
        <x:f>IF(I444="","",I444-B444)</x:f>
        <x:v>10</x:v>
      </x:c>
      <x:c r="O444" t="str">
        <x:f>IF(TRIM(C444)&lt;&gt;TRIM(H444),"Oui","Non")</x:f>
        <x:v>Non</x:v>
      </x:c>
      <x:c r="P444" t="str">
        <x:f>IFERROR(INDEX('02_REFERENTIEL_CLIENTS'!$B$2:$B$51,MATCH(TRIM(C444),'02_REFERENTIEL_CLIENTS'!$A$2:$A$51,0)),"Non trouvé")</x:f>
        <x:v>PME</x:v>
      </x:c>
      <x:c r="Q444" t="str">
        <x:f>IFERROR(INDEX('02_REFERENTIEL_CLIENTS'!$C$2:$C$51,MATCH(TRIM(C444),'02_REFERENTIEL_CLIENTS'!$A$2:$A$51,0)),"Non trouvé")</x:f>
        <x:v>Europe</x:v>
      </x:c>
      <x:c r="R444" t="str">
        <x:f>IF(OR(F444&lt;=0,G444&lt;0,G444&gt;F444,N444&lt;0,P444="Non trouvé"),"À vérifier","OK")</x:f>
        <x:v>OK</x:v>
      </x:c>
    </x:row>
    <x:row r="445">
      <x:c r="A445" t="str">
        <x:v>DV-2026-00444</x:v>
      </x:c>
      <x:c r="B445" s="16" t="n">
        <x:v>46034</x:v>
      </x:c>
      <x:c r="C445" t="str">
        <x:v>Client 03</x:v>
      </x:c>
      <x:c r="D445" t="str">
        <x:v>Logistique</x:v>
      </x:c>
      <x:c r="E445" t="str">
        <x:v>Pôle A</x:v>
      </x:c>
      <x:c r="F445" s="18" t="n">
        <x:v>5577.32</x:v>
      </x:c>
      <x:c r="G445" s="18" t="n">
        <x:v>5577.32</x:v>
      </x:c>
      <x:c r="H445" t="str">
        <x:v>Client 01</x:v>
      </x:c>
      <x:c r="I445" s="16" t="n">
        <x:v>46063</x:v>
      </x:c>
      <x:c r="J445" t="n">
        <x:f>YEAR(B445)</x:f>
        <x:v>2026</x:v>
      </x:c>
      <x:c r="K445" s="20" t="n">
        <x:f>DATE(YEAR(B445),MONTH(B445),1)</x:f>
        <x:v>46023</x:v>
      </x:c>
      <x:c r="L445" s="18" t="n">
        <x:f>F445-G445</x:f>
        <x:v>0</x:v>
      </x:c>
      <x:c r="M445" t="str">
        <x:f>IF(L445&lt;=0,"Payée",IF(G445=0,"Impayée","Partielle"))</x:f>
        <x:v>Payée</x:v>
      </x:c>
      <x:c r="N445" t="n">
        <x:f>IF(I445="","",I445-B445)</x:f>
        <x:v>29</x:v>
      </x:c>
      <x:c r="O445" t="str">
        <x:f>IF(TRIM(C445)&lt;&gt;TRIM(H445),"Oui","Non")</x:f>
        <x:v>Oui</x:v>
      </x:c>
      <x:c r="P445" t="str">
        <x:f>IFERROR(INDEX('02_REFERENTIEL_CLIENTS'!$B$2:$B$51,MATCH(TRIM(C445),'02_REFERENTIEL_CLIENTS'!$A$2:$A$51,0)),"Non trouvé")</x:f>
        <x:v>Particuliers</x:v>
      </x:c>
      <x:c r="Q445" t="str">
        <x:f>IFERROR(INDEX('02_REFERENTIEL_CLIENTS'!$C$2:$C$51,MATCH(TRIM(C445),'02_REFERENTIEL_CLIENTS'!$A$2:$A$51,0)),"Non trouvé")</x:f>
        <x:v>International</x:v>
      </x:c>
      <x:c r="R445" t="str">
        <x:f>IF(OR(F445&lt;=0,G445&lt;0,G445&gt;F445,N445&lt;0,P445="Non trouvé"),"À vérifier","OK")</x:f>
        <x:v>OK</x:v>
      </x:c>
    </x:row>
    <x:row r="446">
      <x:c r="A446" t="str">
        <x:v>DV-2025-00445</x:v>
      </x:c>
      <x:c r="B446" s="16" t="n">
        <x:v>45957</x:v>
      </x:c>
      <x:c r="C446" t="str">
        <x:v>Client 18</x:v>
      </x:c>
      <x:c r="D446" t="str">
        <x:v>Logistique</x:v>
      </x:c>
      <x:c r="E446" t="str">
        <x:v>Pôle A</x:v>
      </x:c>
      <x:c r="F446" s="18" t="n">
        <x:v>798.91</x:v>
      </x:c>
      <x:c r="G446" s="18" t="n">
        <x:v>798.91</x:v>
      </x:c>
      <x:c r="H446" t="str">
        <x:v>Client 18</x:v>
      </x:c>
      <x:c r="I446" s="16" t="n">
        <x:v>45987</x:v>
      </x:c>
      <x:c r="J446" t="n">
        <x:f>YEAR(B446)</x:f>
        <x:v>2025</x:v>
      </x:c>
      <x:c r="K446" s="20" t="n">
        <x:f>DATE(YEAR(B446),MONTH(B446),1)</x:f>
        <x:v>45931</x:v>
      </x:c>
      <x:c r="L446" s="18" t="n">
        <x:f>F446-G446</x:f>
        <x:v>0</x:v>
      </x:c>
      <x:c r="M446" t="str">
        <x:f>IF(L446&lt;=0,"Payée",IF(G446=0,"Impayée","Partielle"))</x:f>
        <x:v>Payée</x:v>
      </x:c>
      <x:c r="N446" t="n">
        <x:f>IF(I446="","",I446-B446)</x:f>
        <x:v>30</x:v>
      </x:c>
      <x:c r="O446" t="str">
        <x:f>IF(TRIM(C446)&lt;&gt;TRIM(H446),"Oui","Non")</x:f>
        <x:v>Non</x:v>
      </x:c>
      <x:c r="P446" t="str">
        <x:f>IFERROR(INDEX('02_REFERENTIEL_CLIENTS'!$B$2:$B$51,MATCH(TRIM(C446),'02_REFERENTIEL_CLIENTS'!$A$2:$A$51,0)),"Non trouvé")</x:f>
        <x:v>Particuliers</x:v>
      </x:c>
      <x:c r="Q446" t="str">
        <x:f>IFERROR(INDEX('02_REFERENTIEL_CLIENTS'!$C$2:$C$51,MATCH(TRIM(C446),'02_REFERENTIEL_CLIENTS'!$A$2:$A$51,0)),"Non trouvé")</x:f>
        <x:v>International</x:v>
      </x:c>
      <x:c r="R446" t="str">
        <x:f>IF(OR(F446&lt;=0,G446&lt;0,G446&gt;F446,N446&lt;0,P446="Non trouvé"),"À vérifier","OK")</x:f>
        <x:v>OK</x:v>
      </x:c>
    </x:row>
    <x:row r="447">
      <x:c r="A447" t="str">
        <x:v>DV-2025-00446</x:v>
      </x:c>
      <x:c r="B447" s="16" t="n">
        <x:v>45698</x:v>
      </x:c>
      <x:c r="C447" t="str">
        <x:v>Client 36</x:v>
      </x:c>
      <x:c r="D447" t="str">
        <x:v>Fret aérien</x:v>
      </x:c>
      <x:c r="E447" t="str">
        <x:v>Pôle A</x:v>
      </x:c>
      <x:c r="F447" s="18" t="n">
        <x:v>19488.81</x:v>
      </x:c>
      <x:c r="G447" s="18" t="n">
        <x:v>19488.81</x:v>
      </x:c>
      <x:c r="H447" t="str">
        <x:v>Client 36</x:v>
      </x:c>
      <x:c r="I447" s="16" t="n">
        <x:v>45716</x:v>
      </x:c>
      <x:c r="J447" t="n">
        <x:f>YEAR(B447)</x:f>
        <x:v>2025</x:v>
      </x:c>
      <x:c r="K447" s="20" t="n">
        <x:f>DATE(YEAR(B447),MONTH(B447),1)</x:f>
        <x:v>45689</x:v>
      </x:c>
      <x:c r="L447" s="18" t="n">
        <x:f>F447-G447</x:f>
        <x:v>0</x:v>
      </x:c>
      <x:c r="M447" t="str">
        <x:f>IF(L447&lt;=0,"Payée",IF(G447=0,"Impayée","Partielle"))</x:f>
        <x:v>Payée</x:v>
      </x:c>
      <x:c r="N447" t="n">
        <x:f>IF(I447="","",I447-B447)</x:f>
        <x:v>18</x:v>
      </x:c>
      <x:c r="O447" t="str">
        <x:f>IF(TRIM(C447)&lt;&gt;TRIM(H447),"Oui","Non")</x:f>
        <x:v>Non</x:v>
      </x:c>
      <x:c r="P447" t="str">
        <x:f>IFERROR(INDEX('02_REFERENTIEL_CLIENTS'!$B$2:$B$51,MATCH(TRIM(C447),'02_REFERENTIEL_CLIENTS'!$A$2:$A$51,0)),"Non trouvé")</x:f>
        <x:v>Particuliers</x:v>
      </x:c>
      <x:c r="Q447" t="str">
        <x:f>IFERROR(INDEX('02_REFERENTIEL_CLIENTS'!$C$2:$C$51,MATCH(TRIM(C447),'02_REFERENTIEL_CLIENTS'!$A$2:$A$51,0)),"Non trouvé")</x:f>
        <x:v>International</x:v>
      </x:c>
      <x:c r="R447" t="str">
        <x:f>IF(OR(F447&lt;=0,G447&lt;0,G447&gt;F447,N447&lt;0,P447="Non trouvé"),"À vérifier","OK")</x:f>
        <x:v>OK</x:v>
      </x:c>
    </x:row>
    <x:row r="448">
      <x:c r="A448" t="str">
        <x:v>DV-2024-00447</x:v>
      </x:c>
      <x:c r="B448" s="16" t="n">
        <x:v>45365</x:v>
      </x:c>
      <x:c r="C448" t="str">
        <x:v>Client 08</x:v>
      </x:c>
      <x:c r="D448" t="str">
        <x:v>Fret maritime</x:v>
      </x:c>
      <x:c r="E448" t="str">
        <x:v>Pôle A</x:v>
      </x:c>
      <x:c r="F448" s="18" t="n">
        <x:v>24084.87</x:v>
      </x:c>
      <x:c r="G448" s="18" t="n">
        <x:v>24084.87</x:v>
      </x:c>
      <x:c r="H448" t="str">
        <x:v>Client 08</x:v>
      </x:c>
      <x:c r="I448" s="16" t="n">
        <x:v>45453</x:v>
      </x:c>
      <x:c r="J448" t="n">
        <x:f>YEAR(B448)</x:f>
        <x:v>2024</x:v>
      </x:c>
      <x:c r="K448" s="20" t="n">
        <x:f>DATE(YEAR(B448),MONTH(B448),1)</x:f>
        <x:v>45352</x:v>
      </x:c>
      <x:c r="L448" s="18" t="n">
        <x:f>F448-G448</x:f>
        <x:v>0</x:v>
      </x:c>
      <x:c r="M448" t="str">
        <x:f>IF(L448&lt;=0,"Payée",IF(G448=0,"Impayée","Partielle"))</x:f>
        <x:v>Payée</x:v>
      </x:c>
      <x:c r="N448" t="n">
        <x:f>IF(I448="","",I448-B448)</x:f>
        <x:v>88</x:v>
      </x:c>
      <x:c r="O448" t="str">
        <x:f>IF(TRIM(C448)&lt;&gt;TRIM(H448),"Oui","Non")</x:f>
        <x:v>Non</x:v>
      </x:c>
      <x:c r="P448" t="str">
        <x:f>IFERROR(INDEX('02_REFERENTIEL_CLIENTS'!$B$2:$B$51,MATCH(TRIM(C448),'02_REFERENTIEL_CLIENTS'!$A$2:$A$51,0)),"Non trouvé")</x:f>
        <x:v>PME</x:v>
      </x:c>
      <x:c r="Q448" t="str">
        <x:f>IFERROR(INDEX('02_REFERENTIEL_CLIENTS'!$C$2:$C$51,MATCH(TRIM(C448),'02_REFERENTIEL_CLIENTS'!$A$2:$A$51,0)),"Non trouvé")</x:f>
        <x:v>Europe</x:v>
      </x:c>
      <x:c r="R448" t="str">
        <x:f>IF(OR(F448&lt;=0,G448&lt;0,G448&gt;F448,N448&lt;0,P448="Non trouvé"),"À vérifier","OK")</x:f>
        <x:v>OK</x:v>
      </x:c>
    </x:row>
    <x:row r="449">
      <x:c r="A449" t="str">
        <x:v>DV-2024-00448</x:v>
      </x:c>
      <x:c r="B449" s="16" t="n">
        <x:v>45607</x:v>
      </x:c>
      <x:c r="C449" t="str">
        <x:v>Client 07</x:v>
      </x:c>
      <x:c r="D449" t="str">
        <x:v>Fret maritime</x:v>
      </x:c>
      <x:c r="E449" t="str">
        <x:v>Pôle A</x:v>
      </x:c>
      <x:c r="F449" s="18" t="n">
        <x:v>23493.31</x:v>
      </x:c>
      <x:c r="G449" s="18" t="n">
        <x:v>23493.31</x:v>
      </x:c>
      <x:c r="H449" t="str">
        <x:v>Client 07</x:v>
      </x:c>
      <x:c r="I449" s="16" t="n">
        <x:v>45686</x:v>
      </x:c>
      <x:c r="J449" t="n">
        <x:f>YEAR(B449)</x:f>
        <x:v>2024</x:v>
      </x:c>
      <x:c r="K449" s="20" t="n">
        <x:f>DATE(YEAR(B449),MONTH(B449),1)</x:f>
        <x:v>45597</x:v>
      </x:c>
      <x:c r="L449" s="18" t="n">
        <x:f>F449-G449</x:f>
        <x:v>0</x:v>
      </x:c>
      <x:c r="M449" t="str">
        <x:f>IF(L449&lt;=0,"Payée",IF(G449=0,"Impayée","Partielle"))</x:f>
        <x:v>Payée</x:v>
      </x:c>
      <x:c r="N449" t="n">
        <x:f>IF(I449="","",I449-B449)</x:f>
        <x:v>79</x:v>
      </x:c>
      <x:c r="O449" t="str">
        <x:f>IF(TRIM(C449)&lt;&gt;TRIM(H449),"Oui","Non")</x:f>
        <x:v>Non</x:v>
      </x:c>
      <x:c r="P449" t="str">
        <x:f>IFERROR(INDEX('02_REFERENTIEL_CLIENTS'!$B$2:$B$51,MATCH(TRIM(C449),'02_REFERENTIEL_CLIENTS'!$A$2:$A$51,0)),"Non trouvé")</x:f>
        <x:v>Grands comptes</x:v>
      </x:c>
      <x:c r="Q449" t="str">
        <x:f>IFERROR(INDEX('02_REFERENTIEL_CLIENTS'!$C$2:$C$51,MATCH(TRIM(C449),'02_REFERENTIEL_CLIENTS'!$A$2:$A$51,0)),"Non trouvé")</x:f>
        <x:v>France</x:v>
      </x:c>
      <x:c r="R449" t="str">
        <x:f>IF(OR(F449&lt;=0,G449&lt;0,G449&gt;F449,N449&lt;0,P449="Non trouvé"),"À vérifier","OK")</x:f>
        <x:v>OK</x:v>
      </x:c>
    </x:row>
    <x:row r="450">
      <x:c r="A450" t="str">
        <x:v>DV-2024-00449</x:v>
      </x:c>
      <x:c r="B450" s="16" t="n">
        <x:v>45589</x:v>
      </x:c>
      <x:c r="C450" t="str">
        <x:v>Client 07</x:v>
      </x:c>
      <x:c r="D450" t="str">
        <x:v>Fret maritime</x:v>
      </x:c>
      <x:c r="E450" t="str">
        <x:v>Pôle B</x:v>
      </x:c>
      <x:c r="F450" s="18" t="n">
        <x:v>22355.08</x:v>
      </x:c>
      <x:c r="G450" s="18" t="n">
        <x:v>22355.08</x:v>
      </x:c>
      <x:c r="H450" t="str">
        <x:v>Client 07</x:v>
      </x:c>
      <x:c r="I450" s="16" t="n">
        <x:v>45621</x:v>
      </x:c>
      <x:c r="J450" t="n">
        <x:f>YEAR(B450)</x:f>
        <x:v>2024</x:v>
      </x:c>
      <x:c r="K450" s="20" t="n">
        <x:f>DATE(YEAR(B450),MONTH(B450),1)</x:f>
        <x:v>45566</x:v>
      </x:c>
      <x:c r="L450" s="18" t="n">
        <x:f>F450-G450</x:f>
        <x:v>0</x:v>
      </x:c>
      <x:c r="M450" t="str">
        <x:f>IF(L450&lt;=0,"Payée",IF(G450=0,"Impayée","Partielle"))</x:f>
        <x:v>Payée</x:v>
      </x:c>
      <x:c r="N450" t="n">
        <x:f>IF(I450="","",I450-B450)</x:f>
        <x:v>32</x:v>
      </x:c>
      <x:c r="O450" t="str">
        <x:f>IF(TRIM(C450)&lt;&gt;TRIM(H450),"Oui","Non")</x:f>
        <x:v>Non</x:v>
      </x:c>
      <x:c r="P450" t="str">
        <x:f>IFERROR(INDEX('02_REFERENTIEL_CLIENTS'!$B$2:$B$51,MATCH(TRIM(C450),'02_REFERENTIEL_CLIENTS'!$A$2:$A$51,0)),"Non trouvé")</x:f>
        <x:v>Grands comptes</x:v>
      </x:c>
      <x:c r="Q450" t="str">
        <x:f>IFERROR(INDEX('02_REFERENTIEL_CLIENTS'!$C$2:$C$51,MATCH(TRIM(C450),'02_REFERENTIEL_CLIENTS'!$A$2:$A$51,0)),"Non trouvé")</x:f>
        <x:v>France</x:v>
      </x:c>
      <x:c r="R450" t="str">
        <x:f>IF(OR(F450&lt;=0,G450&lt;0,G450&gt;F450,N450&lt;0,P450="Non trouvé"),"À vérifier","OK")</x:f>
        <x:v>OK</x:v>
      </x:c>
    </x:row>
    <x:row r="451">
      <x:c r="A451" t="str">
        <x:v>DV-2025-00450</x:v>
      </x:c>
      <x:c r="B451" s="16" t="n">
        <x:v>45999</x:v>
      </x:c>
      <x:c r="C451" t="str">
        <x:v>Client 41</x:v>
      </x:c>
      <x:c r="D451" t="str">
        <x:v>Douane</x:v>
      </x:c>
      <x:c r="E451" t="str">
        <x:v>Pôle E</x:v>
      </x:c>
      <x:c r="F451" s="18" t="n">
        <x:v>7861.19</x:v>
      </x:c>
      <x:c r="G451" s="18" t="n">
        <x:v>7861.19</x:v>
      </x:c>
      <x:c r="H451" t="str">
        <x:v>Client 41</x:v>
      </x:c>
      <x:c r="I451" s="16" t="n">
        <x:v>46018</x:v>
      </x:c>
      <x:c r="J451" t="n">
        <x:f>YEAR(B451)</x:f>
        <x:v>2025</x:v>
      </x:c>
      <x:c r="K451" s="20" t="n">
        <x:f>DATE(YEAR(B451),MONTH(B451),1)</x:f>
        <x:v>45992</x:v>
      </x:c>
      <x:c r="L451" s="18" t="n">
        <x:f>F451-G451</x:f>
        <x:v>0</x:v>
      </x:c>
      <x:c r="M451" t="str">
        <x:f>IF(L451&lt;=0,"Payée",IF(G451=0,"Impayée","Partielle"))</x:f>
        <x:v>Payée</x:v>
      </x:c>
      <x:c r="N451" t="n">
        <x:f>IF(I451="","",I451-B451)</x:f>
        <x:v>19</x:v>
      </x:c>
      <x:c r="O451" t="str">
        <x:f>IF(TRIM(C451)&lt;&gt;TRIM(H451),"Oui","Non")</x:f>
        <x:v>Non</x:v>
      </x:c>
      <x:c r="P451" t="str">
        <x:f>IFERROR(INDEX('02_REFERENTIEL_CLIENTS'!$B$2:$B$51,MATCH(TRIM(C451),'02_REFERENTIEL_CLIENTS'!$A$2:$A$51,0)),"Non trouvé")</x:f>
        <x:v>PME</x:v>
      </x:c>
      <x:c r="Q451" t="str">
        <x:f>IFERROR(INDEX('02_REFERENTIEL_CLIENTS'!$C$2:$C$51,MATCH(TRIM(C451),'02_REFERENTIEL_CLIENTS'!$A$2:$A$51,0)),"Non trouvé")</x:f>
        <x:v>Europe</x:v>
      </x:c>
      <x:c r="R451" t="str">
        <x:f>IF(OR(F451&lt;=0,G451&lt;0,G451&gt;F451,N451&lt;0,P451="Non trouvé"),"À vérifier","OK")</x:f>
        <x:v>OK</x:v>
      </x:c>
    </x:row>
    <x:row r="452">
      <x:c r="A452" t="str">
        <x:v>DV-2026-00451</x:v>
      </x:c>
      <x:c r="B452" s="16" t="n">
        <x:v>46074</x:v>
      </x:c>
      <x:c r="C452" t="str">
        <x:v>Client 05</x:v>
      </x:c>
      <x:c r="D452" t="str">
        <x:v>Express</x:v>
      </x:c>
      <x:c r="E452" t="str">
        <x:v>Pôle D</x:v>
      </x:c>
      <x:c r="F452" s="18" t="n">
        <x:v>8008.11</x:v>
      </x:c>
      <x:c r="G452" s="18" t="n">
        <x:v>8008.11</x:v>
      </x:c>
      <x:c r="H452" t="str">
        <x:v>Client 05</x:v>
      </x:c>
      <x:c r="I452" s="16" t="n">
        <x:v>46091</x:v>
      </x:c>
      <x:c r="J452" t="n">
        <x:f>YEAR(B452)</x:f>
        <x:v>2026</x:v>
      </x:c>
      <x:c r="K452" s="20" t="n">
        <x:f>DATE(YEAR(B452),MONTH(B452),1)</x:f>
        <x:v>46054</x:v>
      </x:c>
      <x:c r="L452" s="18" t="n">
        <x:f>F452-G452</x:f>
        <x:v>0</x:v>
      </x:c>
      <x:c r="M452" t="str">
        <x:f>IF(L452&lt;=0,"Payée",IF(G452=0,"Impayée","Partielle"))</x:f>
        <x:v>Payée</x:v>
      </x:c>
      <x:c r="N452" t="n">
        <x:f>IF(I452="","",I452-B452)</x:f>
        <x:v>17</x:v>
      </x:c>
      <x:c r="O452" t="str">
        <x:f>IF(TRIM(C452)&lt;&gt;TRIM(H452),"Oui","Non")</x:f>
        <x:v>Non</x:v>
      </x:c>
      <x:c r="P452" t="str">
        <x:f>IFERROR(INDEX('02_REFERENTIEL_CLIENTS'!$B$2:$B$51,MATCH(TRIM(C452),'02_REFERENTIEL_CLIENTS'!$A$2:$A$51,0)),"Non trouvé")</x:f>
        <x:v>PME</x:v>
      </x:c>
      <x:c r="Q452" t="str">
        <x:f>IFERROR(INDEX('02_REFERENTIEL_CLIENTS'!$C$2:$C$51,MATCH(TRIM(C452),'02_REFERENTIEL_CLIENTS'!$A$2:$A$51,0)),"Non trouvé")</x:f>
        <x:v>Europe</x:v>
      </x:c>
      <x:c r="R452" t="str">
        <x:f>IF(OR(F452&lt;=0,G452&lt;0,G452&gt;F452,N452&lt;0,P452="Non trouvé"),"À vérifier","OK")</x:f>
        <x:v>OK</x:v>
      </x:c>
    </x:row>
    <x:row r="453">
      <x:c r="A453" t="str">
        <x:v>DV-2024-00452</x:v>
      </x:c>
      <x:c r="B453" s="16" t="n">
        <x:v>45301</x:v>
      </x:c>
      <x:c r="C453" t="str">
        <x:v>Client 44</x:v>
      </x:c>
      <x:c r="D453" t="str">
        <x:v>Express</x:v>
      </x:c>
      <x:c r="E453" t="str">
        <x:v>Pôle B</x:v>
      </x:c>
      <x:c r="F453" s="18" t="n">
        <x:v>7679.42</x:v>
      </x:c>
      <x:c r="G453" s="18" t="n">
        <x:v>7679.42</x:v>
      </x:c>
      <x:c r="H453" t="str">
        <x:v>Client 44</x:v>
      </x:c>
      <x:c r="I453" s="16" t="n">
        <x:v>45378</x:v>
      </x:c>
      <x:c r="J453" t="n">
        <x:f>YEAR(B453)</x:f>
        <x:v>2024</x:v>
      </x:c>
      <x:c r="K453" s="20" t="n">
        <x:f>DATE(YEAR(B453),MONTH(B453),1)</x:f>
        <x:v>45292</x:v>
      </x:c>
      <x:c r="L453" s="18" t="n">
        <x:f>F453-G453</x:f>
        <x:v>0</x:v>
      </x:c>
      <x:c r="M453" t="str">
        <x:f>IF(L453&lt;=0,"Payée",IF(G453=0,"Impayée","Partielle"))</x:f>
        <x:v>Payée</x:v>
      </x:c>
      <x:c r="N453" t="n">
        <x:f>IF(I453="","",I453-B453)</x:f>
        <x:v>77</x:v>
      </x:c>
      <x:c r="O453" t="str">
        <x:f>IF(TRIM(C453)&lt;&gt;TRIM(H453),"Oui","Non")</x:f>
        <x:v>Non</x:v>
      </x:c>
      <x:c r="P453" t="str">
        <x:f>IFERROR(INDEX('02_REFERENTIEL_CLIENTS'!$B$2:$B$51,MATCH(TRIM(C453),'02_REFERENTIEL_CLIENTS'!$A$2:$A$51,0)),"Non trouvé")</x:f>
        <x:v>PME</x:v>
      </x:c>
      <x:c r="Q453" t="str">
        <x:f>IFERROR(INDEX('02_REFERENTIEL_CLIENTS'!$C$2:$C$51,MATCH(TRIM(C453),'02_REFERENTIEL_CLIENTS'!$A$2:$A$51,0)),"Non trouvé")</x:f>
        <x:v>Europe</x:v>
      </x:c>
      <x:c r="R453" t="str">
        <x:f>IF(OR(F453&lt;=0,G453&lt;0,G453&gt;F453,N453&lt;0,P453="Non trouvé"),"À vérifier","OK")</x:f>
        <x:v>OK</x:v>
      </x:c>
    </x:row>
    <x:row r="454">
      <x:c r="A454" t="str">
        <x:v>DV-2025-00453</x:v>
      </x:c>
      <x:c r="B454" s="16" t="n">
        <x:v>46022</x:v>
      </x:c>
      <x:c r="C454" t="str">
        <x:v>Client 39</x:v>
      </x:c>
      <x:c r="D454" t="str">
        <x:v>Express</x:v>
      </x:c>
      <x:c r="E454" t="str">
        <x:v>Pôle B</x:v>
      </x:c>
      <x:c r="F454" s="18" t="n">
        <x:v>20818.41</x:v>
      </x:c>
      <x:c r="G454" s="18" t="n">
        <x:v>20818.41</x:v>
      </x:c>
      <x:c r="H454" t="str">
        <x:v>Client 39</x:v>
      </x:c>
      <x:c r="I454" s="16" t="n">
        <x:v>46026</x:v>
      </x:c>
      <x:c r="J454" t="n">
        <x:f>YEAR(B454)</x:f>
        <x:v>2025</x:v>
      </x:c>
      <x:c r="K454" s="20" t="n">
        <x:f>DATE(YEAR(B454),MONTH(B454),1)</x:f>
        <x:v>45992</x:v>
      </x:c>
      <x:c r="L454" s="18" t="n">
        <x:f>F454-G454</x:f>
        <x:v>0</x:v>
      </x:c>
      <x:c r="M454" t="str">
        <x:f>IF(L454&lt;=0,"Payée",IF(G454=0,"Impayée","Partielle"))</x:f>
        <x:v>Payée</x:v>
      </x:c>
      <x:c r="N454" t="n">
        <x:f>IF(I454="","",I454-B454)</x:f>
        <x:v>4</x:v>
      </x:c>
      <x:c r="O454" t="str">
        <x:f>IF(TRIM(C454)&lt;&gt;TRIM(H454),"Oui","Non")</x:f>
        <x:v>Non</x:v>
      </x:c>
      <x:c r="P454" t="str">
        <x:f>IFERROR(INDEX('02_REFERENTIEL_CLIENTS'!$B$2:$B$51,MATCH(TRIM(C454),'02_REFERENTIEL_CLIENTS'!$A$2:$A$51,0)),"Non trouvé")</x:f>
        <x:v>Particuliers</x:v>
      </x:c>
      <x:c r="Q454" t="str">
        <x:f>IFERROR(INDEX('02_REFERENTIEL_CLIENTS'!$C$2:$C$51,MATCH(TRIM(C454),'02_REFERENTIEL_CLIENTS'!$A$2:$A$51,0)),"Non trouvé")</x:f>
        <x:v>International</x:v>
      </x:c>
      <x:c r="R454" t="str">
        <x:f>IF(OR(F454&lt;=0,G454&lt;0,G454&gt;F454,N454&lt;0,P454="Non trouvé"),"À vérifier","OK")</x:f>
        <x:v>OK</x:v>
      </x:c>
    </x:row>
    <x:row r="455">
      <x:c r="A455" t="str">
        <x:v>DV-2024-00454</x:v>
      </x:c>
      <x:c r="B455" s="16" t="n">
        <x:v>45523</x:v>
      </x:c>
      <x:c r="C455" t="str">
        <x:v>Client 24</x:v>
      </x:c>
      <x:c r="D455" t="str">
        <x:v>Express</x:v>
      </x:c>
      <x:c r="E455" t="str">
        <x:v>Pôle E</x:v>
      </x:c>
      <x:c r="F455" s="18" t="n">
        <x:v>6258.45</x:v>
      </x:c>
      <x:c r="G455" s="18" t="n">
        <x:v>6258.45</x:v>
      </x:c>
      <x:c r="H455" t="str">
        <x:v>Client 17</x:v>
      </x:c>
      <x:c r="I455" s="16" t="n">
        <x:v>45565</x:v>
      </x:c>
      <x:c r="J455" t="n">
        <x:f>YEAR(B455)</x:f>
        <x:v>2024</x:v>
      </x:c>
      <x:c r="K455" s="20" t="n">
        <x:f>DATE(YEAR(B455),MONTH(B455),1)</x:f>
        <x:v>45505</x:v>
      </x:c>
      <x:c r="L455" s="18" t="n">
        <x:f>F455-G455</x:f>
        <x:v>0</x:v>
      </x:c>
      <x:c r="M455" t="str">
        <x:f>IF(L455&lt;=0,"Payée",IF(G455=0,"Impayée","Partielle"))</x:f>
        <x:v>Payée</x:v>
      </x:c>
      <x:c r="N455" t="n">
        <x:f>IF(I455="","",I455-B455)</x:f>
        <x:v>42</x:v>
      </x:c>
      <x:c r="O455" t="str">
        <x:f>IF(TRIM(C455)&lt;&gt;TRIM(H455),"Oui","Non")</x:f>
        <x:v>Oui</x:v>
      </x:c>
      <x:c r="P455" t="str">
        <x:f>IFERROR(INDEX('02_REFERENTIEL_CLIENTS'!$B$2:$B$51,MATCH(TRIM(C455),'02_REFERENTIEL_CLIENTS'!$A$2:$A$51,0)),"Non trouvé")</x:f>
        <x:v>Particuliers</x:v>
      </x:c>
      <x:c r="Q455" t="str">
        <x:f>IFERROR(INDEX('02_REFERENTIEL_CLIENTS'!$C$2:$C$51,MATCH(TRIM(C455),'02_REFERENTIEL_CLIENTS'!$A$2:$A$51,0)),"Non trouvé")</x:f>
        <x:v>International</x:v>
      </x:c>
      <x:c r="R455" t="str">
        <x:f>IF(OR(F455&lt;=0,G455&lt;0,G455&gt;F455,N455&lt;0,P455="Non trouvé"),"À vérifier","OK")</x:f>
        <x:v>OK</x:v>
      </x:c>
    </x:row>
    <x:row r="456">
      <x:c r="A456" t="str">
        <x:v>DV-2024-00455</x:v>
      </x:c>
      <x:c r="B456" s="16" t="n">
        <x:v>45593</x:v>
      </x:c>
      <x:c r="C456" t="str">
        <x:v>Client 49</x:v>
      </x:c>
      <x:c r="D456" t="str">
        <x:v>Douane</x:v>
      </x:c>
      <x:c r="E456" t="str">
        <x:v>Pôle E</x:v>
      </x:c>
      <x:c r="F456" s="18" t="n">
        <x:v>10678.51</x:v>
      </x:c>
      <x:c r="G456" s="18" t="n">
        <x:v>7681.8</x:v>
      </x:c>
      <x:c r="H456" t="str">
        <x:v>Client 39</x:v>
      </x:c>
      <x:c r="I456" s="16" t="n">
        <x:v>45634</x:v>
      </x:c>
      <x:c r="J456" t="n">
        <x:f>YEAR(B456)</x:f>
        <x:v>2024</x:v>
      </x:c>
      <x:c r="K456" s="20" t="n">
        <x:f>DATE(YEAR(B456),MONTH(B456),1)</x:f>
        <x:v>45566</x:v>
      </x:c>
      <x:c r="L456" s="18" t="n">
        <x:f>F456-G456</x:f>
        <x:v>2996.71</x:v>
      </x:c>
      <x:c r="M456" t="str">
        <x:f>IF(L456&lt;=0,"Payée",IF(G456=0,"Impayée","Partielle"))</x:f>
        <x:v>Partielle</x:v>
      </x:c>
      <x:c r="N456" t="n">
        <x:f>IF(I456="","",I456-B456)</x:f>
        <x:v>41</x:v>
      </x:c>
      <x:c r="O456" t="str">
        <x:f>IF(TRIM(C456)&lt;&gt;TRIM(H456),"Oui","Non")</x:f>
        <x:v>Oui</x:v>
      </x:c>
      <x:c r="P456" t="str">
        <x:f>IFERROR(INDEX('02_REFERENTIEL_CLIENTS'!$B$2:$B$51,MATCH(TRIM(C456),'02_REFERENTIEL_CLIENTS'!$A$2:$A$51,0)),"Non trouvé")</x:f>
        <x:v>Grands comptes</x:v>
      </x:c>
      <x:c r="Q456" t="str">
        <x:f>IFERROR(INDEX('02_REFERENTIEL_CLIENTS'!$C$2:$C$51,MATCH(TRIM(C456),'02_REFERENTIEL_CLIENTS'!$A$2:$A$51,0)),"Non trouvé")</x:f>
        <x:v>France</x:v>
      </x:c>
      <x:c r="R456" t="str">
        <x:f>IF(OR(F456&lt;=0,G456&lt;0,G456&gt;F456,N456&lt;0,P456="Non trouvé"),"À vérifier","OK")</x:f>
        <x:v>OK</x:v>
      </x:c>
    </x:row>
    <x:row r="457">
      <x:c r="A457" t="str">
        <x:v>DV-2025-00456</x:v>
      </x:c>
      <x:c r="B457" s="16" t="n">
        <x:v>45771</x:v>
      </x:c>
      <x:c r="C457" t="str">
        <x:v>Client 35</x:v>
      </x:c>
      <x:c r="D457" t="str">
        <x:v>Express</x:v>
      </x:c>
      <x:c r="E457" t="str">
        <x:v>Pôle A</x:v>
      </x:c>
      <x:c r="F457" s="18" t="n">
        <x:v>18378.32</x:v>
      </x:c>
      <x:c r="G457" s="18" t="n">
        <x:v>18378.32</x:v>
      </x:c>
      <x:c r="H457" t="str">
        <x:v>Client 35</x:v>
      </x:c>
      <x:c r="I457" s="16" t="n">
        <x:v>45822</x:v>
      </x:c>
      <x:c r="J457" t="n">
        <x:f>YEAR(B457)</x:f>
        <x:v>2025</x:v>
      </x:c>
      <x:c r="K457" s="20" t="n">
        <x:f>DATE(YEAR(B457),MONTH(B457),1)</x:f>
        <x:v>45748</x:v>
      </x:c>
      <x:c r="L457" s="18" t="n">
        <x:f>F457-G457</x:f>
        <x:v>0</x:v>
      </x:c>
      <x:c r="M457" t="str">
        <x:f>IF(L457&lt;=0,"Payée",IF(G457=0,"Impayée","Partielle"))</x:f>
        <x:v>Payée</x:v>
      </x:c>
      <x:c r="N457" t="n">
        <x:f>IF(I457="","",I457-B457)</x:f>
        <x:v>51</x:v>
      </x:c>
      <x:c r="O457" t="str">
        <x:f>IF(TRIM(C457)&lt;&gt;TRIM(H457),"Oui","Non")</x:f>
        <x:v>Non</x:v>
      </x:c>
      <x:c r="P457" t="str">
        <x:f>IFERROR(INDEX('02_REFERENTIEL_CLIENTS'!$B$2:$B$51,MATCH(TRIM(C457),'02_REFERENTIEL_CLIENTS'!$A$2:$A$51,0)),"Non trouvé")</x:f>
        <x:v>PME</x:v>
      </x:c>
      <x:c r="Q457" t="str">
        <x:f>IFERROR(INDEX('02_REFERENTIEL_CLIENTS'!$C$2:$C$51,MATCH(TRIM(C457),'02_REFERENTIEL_CLIENTS'!$A$2:$A$51,0)),"Non trouvé")</x:f>
        <x:v>Europe</x:v>
      </x:c>
      <x:c r="R457" t="str">
        <x:f>IF(OR(F457&lt;=0,G457&lt;0,G457&gt;F457,N457&lt;0,P457="Non trouvé"),"À vérifier","OK")</x:f>
        <x:v>OK</x:v>
      </x:c>
    </x:row>
    <x:row r="458">
      <x:c r="A458" t="str">
        <x:v>DV-2026-00457</x:v>
      </x:c>
      <x:c r="B458" s="16" t="n">
        <x:v>46090</x:v>
      </x:c>
      <x:c r="C458" t="str">
        <x:v>Client 04</x:v>
      </x:c>
      <x:c r="D458" t="str">
        <x:v>Fret maritime</x:v>
      </x:c>
      <x:c r="E458" t="str">
        <x:v>Pôle A</x:v>
      </x:c>
      <x:c r="F458" s="18" t="n">
        <x:v>11582.44</x:v>
      </x:c>
      <x:c r="G458" s="18" t="n">
        <x:v>11582.44</x:v>
      </x:c>
      <x:c r="H458" t="str">
        <x:v>Client 04</x:v>
      </x:c>
      <x:c r="I458" s="16" t="n">
        <x:v>46103</x:v>
      </x:c>
      <x:c r="J458" t="n">
        <x:f>YEAR(B458)</x:f>
        <x:v>2026</x:v>
      </x:c>
      <x:c r="K458" s="20" t="n">
        <x:f>DATE(YEAR(B458),MONTH(B458),1)</x:f>
        <x:v>46082</x:v>
      </x:c>
      <x:c r="L458" s="18" t="n">
        <x:f>F458-G458</x:f>
        <x:v>0</x:v>
      </x:c>
      <x:c r="M458" t="str">
        <x:f>IF(L458&lt;=0,"Payée",IF(G458=0,"Impayée","Partielle"))</x:f>
        <x:v>Payée</x:v>
      </x:c>
      <x:c r="N458" t="n">
        <x:f>IF(I458="","",I458-B458)</x:f>
        <x:v>13</x:v>
      </x:c>
      <x:c r="O458" t="str">
        <x:f>IF(TRIM(C458)&lt;&gt;TRIM(H458),"Oui","Non")</x:f>
        <x:v>Non</x:v>
      </x:c>
      <x:c r="P458" t="str">
        <x:f>IFERROR(INDEX('02_REFERENTIEL_CLIENTS'!$B$2:$B$51,MATCH(TRIM(C458),'02_REFERENTIEL_CLIENTS'!$A$2:$A$51,0)),"Non trouvé")</x:f>
        <x:v>Grands comptes</x:v>
      </x:c>
      <x:c r="Q458" t="str">
        <x:f>IFERROR(INDEX('02_REFERENTIEL_CLIENTS'!$C$2:$C$51,MATCH(TRIM(C458),'02_REFERENTIEL_CLIENTS'!$A$2:$A$51,0)),"Non trouvé")</x:f>
        <x:v>France</x:v>
      </x:c>
      <x:c r="R458" t="str">
        <x:f>IF(OR(F458&lt;=0,G458&lt;0,G458&gt;F458,N458&lt;0,P458="Non trouvé"),"À vérifier","OK")</x:f>
        <x:v>OK</x:v>
      </x:c>
    </x:row>
    <x:row r="459">
      <x:c r="A459" t="str">
        <x:v>DV-2024-00458</x:v>
      </x:c>
      <x:c r="B459" s="16" t="n">
        <x:v>45599</x:v>
      </x:c>
      <x:c r="C459" t="str">
        <x:v>Client 16</x:v>
      </x:c>
      <x:c r="D459" t="str">
        <x:v>Express</x:v>
      </x:c>
      <x:c r="E459" t="str">
        <x:v>Pôle C</x:v>
      </x:c>
      <x:c r="F459" s="18" t="n">
        <x:v>21732.3</x:v>
      </x:c>
      <x:c r="G459" s="18" t="n">
        <x:v>21732.3</x:v>
      </x:c>
      <x:c r="H459" t="str">
        <x:v>Client 16</x:v>
      </x:c>
      <x:c r="I459" s="16" t="n">
        <x:v>45670</x:v>
      </x:c>
      <x:c r="J459" t="n">
        <x:f>YEAR(B459)</x:f>
        <x:v>2024</x:v>
      </x:c>
      <x:c r="K459" s="20" t="n">
        <x:f>DATE(YEAR(B459),MONTH(B459),1)</x:f>
        <x:v>45597</x:v>
      </x:c>
      <x:c r="L459" s="18" t="n">
        <x:f>F459-G459</x:f>
        <x:v>0</x:v>
      </x:c>
      <x:c r="M459" t="str">
        <x:f>IF(L459&lt;=0,"Payée",IF(G459=0,"Impayée","Partielle"))</x:f>
        <x:v>Payée</x:v>
      </x:c>
      <x:c r="N459" t="n">
        <x:f>IF(I459="","",I459-B459)</x:f>
        <x:v>71</x:v>
      </x:c>
      <x:c r="O459" t="str">
        <x:f>IF(TRIM(C459)&lt;&gt;TRIM(H459),"Oui","Non")</x:f>
        <x:v>Non</x:v>
      </x:c>
      <x:c r="P459" t="str">
        <x:f>IFERROR(INDEX('02_REFERENTIEL_CLIENTS'!$B$2:$B$51,MATCH(TRIM(C459),'02_REFERENTIEL_CLIENTS'!$A$2:$A$51,0)),"Non trouvé")</x:f>
        <x:v>Grands comptes</x:v>
      </x:c>
      <x:c r="Q459" t="str">
        <x:f>IFERROR(INDEX('02_REFERENTIEL_CLIENTS'!$C$2:$C$51,MATCH(TRIM(C459),'02_REFERENTIEL_CLIENTS'!$A$2:$A$51,0)),"Non trouvé")</x:f>
        <x:v>France</x:v>
      </x:c>
      <x:c r="R459" t="str">
        <x:f>IF(OR(F459&lt;=0,G459&lt;0,G459&gt;F459,N459&lt;0,P459="Non trouvé"),"À vérifier","OK")</x:f>
        <x:v>OK</x:v>
      </x:c>
    </x:row>
    <x:row r="460">
      <x:c r="A460" t="str">
        <x:v>DV-2025-00459</x:v>
      </x:c>
      <x:c r="B460" s="16" t="n">
        <x:v>45716</x:v>
      </x:c>
      <x:c r="C460" t="str">
        <x:v>Client 23</x:v>
      </x:c>
      <x:c r="D460" t="str">
        <x:v>Logistique</x:v>
      </x:c>
      <x:c r="E460" t="str">
        <x:v>Pôle D</x:v>
      </x:c>
      <x:c r="F460" s="18" t="n">
        <x:v>18176.24</x:v>
      </x:c>
      <x:c r="G460" s="18" t="n">
        <x:v>18176.24</x:v>
      </x:c>
      <x:c r="H460" t="str">
        <x:v>Client 23</x:v>
      </x:c>
      <x:c r="I460" s="16" t="n">
        <x:v>45726</x:v>
      </x:c>
      <x:c r="J460" t="n">
        <x:f>YEAR(B460)</x:f>
        <x:v>2025</x:v>
      </x:c>
      <x:c r="K460" s="20" t="n">
        <x:f>DATE(YEAR(B460),MONTH(B460),1)</x:f>
        <x:v>45689</x:v>
      </x:c>
      <x:c r="L460" s="18" t="n">
        <x:f>F460-G460</x:f>
        <x:v>0</x:v>
      </x:c>
      <x:c r="M460" t="str">
        <x:f>IF(L460&lt;=0,"Payée",IF(G460=0,"Impayée","Partielle"))</x:f>
        <x:v>Payée</x:v>
      </x:c>
      <x:c r="N460" t="n">
        <x:f>IF(I460="","",I460-B460)</x:f>
        <x:v>10</x:v>
      </x:c>
      <x:c r="O460" t="str">
        <x:f>IF(TRIM(C460)&lt;&gt;TRIM(H460),"Oui","Non")</x:f>
        <x:v>Non</x:v>
      </x:c>
      <x:c r="P460" t="str">
        <x:f>IFERROR(INDEX('02_REFERENTIEL_CLIENTS'!$B$2:$B$51,MATCH(TRIM(C460),'02_REFERENTIEL_CLIENTS'!$A$2:$A$51,0)),"Non trouvé")</x:f>
        <x:v>PME</x:v>
      </x:c>
      <x:c r="Q460" t="str">
        <x:f>IFERROR(INDEX('02_REFERENTIEL_CLIENTS'!$C$2:$C$51,MATCH(TRIM(C460),'02_REFERENTIEL_CLIENTS'!$A$2:$A$51,0)),"Non trouvé")</x:f>
        <x:v>Europe</x:v>
      </x:c>
      <x:c r="R460" t="str">
        <x:f>IF(OR(F460&lt;=0,G460&lt;0,G460&gt;F460,N460&lt;0,P460="Non trouvé"),"À vérifier","OK")</x:f>
        <x:v>OK</x:v>
      </x:c>
    </x:row>
    <x:row r="461">
      <x:c r="A461" t="str">
        <x:v>DV-2024-00460</x:v>
      </x:c>
      <x:c r="B461" s="16" t="n">
        <x:v>45513</x:v>
      </x:c>
      <x:c r="C461" t="str">
        <x:v>Client 47</x:v>
      </x:c>
      <x:c r="D461" t="str">
        <x:v>Express</x:v>
      </x:c>
      <x:c r="E461" t="str">
        <x:v>Pôle C</x:v>
      </x:c>
      <x:c r="F461" s="18" t="n">
        <x:v>16415.99</x:v>
      </x:c>
      <x:c r="G461" s="18" t="n">
        <x:v>16415.99</x:v>
      </x:c>
      <x:c r="H461" t="str">
        <x:v>Client 47</x:v>
      </x:c>
      <x:c r="I461" s="16" t="n">
        <x:v>45552</x:v>
      </x:c>
      <x:c r="J461" t="n">
        <x:f>YEAR(B461)</x:f>
        <x:v>2024</x:v>
      </x:c>
      <x:c r="K461" s="20" t="n">
        <x:f>DATE(YEAR(B461),MONTH(B461),1)</x:f>
        <x:v>45505</x:v>
      </x:c>
      <x:c r="L461" s="18" t="n">
        <x:f>F461-G461</x:f>
        <x:v>0</x:v>
      </x:c>
      <x:c r="M461" t="str">
        <x:f>IF(L461&lt;=0,"Payée",IF(G461=0,"Impayée","Partielle"))</x:f>
        <x:v>Payée</x:v>
      </x:c>
      <x:c r="N461" t="n">
        <x:f>IF(I461="","",I461-B461)</x:f>
        <x:v>39</x:v>
      </x:c>
      <x:c r="O461" t="str">
        <x:f>IF(TRIM(C461)&lt;&gt;TRIM(H461),"Oui","Non")</x:f>
        <x:v>Non</x:v>
      </x:c>
      <x:c r="P461" t="str">
        <x:f>IFERROR(INDEX('02_REFERENTIEL_CLIENTS'!$B$2:$B$51,MATCH(TRIM(C461),'02_REFERENTIEL_CLIENTS'!$A$2:$A$51,0)),"Non trouvé")</x:f>
        <x:v>PME</x:v>
      </x:c>
      <x:c r="Q461" t="str">
        <x:f>IFERROR(INDEX('02_REFERENTIEL_CLIENTS'!$C$2:$C$51,MATCH(TRIM(C461),'02_REFERENTIEL_CLIENTS'!$A$2:$A$51,0)),"Non trouvé")</x:f>
        <x:v>Europe</x:v>
      </x:c>
      <x:c r="R461" t="str">
        <x:f>IF(OR(F461&lt;=0,G461&lt;0,G461&gt;F461,N461&lt;0,P461="Non trouvé"),"À vérifier","OK")</x:f>
        <x:v>OK</x:v>
      </x:c>
    </x:row>
    <x:row r="462">
      <x:c r="A462" t="str">
        <x:v>DV-2025-00461</x:v>
      </x:c>
      <x:c r="B462" s="16" t="n">
        <x:v>45755</x:v>
      </x:c>
      <x:c r="C462" t="str">
        <x:v>Client 49</x:v>
      </x:c>
      <x:c r="D462" t="str">
        <x:v>Douane</x:v>
      </x:c>
      <x:c r="E462" t="str">
        <x:v>Pôle E</x:v>
      </x:c>
      <x:c r="F462" s="18" t="n">
        <x:v>8873.46</x:v>
      </x:c>
      <x:c r="G462" s="18" t="n">
        <x:v>0</x:v>
      </x:c>
      <x:c r="H462" t="str">
        <x:v>Client 49</x:v>
      </x:c>
      <x:c r="I462" s="16"/>
      <x:c r="J462" t="n">
        <x:f>YEAR(B462)</x:f>
        <x:v>2025</x:v>
      </x:c>
      <x:c r="K462" s="20" t="n">
        <x:f>DATE(YEAR(B462),MONTH(B462),1)</x:f>
        <x:v>45748</x:v>
      </x:c>
      <x:c r="L462" s="18" t="n">
        <x:f>F462-G462</x:f>
        <x:v>8873.46</x:v>
      </x:c>
      <x:c r="M462" t="str">
        <x:f>IF(L462&lt;=0,"Payée",IF(G462=0,"Impayée","Partielle"))</x:f>
        <x:v>Impayée</x:v>
      </x:c>
      <x:c r="N462" t="str">
        <x:f>IF(I462="","",I462-B462)</x:f>
      </x:c>
      <x:c r="O462" t="str">
        <x:f>IF(TRIM(C462)&lt;&gt;TRIM(H462),"Oui","Non")</x:f>
        <x:v>Non</x:v>
      </x:c>
      <x:c r="P462" t="str">
        <x:f>IFERROR(INDEX('02_REFERENTIEL_CLIENTS'!$B$2:$B$51,MATCH(TRIM(C462),'02_REFERENTIEL_CLIENTS'!$A$2:$A$51,0)),"Non trouvé")</x:f>
        <x:v>Grands comptes</x:v>
      </x:c>
      <x:c r="Q462" t="str">
        <x:f>IFERROR(INDEX('02_REFERENTIEL_CLIENTS'!$C$2:$C$51,MATCH(TRIM(C462),'02_REFERENTIEL_CLIENTS'!$A$2:$A$51,0)),"Non trouvé")</x:f>
        <x:v>France</x:v>
      </x:c>
      <x:c r="R462" t="str">
        <x:f>IF(OR(F462&lt;=0,G462&lt;0,G462&gt;F462,N462&lt;0,P462="Non trouvé"),"À vérifier","OK")</x:f>
        <x:v>OK</x:v>
      </x:c>
    </x:row>
    <x:row r="463">
      <x:c r="A463" t="str">
        <x:v>DV-2024-00462</x:v>
      </x:c>
      <x:c r="B463" s="16" t="n">
        <x:v>45327</x:v>
      </x:c>
      <x:c r="C463" t="str">
        <x:v>Client 15</x:v>
      </x:c>
      <x:c r="D463" t="str">
        <x:v>Fret aérien</x:v>
      </x:c>
      <x:c r="E463" t="str">
        <x:v>Pôle B</x:v>
      </x:c>
      <x:c r="F463" s="18" t="n">
        <x:v>17485.59</x:v>
      </x:c>
      <x:c r="G463" s="18" t="n">
        <x:v>17485.59</x:v>
      </x:c>
      <x:c r="H463" t="str">
        <x:v>Client 15</x:v>
      </x:c>
      <x:c r="I463" s="16" t="n">
        <x:v>45363</x:v>
      </x:c>
      <x:c r="J463" t="n">
        <x:f>YEAR(B463)</x:f>
        <x:v>2024</x:v>
      </x:c>
      <x:c r="K463" s="20" t="n">
        <x:f>DATE(YEAR(B463),MONTH(B463),1)</x:f>
        <x:v>45323</x:v>
      </x:c>
      <x:c r="L463" s="18" t="n">
        <x:f>F463-G463</x:f>
        <x:v>0</x:v>
      </x:c>
      <x:c r="M463" t="str">
        <x:f>IF(L463&lt;=0,"Payée",IF(G463=0,"Impayée","Partielle"))</x:f>
        <x:v>Payée</x:v>
      </x:c>
      <x:c r="N463" t="n">
        <x:f>IF(I463="","",I463-B463)</x:f>
        <x:v>36</x:v>
      </x:c>
      <x:c r="O463" t="str">
        <x:f>IF(TRIM(C463)&lt;&gt;TRIM(H463),"Oui","Non")</x:f>
        <x:v>Non</x:v>
      </x:c>
      <x:c r="P463" t="str">
        <x:f>IFERROR(INDEX('02_REFERENTIEL_CLIENTS'!$B$2:$B$51,MATCH(TRIM(C463),'02_REFERENTIEL_CLIENTS'!$A$2:$A$51,0)),"Non trouvé")</x:f>
        <x:v>Particuliers</x:v>
      </x:c>
      <x:c r="Q463" t="str">
        <x:f>IFERROR(INDEX('02_REFERENTIEL_CLIENTS'!$C$2:$C$51,MATCH(TRIM(C463),'02_REFERENTIEL_CLIENTS'!$A$2:$A$51,0)),"Non trouvé")</x:f>
        <x:v>International</x:v>
      </x:c>
      <x:c r="R463" t="str">
        <x:f>IF(OR(F463&lt;=0,G463&lt;0,G463&gt;F463,N463&lt;0,P463="Non trouvé"),"À vérifier","OK")</x:f>
        <x:v>OK</x:v>
      </x:c>
    </x:row>
    <x:row r="464">
      <x:c r="A464" t="str">
        <x:v>DV-2025-00463</x:v>
      </x:c>
      <x:c r="B464" s="16" t="n">
        <x:v>45711</x:v>
      </x:c>
      <x:c r="C464" t="str">
        <x:v>Client 28</x:v>
      </x:c>
      <x:c r="D464" t="str">
        <x:v>Express</x:v>
      </x:c>
      <x:c r="E464" t="str">
        <x:v>Pôle A</x:v>
      </x:c>
      <x:c r="F464" s="18" t="n">
        <x:v>23730.53</x:v>
      </x:c>
      <x:c r="G464" s="18" t="n">
        <x:v>23730.53</x:v>
      </x:c>
      <x:c r="H464" t="str">
        <x:v>Client 28</x:v>
      </x:c>
      <x:c r="I464" s="16" t="n">
        <x:v>45735</x:v>
      </x:c>
      <x:c r="J464" t="n">
        <x:f>YEAR(B464)</x:f>
        <x:v>2025</x:v>
      </x:c>
      <x:c r="K464" s="20" t="n">
        <x:f>DATE(YEAR(B464),MONTH(B464),1)</x:f>
        <x:v>45689</x:v>
      </x:c>
      <x:c r="L464" s="18" t="n">
        <x:f>F464-G464</x:f>
        <x:v>0</x:v>
      </x:c>
      <x:c r="M464" t="str">
        <x:f>IF(L464&lt;=0,"Payée",IF(G464=0,"Impayée","Partielle"))</x:f>
        <x:v>Payée</x:v>
      </x:c>
      <x:c r="N464" t="n">
        <x:f>IF(I464="","",I464-B464)</x:f>
        <x:v>24</x:v>
      </x:c>
      <x:c r="O464" t="str">
        <x:f>IF(TRIM(C464)&lt;&gt;TRIM(H464),"Oui","Non")</x:f>
        <x:v>Non</x:v>
      </x:c>
      <x:c r="P464" t="str">
        <x:f>IFERROR(INDEX('02_REFERENTIEL_CLIENTS'!$B$2:$B$51,MATCH(TRIM(C464),'02_REFERENTIEL_CLIENTS'!$A$2:$A$51,0)),"Non trouvé")</x:f>
        <x:v>Grands comptes</x:v>
      </x:c>
      <x:c r="Q464" t="str">
        <x:f>IFERROR(INDEX('02_REFERENTIEL_CLIENTS'!$C$2:$C$51,MATCH(TRIM(C464),'02_REFERENTIEL_CLIENTS'!$A$2:$A$51,0)),"Non trouvé")</x:f>
        <x:v>France</x:v>
      </x:c>
      <x:c r="R464" t="str">
        <x:f>IF(OR(F464&lt;=0,G464&lt;0,G464&gt;F464,N464&lt;0,P464="Non trouvé"),"À vérifier","OK")</x:f>
        <x:v>OK</x:v>
      </x:c>
    </x:row>
    <x:row r="465">
      <x:c r="A465" t="str">
        <x:v>DV-2025-00464</x:v>
      </x:c>
      <x:c r="B465" s="16" t="n">
        <x:v>45839</x:v>
      </x:c>
      <x:c r="C465" t="str">
        <x:v>Client 16</x:v>
      </x:c>
      <x:c r="D465" t="str">
        <x:v>Douane</x:v>
      </x:c>
      <x:c r="E465" t="str">
        <x:v>Pôle E</x:v>
      </x:c>
      <x:c r="F465" s="18" t="n">
        <x:v>13606</x:v>
      </x:c>
      <x:c r="G465" s="18" t="n">
        <x:v>13606</x:v>
      </x:c>
      <x:c r="H465" t="str">
        <x:v>Client 16</x:v>
      </x:c>
      <x:c r="I465" s="16" t="n">
        <x:v>45894</x:v>
      </x:c>
      <x:c r="J465" t="n">
        <x:f>YEAR(B465)</x:f>
        <x:v>2025</x:v>
      </x:c>
      <x:c r="K465" s="20" t="n">
        <x:f>DATE(YEAR(B465),MONTH(B465),1)</x:f>
        <x:v>45839</x:v>
      </x:c>
      <x:c r="L465" s="18" t="n">
        <x:f>F465-G465</x:f>
        <x:v>0</x:v>
      </x:c>
      <x:c r="M465" t="str">
        <x:f>IF(L465&lt;=0,"Payée",IF(G465=0,"Impayée","Partielle"))</x:f>
        <x:v>Payée</x:v>
      </x:c>
      <x:c r="N465" t="n">
        <x:f>IF(I465="","",I465-B465)</x:f>
        <x:v>55</x:v>
      </x:c>
      <x:c r="O465" t="str">
        <x:f>IF(TRIM(C465)&lt;&gt;TRIM(H465),"Oui","Non")</x:f>
        <x:v>Non</x:v>
      </x:c>
      <x:c r="P465" t="str">
        <x:f>IFERROR(INDEX('02_REFERENTIEL_CLIENTS'!$B$2:$B$51,MATCH(TRIM(C465),'02_REFERENTIEL_CLIENTS'!$A$2:$A$51,0)),"Non trouvé")</x:f>
        <x:v>Grands comptes</x:v>
      </x:c>
      <x:c r="Q465" t="str">
        <x:f>IFERROR(INDEX('02_REFERENTIEL_CLIENTS'!$C$2:$C$51,MATCH(TRIM(C465),'02_REFERENTIEL_CLIENTS'!$A$2:$A$51,0)),"Non trouvé")</x:f>
        <x:v>France</x:v>
      </x:c>
      <x:c r="R465" t="str">
        <x:f>IF(OR(F465&lt;=0,G465&lt;0,G465&gt;F465,N465&lt;0,P465="Non trouvé"),"À vérifier","OK")</x:f>
        <x:v>OK</x:v>
      </x:c>
    </x:row>
    <x:row r="466">
      <x:c r="A466" t="str">
        <x:v>DV-2024-00465</x:v>
      </x:c>
      <x:c r="B466" s="16" t="n">
        <x:v>45416</x:v>
      </x:c>
      <x:c r="C466" t="str">
        <x:v>Client 50</x:v>
      </x:c>
      <x:c r="D466" t="str">
        <x:v>Fret maritime</x:v>
      </x:c>
      <x:c r="E466" t="str">
        <x:v>Pôle E</x:v>
      </x:c>
      <x:c r="F466" s="18" t="n">
        <x:v>22804.28</x:v>
      </x:c>
      <x:c r="G466" s="18" t="n">
        <x:v>0</x:v>
      </x:c>
      <x:c r="H466" t="str">
        <x:v>Client 50</x:v>
      </x:c>
      <x:c r="I466" s="16"/>
      <x:c r="J466" t="n">
        <x:f>YEAR(B466)</x:f>
        <x:v>2024</x:v>
      </x:c>
      <x:c r="K466" s="20" t="n">
        <x:f>DATE(YEAR(B466),MONTH(B466),1)</x:f>
        <x:v>45413</x:v>
      </x:c>
      <x:c r="L466" s="18" t="n">
        <x:f>F466-G466</x:f>
        <x:v>22804.28</x:v>
      </x:c>
      <x:c r="M466" t="str">
        <x:f>IF(L466&lt;=0,"Payée",IF(G466=0,"Impayée","Partielle"))</x:f>
        <x:v>Impayée</x:v>
      </x:c>
      <x:c r="N466" t="str">
        <x:f>IF(I466="","",I466-B466)</x:f>
      </x:c>
      <x:c r="O466" t="str">
        <x:f>IF(TRIM(C466)&lt;&gt;TRIM(H466),"Oui","Non")</x:f>
        <x:v>Non</x:v>
      </x:c>
      <x:c r="P466" t="str">
        <x:f>IFERROR(INDEX('02_REFERENTIEL_CLIENTS'!$B$2:$B$51,MATCH(TRIM(C466),'02_REFERENTIEL_CLIENTS'!$A$2:$A$51,0)),"Non trouvé")</x:f>
        <x:v>PME</x:v>
      </x:c>
      <x:c r="Q466" t="str">
        <x:f>IFERROR(INDEX('02_REFERENTIEL_CLIENTS'!$C$2:$C$51,MATCH(TRIM(C466),'02_REFERENTIEL_CLIENTS'!$A$2:$A$51,0)),"Non trouvé")</x:f>
        <x:v>Europe</x:v>
      </x:c>
      <x:c r="R466" t="str">
        <x:f>IF(OR(F466&lt;=0,G466&lt;0,G466&gt;F466,N466&lt;0,P466="Non trouvé"),"À vérifier","OK")</x:f>
        <x:v>OK</x:v>
      </x:c>
    </x:row>
    <x:row r="467">
      <x:c r="A467" t="str">
        <x:v>DV-2026-00466</x:v>
      </x:c>
      <x:c r="B467" s="16" t="n">
        <x:v>46209</x:v>
      </x:c>
      <x:c r="C467" t="str">
        <x:v>Client 23</x:v>
      </x:c>
      <x:c r="D467" t="str">
        <x:v>Logistique</x:v>
      </x:c>
      <x:c r="E467" t="str">
        <x:v>Pôle D</x:v>
      </x:c>
      <x:c r="F467" s="18" t="n">
        <x:v>9081.06</x:v>
      </x:c>
      <x:c r="G467" s="18" t="n">
        <x:v>9081.06</x:v>
      </x:c>
      <x:c r="H467" t="str">
        <x:v>Client 23</x:v>
      </x:c>
      <x:c r="I467" s="16" t="n">
        <x:v>46274</x:v>
      </x:c>
      <x:c r="J467" t="n">
        <x:f>YEAR(B467)</x:f>
        <x:v>2026</x:v>
      </x:c>
      <x:c r="K467" s="20" t="n">
        <x:f>DATE(YEAR(B467),MONTH(B467),1)</x:f>
        <x:v>46204</x:v>
      </x:c>
      <x:c r="L467" s="18" t="n">
        <x:f>F467-G467</x:f>
        <x:v>0</x:v>
      </x:c>
      <x:c r="M467" t="str">
        <x:f>IF(L467&lt;=0,"Payée",IF(G467=0,"Impayée","Partielle"))</x:f>
        <x:v>Payée</x:v>
      </x:c>
      <x:c r="N467" t="n">
        <x:f>IF(I467="","",I467-B467)</x:f>
        <x:v>65</x:v>
      </x:c>
      <x:c r="O467" t="str">
        <x:f>IF(TRIM(C467)&lt;&gt;TRIM(H467),"Oui","Non")</x:f>
        <x:v>Non</x:v>
      </x:c>
      <x:c r="P467" t="str">
        <x:f>IFERROR(INDEX('02_REFERENTIEL_CLIENTS'!$B$2:$B$51,MATCH(TRIM(C467),'02_REFERENTIEL_CLIENTS'!$A$2:$A$51,0)),"Non trouvé")</x:f>
        <x:v>PME</x:v>
      </x:c>
      <x:c r="Q467" t="str">
        <x:f>IFERROR(INDEX('02_REFERENTIEL_CLIENTS'!$C$2:$C$51,MATCH(TRIM(C467),'02_REFERENTIEL_CLIENTS'!$A$2:$A$51,0)),"Non trouvé")</x:f>
        <x:v>Europe</x:v>
      </x:c>
      <x:c r="R467" t="str">
        <x:f>IF(OR(F467&lt;=0,G467&lt;0,G467&gt;F467,N467&lt;0,P467="Non trouvé"),"À vérifier","OK")</x:f>
        <x:v>OK</x:v>
      </x:c>
    </x:row>
    <x:row r="468">
      <x:c r="A468" t="str">
        <x:v>DV-2024-00467</x:v>
      </x:c>
      <x:c r="B468" s="16" t="n">
        <x:v>45545</x:v>
      </x:c>
      <x:c r="C468" t="str">
        <x:v>Client 10</x:v>
      </x:c>
      <x:c r="D468" t="str">
        <x:v>Fret aérien</x:v>
      </x:c>
      <x:c r="E468" t="str">
        <x:v>Pôle D</x:v>
      </x:c>
      <x:c r="F468" s="18" t="n">
        <x:v>15282.09</x:v>
      </x:c>
      <x:c r="G468" s="18" t="n">
        <x:v>4685.21</x:v>
      </x:c>
      <x:c r="H468" t="str">
        <x:v>Client 10</x:v>
      </x:c>
      <x:c r="I468" s="16" t="n">
        <x:v>45624</x:v>
      </x:c>
      <x:c r="J468" t="n">
        <x:f>YEAR(B468)</x:f>
        <x:v>2024</x:v>
      </x:c>
      <x:c r="K468" s="20" t="n">
        <x:f>DATE(YEAR(B468),MONTH(B468),1)</x:f>
        <x:v>45536</x:v>
      </x:c>
      <x:c r="L468" s="18" t="n">
        <x:f>F468-G468</x:f>
        <x:v>10596.880000000001</x:v>
      </x:c>
      <x:c r="M468" t="str">
        <x:f>IF(L468&lt;=0,"Payée",IF(G468=0,"Impayée","Partielle"))</x:f>
        <x:v>Partielle</x:v>
      </x:c>
      <x:c r="N468" t="n">
        <x:f>IF(I468="","",I468-B468)</x:f>
        <x:v>79</x:v>
      </x:c>
      <x:c r="O468" t="str">
        <x:f>IF(TRIM(C468)&lt;&gt;TRIM(H468),"Oui","Non")</x:f>
        <x:v>Non</x:v>
      </x:c>
      <x:c r="P468" t="str">
        <x:f>IFERROR(INDEX('02_REFERENTIEL_CLIENTS'!$B$2:$B$51,MATCH(TRIM(C468),'02_REFERENTIEL_CLIENTS'!$A$2:$A$51,0)),"Non trouvé")</x:f>
        <x:v>Grands comptes</x:v>
      </x:c>
      <x:c r="Q468" t="str">
        <x:f>IFERROR(INDEX('02_REFERENTIEL_CLIENTS'!$C$2:$C$51,MATCH(TRIM(C468),'02_REFERENTIEL_CLIENTS'!$A$2:$A$51,0)),"Non trouvé")</x:f>
        <x:v>France</x:v>
      </x:c>
      <x:c r="R468" t="str">
        <x:f>IF(OR(F468&lt;=0,G468&lt;0,G468&gt;F468,N468&lt;0,P468="Non trouvé"),"À vérifier","OK")</x:f>
        <x:v>OK</x:v>
      </x:c>
    </x:row>
    <x:row r="469">
      <x:c r="A469" t="str">
        <x:v>DV-2024-00468</x:v>
      </x:c>
      <x:c r="B469" s="16" t="n">
        <x:v>45402</x:v>
      </x:c>
      <x:c r="C469" t="str">
        <x:v>Client 17</x:v>
      </x:c>
      <x:c r="D469" t="str">
        <x:v>Express</x:v>
      </x:c>
      <x:c r="E469" t="str">
        <x:v>Pôle C</x:v>
      </x:c>
      <x:c r="F469" s="18" t="n">
        <x:v>9858.87</x:v>
      </x:c>
      <x:c r="G469" s="18" t="n">
        <x:v>9858.87</x:v>
      </x:c>
      <x:c r="H469" t="str">
        <x:v>Client 26</x:v>
      </x:c>
      <x:c r="I469" s="16" t="n">
        <x:v>45434</x:v>
      </x:c>
      <x:c r="J469" t="n">
        <x:f>YEAR(B469)</x:f>
        <x:v>2024</x:v>
      </x:c>
      <x:c r="K469" s="20" t="n">
        <x:f>DATE(YEAR(B469),MONTH(B469),1)</x:f>
        <x:v>45383</x:v>
      </x:c>
      <x:c r="L469" s="18" t="n">
        <x:f>F469-G469</x:f>
        <x:v>0</x:v>
      </x:c>
      <x:c r="M469" t="str">
        <x:f>IF(L469&lt;=0,"Payée",IF(G469=0,"Impayée","Partielle"))</x:f>
        <x:v>Payée</x:v>
      </x:c>
      <x:c r="N469" t="n">
        <x:f>IF(I469="","",I469-B469)</x:f>
        <x:v>32</x:v>
      </x:c>
      <x:c r="O469" t="str">
        <x:f>IF(TRIM(C469)&lt;&gt;TRIM(H469),"Oui","Non")</x:f>
        <x:v>Oui</x:v>
      </x:c>
      <x:c r="P469" t="str">
        <x:f>IFERROR(INDEX('02_REFERENTIEL_CLIENTS'!$B$2:$B$51,MATCH(TRIM(C469),'02_REFERENTIEL_CLIENTS'!$A$2:$A$51,0)),"Non trouvé")</x:f>
        <x:v>PME</x:v>
      </x:c>
      <x:c r="Q469" t="str">
        <x:f>IFERROR(INDEX('02_REFERENTIEL_CLIENTS'!$C$2:$C$51,MATCH(TRIM(C469),'02_REFERENTIEL_CLIENTS'!$A$2:$A$51,0)),"Non trouvé")</x:f>
        <x:v>Europe</x:v>
      </x:c>
      <x:c r="R469" t="str">
        <x:f>IF(OR(F469&lt;=0,G469&lt;0,G469&gt;F469,N469&lt;0,P469="Non trouvé"),"À vérifier","OK")</x:f>
        <x:v>OK</x:v>
      </x:c>
    </x:row>
    <x:row r="470">
      <x:c r="A470" t="str">
        <x:v>DV-2026-00469</x:v>
      </x:c>
      <x:c r="B470" s="16" t="n">
        <x:v>46057</x:v>
      </x:c>
      <x:c r="C470" t="str">
        <x:v>Client 36</x:v>
      </x:c>
      <x:c r="D470" t="str">
        <x:v>Express</x:v>
      </x:c>
      <x:c r="E470" t="str">
        <x:v>Pôle A</x:v>
      </x:c>
      <x:c r="F470" s="18" t="n">
        <x:v>5561.62</x:v>
      </x:c>
      <x:c r="G470" s="18" t="n">
        <x:v>5561.62</x:v>
      </x:c>
      <x:c r="H470" t="str">
        <x:v>Client 36</x:v>
      </x:c>
      <x:c r="I470" s="16" t="n">
        <x:v>46150</x:v>
      </x:c>
      <x:c r="J470" t="n">
        <x:f>YEAR(B470)</x:f>
        <x:v>2026</x:v>
      </x:c>
      <x:c r="K470" s="20" t="n">
        <x:f>DATE(YEAR(B470),MONTH(B470),1)</x:f>
        <x:v>46054</x:v>
      </x:c>
      <x:c r="L470" s="18" t="n">
        <x:f>F470-G470</x:f>
        <x:v>0</x:v>
      </x:c>
      <x:c r="M470" t="str">
        <x:f>IF(L470&lt;=0,"Payée",IF(G470=0,"Impayée","Partielle"))</x:f>
        <x:v>Payée</x:v>
      </x:c>
      <x:c r="N470" t="n">
        <x:f>IF(I470="","",I470-B470)</x:f>
        <x:v>93</x:v>
      </x:c>
      <x:c r="O470" t="str">
        <x:f>IF(TRIM(C470)&lt;&gt;TRIM(H470),"Oui","Non")</x:f>
        <x:v>Non</x:v>
      </x:c>
      <x:c r="P470" t="str">
        <x:f>IFERROR(INDEX('02_REFERENTIEL_CLIENTS'!$B$2:$B$51,MATCH(TRIM(C470),'02_REFERENTIEL_CLIENTS'!$A$2:$A$51,0)),"Non trouvé")</x:f>
        <x:v>Particuliers</x:v>
      </x:c>
      <x:c r="Q470" t="str">
        <x:f>IFERROR(INDEX('02_REFERENTIEL_CLIENTS'!$C$2:$C$51,MATCH(TRIM(C470),'02_REFERENTIEL_CLIENTS'!$A$2:$A$51,0)),"Non trouvé")</x:f>
        <x:v>International</x:v>
      </x:c>
      <x:c r="R470" t="str">
        <x:f>IF(OR(F470&lt;=0,G470&lt;0,G470&gt;F470,N470&lt;0,P470="Non trouvé"),"À vérifier","OK")</x:f>
        <x:v>OK</x:v>
      </x:c>
    </x:row>
    <x:row r="471">
      <x:c r="A471" t="str">
        <x:v>DV-2025-00470</x:v>
      </x:c>
      <x:c r="B471" s="16" t="n">
        <x:v>45869</x:v>
      </x:c>
      <x:c r="C471" t="str">
        <x:v>Client 30</x:v>
      </x:c>
      <x:c r="D471" t="str">
        <x:v>Logistique</x:v>
      </x:c>
      <x:c r="E471" t="str">
        <x:v>Pôle E</x:v>
      </x:c>
      <x:c r="F471" s="18" t="n">
        <x:v>874.38</x:v>
      </x:c>
      <x:c r="G471" s="18" t="n">
        <x:v>874.38</x:v>
      </x:c>
      <x:c r="H471" t="str">
        <x:v>Client 30</x:v>
      </x:c>
      <x:c r="I471" s="16" t="n">
        <x:v>45890</x:v>
      </x:c>
      <x:c r="J471" t="n">
        <x:f>YEAR(B471)</x:f>
        <x:v>2025</x:v>
      </x:c>
      <x:c r="K471" s="20" t="n">
        <x:f>DATE(YEAR(B471),MONTH(B471),1)</x:f>
        <x:v>45839</x:v>
      </x:c>
      <x:c r="L471" s="18" t="n">
        <x:f>F471-G471</x:f>
        <x:v>0</x:v>
      </x:c>
      <x:c r="M471" t="str">
        <x:f>IF(L471&lt;=0,"Payée",IF(G471=0,"Impayée","Partielle"))</x:f>
        <x:v>Payée</x:v>
      </x:c>
      <x:c r="N471" t="n">
        <x:f>IF(I471="","",I471-B471)</x:f>
        <x:v>21</x:v>
      </x:c>
      <x:c r="O471" t="str">
        <x:f>IF(TRIM(C471)&lt;&gt;TRIM(H471),"Oui","Non")</x:f>
        <x:v>Non</x:v>
      </x:c>
      <x:c r="P471" t="str">
        <x:f>IFERROR(INDEX('02_REFERENTIEL_CLIENTS'!$B$2:$B$51,MATCH(TRIM(C471),'02_REFERENTIEL_CLIENTS'!$A$2:$A$51,0)),"Non trouvé")</x:f>
        <x:v>Particuliers</x:v>
      </x:c>
      <x:c r="Q471" t="str">
        <x:f>IFERROR(INDEX('02_REFERENTIEL_CLIENTS'!$C$2:$C$51,MATCH(TRIM(C471),'02_REFERENTIEL_CLIENTS'!$A$2:$A$51,0)),"Non trouvé")</x:f>
        <x:v>International</x:v>
      </x:c>
      <x:c r="R471" t="str">
        <x:f>IF(OR(F471&lt;=0,G471&lt;0,G471&gt;F471,N471&lt;0,P471="Non trouvé"),"À vérifier","OK")</x:f>
        <x:v>OK</x:v>
      </x:c>
    </x:row>
    <x:row r="472">
      <x:c r="A472" t="str">
        <x:v>DV-2024-00471</x:v>
      </x:c>
      <x:c r="B472" s="16" t="n">
        <x:v>45465</x:v>
      </x:c>
      <x:c r="C472" t="str">
        <x:v>Client 05</x:v>
      </x:c>
      <x:c r="D472" t="str">
        <x:v>Express</x:v>
      </x:c>
      <x:c r="E472" t="str">
        <x:v>Pôle C</x:v>
      </x:c>
      <x:c r="F472" s="18" t="n">
        <x:v>15297.77</x:v>
      </x:c>
      <x:c r="G472" s="18" t="n">
        <x:v>15297.77</x:v>
      </x:c>
      <x:c r="H472" t="str">
        <x:v>Client 05</x:v>
      </x:c>
      <x:c r="I472" s="16" t="n">
        <x:v>45491</x:v>
      </x:c>
      <x:c r="J472" t="n">
        <x:f>YEAR(B472)</x:f>
        <x:v>2024</x:v>
      </x:c>
      <x:c r="K472" s="20" t="n">
        <x:f>DATE(YEAR(B472),MONTH(B472),1)</x:f>
        <x:v>45444</x:v>
      </x:c>
      <x:c r="L472" s="18" t="n">
        <x:f>F472-G472</x:f>
        <x:v>0</x:v>
      </x:c>
      <x:c r="M472" t="str">
        <x:f>IF(L472&lt;=0,"Payée",IF(G472=0,"Impayée","Partielle"))</x:f>
        <x:v>Payée</x:v>
      </x:c>
      <x:c r="N472" t="n">
        <x:f>IF(I472="","",I472-B472)</x:f>
        <x:v>26</x:v>
      </x:c>
      <x:c r="O472" t="str">
        <x:f>IF(TRIM(C472)&lt;&gt;TRIM(H472),"Oui","Non")</x:f>
        <x:v>Non</x:v>
      </x:c>
      <x:c r="P472" t="str">
        <x:f>IFERROR(INDEX('02_REFERENTIEL_CLIENTS'!$B$2:$B$51,MATCH(TRIM(C472),'02_REFERENTIEL_CLIENTS'!$A$2:$A$51,0)),"Non trouvé")</x:f>
        <x:v>PME</x:v>
      </x:c>
      <x:c r="Q472" t="str">
        <x:f>IFERROR(INDEX('02_REFERENTIEL_CLIENTS'!$C$2:$C$51,MATCH(TRIM(C472),'02_REFERENTIEL_CLIENTS'!$A$2:$A$51,0)),"Non trouvé")</x:f>
        <x:v>Europe</x:v>
      </x:c>
      <x:c r="R472" t="str">
        <x:f>IF(OR(F472&lt;=0,G472&lt;0,G472&gt;F472,N472&lt;0,P472="Non trouvé"),"À vérifier","OK")</x:f>
        <x:v>OK</x:v>
      </x:c>
    </x:row>
    <x:row r="473">
      <x:c r="A473" t="str">
        <x:v>DV-2026-00472</x:v>
      </x:c>
      <x:c r="B473" s="16" t="n">
        <x:v>46240</x:v>
      </x:c>
      <x:c r="C473" t="str">
        <x:v>Client 38</x:v>
      </x:c>
      <x:c r="D473" t="str">
        <x:v>Fret aérien</x:v>
      </x:c>
      <x:c r="E473" t="str">
        <x:v>Pôle C</x:v>
      </x:c>
      <x:c r="F473" s="18" t="n">
        <x:v>13355.35</x:v>
      </x:c>
      <x:c r="G473" s="18" t="n">
        <x:v>13355.35</x:v>
      </x:c>
      <x:c r="H473" t="str">
        <x:v>Client 38</x:v>
      </x:c>
      <x:c r="I473" s="16" t="n">
        <x:v>46304</x:v>
      </x:c>
      <x:c r="J473" t="n">
        <x:f>YEAR(B473)</x:f>
        <x:v>2026</x:v>
      </x:c>
      <x:c r="K473" s="20" t="n">
        <x:f>DATE(YEAR(B473),MONTH(B473),1)</x:f>
        <x:v>46235</x:v>
      </x:c>
      <x:c r="L473" s="18" t="n">
        <x:f>F473-G473</x:f>
        <x:v>0</x:v>
      </x:c>
      <x:c r="M473" t="str">
        <x:f>IF(L473&lt;=0,"Payée",IF(G473=0,"Impayée","Partielle"))</x:f>
        <x:v>Payée</x:v>
      </x:c>
      <x:c r="N473" t="n">
        <x:f>IF(I473="","",I473-B473)</x:f>
        <x:v>64</x:v>
      </x:c>
      <x:c r="O473" t="str">
        <x:f>IF(TRIM(C473)&lt;&gt;TRIM(H473),"Oui","Non")</x:f>
        <x:v>Non</x:v>
      </x:c>
      <x:c r="P473" t="str">
        <x:f>IFERROR(INDEX('02_REFERENTIEL_CLIENTS'!$B$2:$B$51,MATCH(TRIM(C473),'02_REFERENTIEL_CLIENTS'!$A$2:$A$51,0)),"Non trouvé")</x:f>
        <x:v>PME</x:v>
      </x:c>
      <x:c r="Q473" t="str">
        <x:f>IFERROR(INDEX('02_REFERENTIEL_CLIENTS'!$C$2:$C$51,MATCH(TRIM(C473),'02_REFERENTIEL_CLIENTS'!$A$2:$A$51,0)),"Non trouvé")</x:f>
        <x:v>Europe</x:v>
      </x:c>
      <x:c r="R473" t="str">
        <x:f>IF(OR(F473&lt;=0,G473&lt;0,G473&gt;F473,N473&lt;0,P473="Non trouvé"),"À vérifier","OK")</x:f>
        <x:v>OK</x:v>
      </x:c>
    </x:row>
    <x:row r="474">
      <x:c r="A474" t="str">
        <x:v>DV-2026-00473</x:v>
      </x:c>
      <x:c r="B474" s="16" t="n">
        <x:v>46231</x:v>
      </x:c>
      <x:c r="C474" t="str">
        <x:v>Client 08</x:v>
      </x:c>
      <x:c r="D474" t="str">
        <x:v>Logistique</x:v>
      </x:c>
      <x:c r="E474" t="str">
        <x:v>Pôle C</x:v>
      </x:c>
      <x:c r="F474" s="18" t="n">
        <x:v>4922.32</x:v>
      </x:c>
      <x:c r="G474" s="18" t="n">
        <x:v>746.74</x:v>
      </x:c>
      <x:c r="H474" t="str">
        <x:v>Client 19</x:v>
      </x:c>
      <x:c r="I474" s="16" t="n">
        <x:v>46305</x:v>
      </x:c>
      <x:c r="J474" t="n">
        <x:f>YEAR(B474)</x:f>
        <x:v>2026</x:v>
      </x:c>
      <x:c r="K474" s="20" t="n">
        <x:f>DATE(YEAR(B474),MONTH(B474),1)</x:f>
        <x:v>46204</x:v>
      </x:c>
      <x:c r="L474" s="18" t="n">
        <x:f>F474-G474</x:f>
        <x:v>4175.58</x:v>
      </x:c>
      <x:c r="M474" t="str">
        <x:f>IF(L474&lt;=0,"Payée",IF(G474=0,"Impayée","Partielle"))</x:f>
        <x:v>Partielle</x:v>
      </x:c>
      <x:c r="N474" t="n">
        <x:f>IF(I474="","",I474-B474)</x:f>
        <x:v>74</x:v>
      </x:c>
      <x:c r="O474" t="str">
        <x:f>IF(TRIM(C474)&lt;&gt;TRIM(H474),"Oui","Non")</x:f>
        <x:v>Oui</x:v>
      </x:c>
      <x:c r="P474" t="str">
        <x:f>IFERROR(INDEX('02_REFERENTIEL_CLIENTS'!$B$2:$B$51,MATCH(TRIM(C474),'02_REFERENTIEL_CLIENTS'!$A$2:$A$51,0)),"Non trouvé")</x:f>
        <x:v>PME</x:v>
      </x:c>
      <x:c r="Q474" t="str">
        <x:f>IFERROR(INDEX('02_REFERENTIEL_CLIENTS'!$C$2:$C$51,MATCH(TRIM(C474),'02_REFERENTIEL_CLIENTS'!$A$2:$A$51,0)),"Non trouvé")</x:f>
        <x:v>Europe</x:v>
      </x:c>
      <x:c r="R474" t="str">
        <x:f>IF(OR(F474&lt;=0,G474&lt;0,G474&gt;F474,N474&lt;0,P474="Non trouvé"),"À vérifier","OK")</x:f>
        <x:v>OK</x:v>
      </x:c>
    </x:row>
    <x:row r="475">
      <x:c r="A475" t="str">
        <x:v>DV-2024-00474</x:v>
      </x:c>
      <x:c r="B475" s="16" t="n">
        <x:v>45501</x:v>
      </x:c>
      <x:c r="C475" t="str">
        <x:v>Client 19</x:v>
      </x:c>
      <x:c r="D475" t="str">
        <x:v>Douane</x:v>
      </x:c>
      <x:c r="E475" t="str">
        <x:v>Pôle D</x:v>
      </x:c>
      <x:c r="F475" s="18" t="n">
        <x:v>5413.08</x:v>
      </x:c>
      <x:c r="G475" s="18" t="n">
        <x:v>5413.08</x:v>
      </x:c>
      <x:c r="H475" t="str">
        <x:v>Client 19</x:v>
      </x:c>
      <x:c r="I475" s="16" t="n">
        <x:v>45534</x:v>
      </x:c>
      <x:c r="J475" t="n">
        <x:f>YEAR(B475)</x:f>
        <x:v>2024</x:v>
      </x:c>
      <x:c r="K475" s="20" t="n">
        <x:f>DATE(YEAR(B475),MONTH(B475),1)</x:f>
        <x:v>45474</x:v>
      </x:c>
      <x:c r="L475" s="18" t="n">
        <x:f>F475-G475</x:f>
        <x:v>0</x:v>
      </x:c>
      <x:c r="M475" t="str">
        <x:f>IF(L475&lt;=0,"Payée",IF(G475=0,"Impayée","Partielle"))</x:f>
        <x:v>Payée</x:v>
      </x:c>
      <x:c r="N475" t="n">
        <x:f>IF(I475="","",I475-B475)</x:f>
        <x:v>33</x:v>
      </x:c>
      <x:c r="O475" t="str">
        <x:f>IF(TRIM(C475)&lt;&gt;TRIM(H475),"Oui","Non")</x:f>
        <x:v>Non</x:v>
      </x:c>
      <x:c r="P475" t="str">
        <x:f>IFERROR(INDEX('02_REFERENTIEL_CLIENTS'!$B$2:$B$51,MATCH(TRIM(C475),'02_REFERENTIEL_CLIENTS'!$A$2:$A$51,0)),"Non trouvé")</x:f>
        <x:v>Grands comptes</x:v>
      </x:c>
      <x:c r="Q475" t="str">
        <x:f>IFERROR(INDEX('02_REFERENTIEL_CLIENTS'!$C$2:$C$51,MATCH(TRIM(C475),'02_REFERENTIEL_CLIENTS'!$A$2:$A$51,0)),"Non trouvé")</x:f>
        <x:v>France</x:v>
      </x:c>
      <x:c r="R475" t="str">
        <x:f>IF(OR(F475&lt;=0,G475&lt;0,G475&gt;F475,N475&lt;0,P475="Non trouvé"),"À vérifier","OK")</x:f>
        <x:v>OK</x:v>
      </x:c>
    </x:row>
    <x:row r="476">
      <x:c r="A476" t="str">
        <x:v>DV-2026-00475</x:v>
      </x:c>
      <x:c r="B476" s="16" t="n">
        <x:v>46156</x:v>
      </x:c>
      <x:c r="C476" t="str">
        <x:v>Client 24</x:v>
      </x:c>
      <x:c r="D476" t="str">
        <x:v>Express</x:v>
      </x:c>
      <x:c r="E476" t="str">
        <x:v>Pôle B</x:v>
      </x:c>
      <x:c r="F476" s="18" t="n">
        <x:v>16691.84</x:v>
      </x:c>
      <x:c r="G476" s="18" t="n">
        <x:v>16691.84</x:v>
      </x:c>
      <x:c r="H476" t="str">
        <x:v>Client 24</x:v>
      </x:c>
      <x:c r="I476" s="16" t="n">
        <x:v>46195</x:v>
      </x:c>
      <x:c r="J476" t="n">
        <x:f>YEAR(B476)</x:f>
        <x:v>2026</x:v>
      </x:c>
      <x:c r="K476" s="20" t="n">
        <x:f>DATE(YEAR(B476),MONTH(B476),1)</x:f>
        <x:v>46143</x:v>
      </x:c>
      <x:c r="L476" s="18" t="n">
        <x:f>F476-G476</x:f>
        <x:v>0</x:v>
      </x:c>
      <x:c r="M476" t="str">
        <x:f>IF(L476&lt;=0,"Payée",IF(G476=0,"Impayée","Partielle"))</x:f>
        <x:v>Payée</x:v>
      </x:c>
      <x:c r="N476" t="n">
        <x:f>IF(I476="","",I476-B476)</x:f>
        <x:v>39</x:v>
      </x:c>
      <x:c r="O476" t="str">
        <x:f>IF(TRIM(C476)&lt;&gt;TRIM(H476),"Oui","Non")</x:f>
        <x:v>Non</x:v>
      </x:c>
      <x:c r="P476" t="str">
        <x:f>IFERROR(INDEX('02_REFERENTIEL_CLIENTS'!$B$2:$B$51,MATCH(TRIM(C476),'02_REFERENTIEL_CLIENTS'!$A$2:$A$51,0)),"Non trouvé")</x:f>
        <x:v>Particuliers</x:v>
      </x:c>
      <x:c r="Q476" t="str">
        <x:f>IFERROR(INDEX('02_REFERENTIEL_CLIENTS'!$C$2:$C$51,MATCH(TRIM(C476),'02_REFERENTIEL_CLIENTS'!$A$2:$A$51,0)),"Non trouvé")</x:f>
        <x:v>International</x:v>
      </x:c>
      <x:c r="R476" t="str">
        <x:f>IF(OR(F476&lt;=0,G476&lt;0,G476&gt;F476,N476&lt;0,P476="Non trouvé"),"À vérifier","OK")</x:f>
        <x:v>OK</x:v>
      </x:c>
    </x:row>
    <x:row r="477">
      <x:c r="A477" t="str">
        <x:v>DV-2025-00476</x:v>
      </x:c>
      <x:c r="B477" s="16" t="n">
        <x:v>45679</x:v>
      </x:c>
      <x:c r="C477" t="str">
        <x:v>Client 43</x:v>
      </x:c>
      <x:c r="D477" t="str">
        <x:v>Fret aérien</x:v>
      </x:c>
      <x:c r="E477" t="str">
        <x:v>Pôle B</x:v>
      </x:c>
      <x:c r="F477" s="18" t="n">
        <x:v>815.69</x:v>
      </x:c>
      <x:c r="G477" s="18" t="n">
        <x:v>815.69</x:v>
      </x:c>
      <x:c r="H477" t="str">
        <x:v>Client 43</x:v>
      </x:c>
      <x:c r="I477" s="16" t="n">
        <x:v>45766</x:v>
      </x:c>
      <x:c r="J477" t="n">
        <x:f>YEAR(B477)</x:f>
        <x:v>2025</x:v>
      </x:c>
      <x:c r="K477" s="20" t="n">
        <x:f>DATE(YEAR(B477),MONTH(B477),1)</x:f>
        <x:v>45658</x:v>
      </x:c>
      <x:c r="L477" s="18" t="n">
        <x:f>F477-G477</x:f>
        <x:v>0</x:v>
      </x:c>
      <x:c r="M477" t="str">
        <x:f>IF(L477&lt;=0,"Payée",IF(G477=0,"Impayée","Partielle"))</x:f>
        <x:v>Payée</x:v>
      </x:c>
      <x:c r="N477" t="n">
        <x:f>IF(I477="","",I477-B477)</x:f>
        <x:v>87</x:v>
      </x:c>
      <x:c r="O477" t="str">
        <x:f>IF(TRIM(C477)&lt;&gt;TRIM(H477),"Oui","Non")</x:f>
        <x:v>Non</x:v>
      </x:c>
      <x:c r="P477" t="str">
        <x:f>IFERROR(INDEX('02_REFERENTIEL_CLIENTS'!$B$2:$B$51,MATCH(TRIM(C477),'02_REFERENTIEL_CLIENTS'!$A$2:$A$51,0)),"Non trouvé")</x:f>
        <x:v>Grands comptes</x:v>
      </x:c>
      <x:c r="Q477" t="str">
        <x:f>IFERROR(INDEX('02_REFERENTIEL_CLIENTS'!$C$2:$C$51,MATCH(TRIM(C477),'02_REFERENTIEL_CLIENTS'!$A$2:$A$51,0)),"Non trouvé")</x:f>
        <x:v>France</x:v>
      </x:c>
      <x:c r="R477" t="str">
        <x:f>IF(OR(F477&lt;=0,G477&lt;0,G477&gt;F477,N477&lt;0,P477="Non trouvé"),"À vérifier","OK")</x:f>
        <x:v>OK</x:v>
      </x:c>
    </x:row>
    <x:row r="478">
      <x:c r="A478" t="str">
        <x:v>DV-2026-00477</x:v>
      </x:c>
      <x:c r="B478" s="16" t="n">
        <x:v>46060</x:v>
      </x:c>
      <x:c r="C478" t="str">
        <x:v>Client 36</x:v>
      </x:c>
      <x:c r="D478" t="str">
        <x:v>Express</x:v>
      </x:c>
      <x:c r="E478" t="str">
        <x:v>Pôle A</x:v>
      </x:c>
      <x:c r="F478" s="18" t="n">
        <x:v>17372.3</x:v>
      </x:c>
      <x:c r="G478" s="18" t="n">
        <x:v>17372.3</x:v>
      </x:c>
      <x:c r="H478" t="str">
        <x:v>Client 36</x:v>
      </x:c>
      <x:c r="I478" s="16" t="n">
        <x:v>46065</x:v>
      </x:c>
      <x:c r="J478" t="n">
        <x:f>YEAR(B478)</x:f>
        <x:v>2026</x:v>
      </x:c>
      <x:c r="K478" s="20" t="n">
        <x:f>DATE(YEAR(B478),MONTH(B478),1)</x:f>
        <x:v>46054</x:v>
      </x:c>
      <x:c r="L478" s="18" t="n">
        <x:f>F478-G478</x:f>
        <x:v>0</x:v>
      </x:c>
      <x:c r="M478" t="str">
        <x:f>IF(L478&lt;=0,"Payée",IF(G478=0,"Impayée","Partielle"))</x:f>
        <x:v>Payée</x:v>
      </x:c>
      <x:c r="N478" t="n">
        <x:f>IF(I478="","",I478-B478)</x:f>
        <x:v>5</x:v>
      </x:c>
      <x:c r="O478" t="str">
        <x:f>IF(TRIM(C478)&lt;&gt;TRIM(H478),"Oui","Non")</x:f>
        <x:v>Non</x:v>
      </x:c>
      <x:c r="P478" t="str">
        <x:f>IFERROR(INDEX('02_REFERENTIEL_CLIENTS'!$B$2:$B$51,MATCH(TRIM(C478),'02_REFERENTIEL_CLIENTS'!$A$2:$A$51,0)),"Non trouvé")</x:f>
        <x:v>Particuliers</x:v>
      </x:c>
      <x:c r="Q478" t="str">
        <x:f>IFERROR(INDEX('02_REFERENTIEL_CLIENTS'!$C$2:$C$51,MATCH(TRIM(C478),'02_REFERENTIEL_CLIENTS'!$A$2:$A$51,0)),"Non trouvé")</x:f>
        <x:v>International</x:v>
      </x:c>
      <x:c r="R478" t="str">
        <x:f>IF(OR(F478&lt;=0,G478&lt;0,G478&gt;F478,N478&lt;0,P478="Non trouvé"),"À vérifier","OK")</x:f>
        <x:v>OK</x:v>
      </x:c>
    </x:row>
    <x:row r="479">
      <x:c r="A479" t="str">
        <x:v>DV-2025-00478</x:v>
      </x:c>
      <x:c r="B479" s="16" t="n">
        <x:v>45919</x:v>
      </x:c>
      <x:c r="C479" t="str">
        <x:v>Client 24</x:v>
      </x:c>
      <x:c r="D479" t="str">
        <x:v>Fret maritime</x:v>
      </x:c>
      <x:c r="E479" t="str">
        <x:v>Pôle E</x:v>
      </x:c>
      <x:c r="F479" s="18" t="n">
        <x:v>8670.98</x:v>
      </x:c>
      <x:c r="G479" s="18" t="n">
        <x:v>8670.98</x:v>
      </x:c>
      <x:c r="H479" t="str">
        <x:v>Client 24</x:v>
      </x:c>
      <x:c r="I479" s="16" t="n">
        <x:v>46012</x:v>
      </x:c>
      <x:c r="J479" t="n">
        <x:f>YEAR(B479)</x:f>
        <x:v>2025</x:v>
      </x:c>
      <x:c r="K479" s="20" t="n">
        <x:f>DATE(YEAR(B479),MONTH(B479),1)</x:f>
        <x:v>45901</x:v>
      </x:c>
      <x:c r="L479" s="18" t="n">
        <x:f>F479-G479</x:f>
        <x:v>0</x:v>
      </x:c>
      <x:c r="M479" t="str">
        <x:f>IF(L479&lt;=0,"Payée",IF(G479=0,"Impayée","Partielle"))</x:f>
        <x:v>Payée</x:v>
      </x:c>
      <x:c r="N479" t="n">
        <x:f>IF(I479="","",I479-B479)</x:f>
        <x:v>93</x:v>
      </x:c>
      <x:c r="O479" t="str">
        <x:f>IF(TRIM(C479)&lt;&gt;TRIM(H479),"Oui","Non")</x:f>
        <x:v>Non</x:v>
      </x:c>
      <x:c r="P479" t="str">
        <x:f>IFERROR(INDEX('02_REFERENTIEL_CLIENTS'!$B$2:$B$51,MATCH(TRIM(C479),'02_REFERENTIEL_CLIENTS'!$A$2:$A$51,0)),"Non trouvé")</x:f>
        <x:v>Particuliers</x:v>
      </x:c>
      <x:c r="Q479" t="str">
        <x:f>IFERROR(INDEX('02_REFERENTIEL_CLIENTS'!$C$2:$C$51,MATCH(TRIM(C479),'02_REFERENTIEL_CLIENTS'!$A$2:$A$51,0)),"Non trouvé")</x:f>
        <x:v>International</x:v>
      </x:c>
      <x:c r="R479" t="str">
        <x:f>IF(OR(F479&lt;=0,G479&lt;0,G479&gt;F479,N479&lt;0,P479="Non trouvé"),"À vérifier","OK")</x:f>
        <x:v>OK</x:v>
      </x:c>
    </x:row>
    <x:row r="480">
      <x:c r="A480" t="str">
        <x:v>DV-2024-00479</x:v>
      </x:c>
      <x:c r="B480" s="16" t="n">
        <x:v>45315</x:v>
      </x:c>
      <x:c r="C480" t="str">
        <x:v>Client 31</x:v>
      </x:c>
      <x:c r="D480" t="str">
        <x:v>Express</x:v>
      </x:c>
      <x:c r="E480" t="str">
        <x:v>Pôle C</x:v>
      </x:c>
      <x:c r="F480" s="18" t="n">
        <x:v>17282.95</x:v>
      </x:c>
      <x:c r="G480" s="18" t="n">
        <x:v>17282.95</x:v>
      </x:c>
      <x:c r="H480" t="str">
        <x:v>Client 31</x:v>
      </x:c>
      <x:c r="I480" s="16" t="n">
        <x:v>45354</x:v>
      </x:c>
      <x:c r="J480" t="n">
        <x:f>YEAR(B480)</x:f>
        <x:v>2024</x:v>
      </x:c>
      <x:c r="K480" s="20" t="n">
        <x:f>DATE(YEAR(B480),MONTH(B480),1)</x:f>
        <x:v>45292</x:v>
      </x:c>
      <x:c r="L480" s="18" t="n">
        <x:f>F480-G480</x:f>
        <x:v>0</x:v>
      </x:c>
      <x:c r="M480" t="str">
        <x:f>IF(L480&lt;=0,"Payée",IF(G480=0,"Impayée","Partielle"))</x:f>
        <x:v>Payée</x:v>
      </x:c>
      <x:c r="N480" t="n">
        <x:f>IF(I480="","",I480-B480)</x:f>
        <x:v>39</x:v>
      </x:c>
      <x:c r="O480" t="str">
        <x:f>IF(TRIM(C480)&lt;&gt;TRIM(H480),"Oui","Non")</x:f>
        <x:v>Non</x:v>
      </x:c>
      <x:c r="P480" t="str">
        <x:f>IFERROR(INDEX('02_REFERENTIEL_CLIENTS'!$B$2:$B$51,MATCH(TRIM(C480),'02_REFERENTIEL_CLIENTS'!$A$2:$A$51,0)),"Non trouvé")</x:f>
        <x:v>Grands comptes</x:v>
      </x:c>
      <x:c r="Q480" t="str">
        <x:f>IFERROR(INDEX('02_REFERENTIEL_CLIENTS'!$C$2:$C$51,MATCH(TRIM(C480),'02_REFERENTIEL_CLIENTS'!$A$2:$A$51,0)),"Non trouvé")</x:f>
        <x:v>France</x:v>
      </x:c>
      <x:c r="R480" t="str">
        <x:f>IF(OR(F480&lt;=0,G480&lt;0,G480&gt;F480,N480&lt;0,P480="Non trouvé"),"À vérifier","OK")</x:f>
        <x:v>OK</x:v>
      </x:c>
    </x:row>
    <x:row r="481">
      <x:c r="A481" t="str">
        <x:v>DV-2026-00480</x:v>
      </x:c>
      <x:c r="B481" s="16" t="n">
        <x:v>46056</x:v>
      </x:c>
      <x:c r="C481" t="str">
        <x:v>Client 18</x:v>
      </x:c>
      <x:c r="D481" t="str">
        <x:v>Express</x:v>
      </x:c>
      <x:c r="E481" t="str">
        <x:v>Pôle B</x:v>
      </x:c>
      <x:c r="F481" s="18" t="n">
        <x:v>10301.1</x:v>
      </x:c>
      <x:c r="G481" s="18" t="n">
        <x:v>10301.1</x:v>
      </x:c>
      <x:c r="H481" t="str">
        <x:v>Client 18</x:v>
      </x:c>
      <x:c r="I481" s="16" t="n">
        <x:v>46126</x:v>
      </x:c>
      <x:c r="J481" t="n">
        <x:f>YEAR(B481)</x:f>
        <x:v>2026</x:v>
      </x:c>
      <x:c r="K481" s="20" t="n">
        <x:f>DATE(YEAR(B481),MONTH(B481),1)</x:f>
        <x:v>46054</x:v>
      </x:c>
      <x:c r="L481" s="18" t="n">
        <x:f>F481-G481</x:f>
        <x:v>0</x:v>
      </x:c>
      <x:c r="M481" t="str">
        <x:f>IF(L481&lt;=0,"Payée",IF(G481=0,"Impayée","Partielle"))</x:f>
        <x:v>Payée</x:v>
      </x:c>
      <x:c r="N481" t="n">
        <x:f>IF(I481="","",I481-B481)</x:f>
        <x:v>70</x:v>
      </x:c>
      <x:c r="O481" t="str">
        <x:f>IF(TRIM(C481)&lt;&gt;TRIM(H481),"Oui","Non")</x:f>
        <x:v>Non</x:v>
      </x:c>
      <x:c r="P481" t="str">
        <x:f>IFERROR(INDEX('02_REFERENTIEL_CLIENTS'!$B$2:$B$51,MATCH(TRIM(C481),'02_REFERENTIEL_CLIENTS'!$A$2:$A$51,0)),"Non trouvé")</x:f>
        <x:v>Particuliers</x:v>
      </x:c>
      <x:c r="Q481" t="str">
        <x:f>IFERROR(INDEX('02_REFERENTIEL_CLIENTS'!$C$2:$C$51,MATCH(TRIM(C481),'02_REFERENTIEL_CLIENTS'!$A$2:$A$51,0)),"Non trouvé")</x:f>
        <x:v>International</x:v>
      </x:c>
      <x:c r="R481" t="str">
        <x:f>IF(OR(F481&lt;=0,G481&lt;0,G481&gt;F481,N481&lt;0,P481="Non trouvé"),"À vérifier","OK")</x:f>
        <x:v>OK</x:v>
      </x:c>
    </x:row>
    <x:row r="482">
      <x:c r="A482" t="str">
        <x:v>DV-2026-00481</x:v>
      </x:c>
      <x:c r="B482" s="16" t="n">
        <x:v>46166</x:v>
      </x:c>
      <x:c r="C482" t="str">
        <x:v>Client 30</x:v>
      </x:c>
      <x:c r="D482" t="str">
        <x:v>Logistique</x:v>
      </x:c>
      <x:c r="E482" t="str">
        <x:v>Pôle E</x:v>
      </x:c>
      <x:c r="F482" s="18" t="n">
        <x:v>2070.79</x:v>
      </x:c>
      <x:c r="G482" s="18" t="n">
        <x:v>2070.79</x:v>
      </x:c>
      <x:c r="H482" t="str">
        <x:v>Client 30</x:v>
      </x:c>
      <x:c r="I482" s="16" t="n">
        <x:v>46186</x:v>
      </x:c>
      <x:c r="J482" t="n">
        <x:f>YEAR(B482)</x:f>
        <x:v>2026</x:v>
      </x:c>
      <x:c r="K482" s="20" t="n">
        <x:f>DATE(YEAR(B482),MONTH(B482),1)</x:f>
        <x:v>46143</x:v>
      </x:c>
      <x:c r="L482" s="18" t="n">
        <x:f>F482-G482</x:f>
        <x:v>0</x:v>
      </x:c>
      <x:c r="M482" t="str">
        <x:f>IF(L482&lt;=0,"Payée",IF(G482=0,"Impayée","Partielle"))</x:f>
        <x:v>Payée</x:v>
      </x:c>
      <x:c r="N482" t="n">
        <x:f>IF(I482="","",I482-B482)</x:f>
        <x:v>20</x:v>
      </x:c>
      <x:c r="O482" t="str">
        <x:f>IF(TRIM(C482)&lt;&gt;TRIM(H482),"Oui","Non")</x:f>
        <x:v>Non</x:v>
      </x:c>
      <x:c r="P482" t="str">
        <x:f>IFERROR(INDEX('02_REFERENTIEL_CLIENTS'!$B$2:$B$51,MATCH(TRIM(C482),'02_REFERENTIEL_CLIENTS'!$A$2:$A$51,0)),"Non trouvé")</x:f>
        <x:v>Particuliers</x:v>
      </x:c>
      <x:c r="Q482" t="str">
        <x:f>IFERROR(INDEX('02_REFERENTIEL_CLIENTS'!$C$2:$C$51,MATCH(TRIM(C482),'02_REFERENTIEL_CLIENTS'!$A$2:$A$51,0)),"Non trouvé")</x:f>
        <x:v>International</x:v>
      </x:c>
      <x:c r="R482" t="str">
        <x:f>IF(OR(F482&lt;=0,G482&lt;0,G482&gt;F482,N482&lt;0,P482="Non trouvé"),"À vérifier","OK")</x:f>
        <x:v>OK</x:v>
      </x:c>
    </x:row>
    <x:row r="483">
      <x:c r="A483" t="str">
        <x:v>DV-2025-00482</x:v>
      </x:c>
      <x:c r="B483" s="16" t="n">
        <x:v>45861</x:v>
      </x:c>
      <x:c r="C483" t="str">
        <x:v>Client 25</x:v>
      </x:c>
      <x:c r="D483" t="str">
        <x:v>Fret maritime</x:v>
      </x:c>
      <x:c r="E483" t="str">
        <x:v>Pôle C</x:v>
      </x:c>
      <x:c r="F483" s="18" t="n">
        <x:v>12619.95</x:v>
      </x:c>
      <x:c r="G483" s="18" t="n">
        <x:v>12619.95</x:v>
      </x:c>
      <x:c r="H483" t="str">
        <x:v>Client 25</x:v>
      </x:c>
      <x:c r="I483" s="16" t="n">
        <x:v>45863</x:v>
      </x:c>
      <x:c r="J483" t="n">
        <x:f>YEAR(B483)</x:f>
        <x:v>2025</x:v>
      </x:c>
      <x:c r="K483" s="20" t="n">
        <x:f>DATE(YEAR(B483),MONTH(B483),1)</x:f>
        <x:v>45839</x:v>
      </x:c>
      <x:c r="L483" s="18" t="n">
        <x:f>F483-G483</x:f>
        <x:v>0</x:v>
      </x:c>
      <x:c r="M483" t="str">
        <x:f>IF(L483&lt;=0,"Payée",IF(G483=0,"Impayée","Partielle"))</x:f>
        <x:v>Payée</x:v>
      </x:c>
      <x:c r="N483" t="n">
        <x:f>IF(I483="","",I483-B483)</x:f>
        <x:v>2</x:v>
      </x:c>
      <x:c r="O483" t="str">
        <x:f>IF(TRIM(C483)&lt;&gt;TRIM(H483),"Oui","Non")</x:f>
        <x:v>Non</x:v>
      </x:c>
      <x:c r="P483" t="str">
        <x:f>IFERROR(INDEX('02_REFERENTIEL_CLIENTS'!$B$2:$B$51,MATCH(TRIM(C483),'02_REFERENTIEL_CLIENTS'!$A$2:$A$51,0)),"Non trouvé")</x:f>
        <x:v>Grands comptes</x:v>
      </x:c>
      <x:c r="Q483" t="str">
        <x:f>IFERROR(INDEX('02_REFERENTIEL_CLIENTS'!$C$2:$C$51,MATCH(TRIM(C483),'02_REFERENTIEL_CLIENTS'!$A$2:$A$51,0)),"Non trouvé")</x:f>
        <x:v>France</x:v>
      </x:c>
      <x:c r="R483" t="str">
        <x:f>IF(OR(F483&lt;=0,G483&lt;0,G483&gt;F483,N483&lt;0,P483="Non trouvé"),"À vérifier","OK")</x:f>
        <x:v>OK</x:v>
      </x:c>
    </x:row>
    <x:row r="484">
      <x:c r="A484" t="str">
        <x:v>DV-2026-00483</x:v>
      </x:c>
      <x:c r="B484" s="16" t="n">
        <x:v>46233</x:v>
      </x:c>
      <x:c r="C484" t="str">
        <x:v>Client 10</x:v>
      </x:c>
      <x:c r="D484" t="str">
        <x:v>Fret maritime</x:v>
      </x:c>
      <x:c r="E484" t="str">
        <x:v>Pôle B</x:v>
      </x:c>
      <x:c r="F484" s="18" t="n">
        <x:v>19352.28</x:v>
      </x:c>
      <x:c r="G484" s="18" t="n">
        <x:v>5595.29</x:v>
      </x:c>
      <x:c r="H484" t="str">
        <x:v>Client 20</x:v>
      </x:c>
      <x:c r="I484" s="16" t="n">
        <x:v>46317</x:v>
      </x:c>
      <x:c r="J484" t="n">
        <x:f>YEAR(B484)</x:f>
        <x:v>2026</x:v>
      </x:c>
      <x:c r="K484" s="20" t="n">
        <x:f>DATE(YEAR(B484),MONTH(B484),1)</x:f>
        <x:v>46204</x:v>
      </x:c>
      <x:c r="L484" s="18" t="n">
        <x:f>F484-G484</x:f>
        <x:v>13756.989999999998</x:v>
      </x:c>
      <x:c r="M484" t="str">
        <x:f>IF(L484&lt;=0,"Payée",IF(G484=0,"Impayée","Partielle"))</x:f>
        <x:v>Partielle</x:v>
      </x:c>
      <x:c r="N484" t="n">
        <x:f>IF(I484="","",I484-B484)</x:f>
        <x:v>84</x:v>
      </x:c>
      <x:c r="O484" t="str">
        <x:f>IF(TRIM(C484)&lt;&gt;TRIM(H484),"Oui","Non")</x:f>
        <x:v>Oui</x:v>
      </x:c>
      <x:c r="P484" t="str">
        <x:f>IFERROR(INDEX('02_REFERENTIEL_CLIENTS'!$B$2:$B$51,MATCH(TRIM(C484),'02_REFERENTIEL_CLIENTS'!$A$2:$A$51,0)),"Non trouvé")</x:f>
        <x:v>Grands comptes</x:v>
      </x:c>
      <x:c r="Q484" t="str">
        <x:f>IFERROR(INDEX('02_REFERENTIEL_CLIENTS'!$C$2:$C$51,MATCH(TRIM(C484),'02_REFERENTIEL_CLIENTS'!$A$2:$A$51,0)),"Non trouvé")</x:f>
        <x:v>France</x:v>
      </x:c>
      <x:c r="R484" t="str">
        <x:f>IF(OR(F484&lt;=0,G484&lt;0,G484&gt;F484,N484&lt;0,P484="Non trouvé"),"À vérifier","OK")</x:f>
        <x:v>OK</x:v>
      </x:c>
    </x:row>
    <x:row r="485">
      <x:c r="A485" t="str">
        <x:v>DV-2024-00484</x:v>
      </x:c>
      <x:c r="B485" s="16" t="n">
        <x:v>45486</x:v>
      </x:c>
      <x:c r="C485" t="str">
        <x:v>Client 37</x:v>
      </x:c>
      <x:c r="D485" t="str">
        <x:v>Express</x:v>
      </x:c>
      <x:c r="E485" t="str">
        <x:v>Pôle E</x:v>
      </x:c>
      <x:c r="F485" s="18" t="n">
        <x:v>1280.43</x:v>
      </x:c>
      <x:c r="G485" s="18" t="n">
        <x:v>0</x:v>
      </x:c>
      <x:c r="H485" t="str">
        <x:v>Client 37</x:v>
      </x:c>
      <x:c r="I485" s="16"/>
      <x:c r="J485" t="n">
        <x:f>YEAR(B485)</x:f>
        <x:v>2024</x:v>
      </x:c>
      <x:c r="K485" s="20" t="n">
        <x:f>DATE(YEAR(B485),MONTH(B485),1)</x:f>
        <x:v>45474</x:v>
      </x:c>
      <x:c r="L485" s="18" t="n">
        <x:f>F485-G485</x:f>
        <x:v>1280.43</x:v>
      </x:c>
      <x:c r="M485" t="str">
        <x:f>IF(L485&lt;=0,"Payée",IF(G485=0,"Impayée","Partielle"))</x:f>
        <x:v>Impayée</x:v>
      </x:c>
      <x:c r="N485" t="str">
        <x:f>IF(I485="","",I485-B485)</x:f>
      </x:c>
      <x:c r="O485" t="str">
        <x:f>IF(TRIM(C485)&lt;&gt;TRIM(H485),"Oui","Non")</x:f>
        <x:v>Non</x:v>
      </x:c>
      <x:c r="P485" t="str">
        <x:f>IFERROR(INDEX('02_REFERENTIEL_CLIENTS'!$B$2:$B$51,MATCH(TRIM(C485),'02_REFERENTIEL_CLIENTS'!$A$2:$A$51,0)),"Non trouvé")</x:f>
        <x:v>Grands comptes</x:v>
      </x:c>
      <x:c r="Q485" t="str">
        <x:f>IFERROR(INDEX('02_REFERENTIEL_CLIENTS'!$C$2:$C$51,MATCH(TRIM(C485),'02_REFERENTIEL_CLIENTS'!$A$2:$A$51,0)),"Non trouvé")</x:f>
        <x:v>France</x:v>
      </x:c>
      <x:c r="R485" t="str">
        <x:f>IF(OR(F485&lt;=0,G485&lt;0,G485&gt;F485,N485&lt;0,P485="Non trouvé"),"À vérifier","OK")</x:f>
        <x:v>OK</x:v>
      </x:c>
    </x:row>
    <x:row r="486">
      <x:c r="A486" t="str">
        <x:v>DV-2025-00485</x:v>
      </x:c>
      <x:c r="B486" s="16" t="n">
        <x:v>45716</x:v>
      </x:c>
      <x:c r="C486" t="str">
        <x:v>Client 35</x:v>
      </x:c>
      <x:c r="D486" t="str">
        <x:v>Logistique</x:v>
      </x:c>
      <x:c r="E486" t="str">
        <x:v>Pôle A</x:v>
      </x:c>
      <x:c r="F486" s="18" t="n">
        <x:v>5426.89</x:v>
      </x:c>
      <x:c r="G486" s="18" t="n">
        <x:v>5426.89</x:v>
      </x:c>
      <x:c r="H486" t="str">
        <x:v>Client 35</x:v>
      </x:c>
      <x:c r="I486" s="16" t="n">
        <x:v>45801</x:v>
      </x:c>
      <x:c r="J486" t="n">
        <x:f>YEAR(B486)</x:f>
        <x:v>2025</x:v>
      </x:c>
      <x:c r="K486" s="20" t="n">
        <x:f>DATE(YEAR(B486),MONTH(B486),1)</x:f>
        <x:v>45689</x:v>
      </x:c>
      <x:c r="L486" s="18" t="n">
        <x:f>F486-G486</x:f>
        <x:v>0</x:v>
      </x:c>
      <x:c r="M486" t="str">
        <x:f>IF(L486&lt;=0,"Payée",IF(G486=0,"Impayée","Partielle"))</x:f>
        <x:v>Payée</x:v>
      </x:c>
      <x:c r="N486" t="n">
        <x:f>IF(I486="","",I486-B486)</x:f>
        <x:v>85</x:v>
      </x:c>
      <x:c r="O486" t="str">
        <x:f>IF(TRIM(C486)&lt;&gt;TRIM(H486),"Oui","Non")</x:f>
        <x:v>Non</x:v>
      </x:c>
      <x:c r="P486" t="str">
        <x:f>IFERROR(INDEX('02_REFERENTIEL_CLIENTS'!$B$2:$B$51,MATCH(TRIM(C486),'02_REFERENTIEL_CLIENTS'!$A$2:$A$51,0)),"Non trouvé")</x:f>
        <x:v>PME</x:v>
      </x:c>
      <x:c r="Q486" t="str">
        <x:f>IFERROR(INDEX('02_REFERENTIEL_CLIENTS'!$C$2:$C$51,MATCH(TRIM(C486),'02_REFERENTIEL_CLIENTS'!$A$2:$A$51,0)),"Non trouvé")</x:f>
        <x:v>Europe</x:v>
      </x:c>
      <x:c r="R486" t="str">
        <x:f>IF(OR(F486&lt;=0,G486&lt;0,G486&gt;F486,N486&lt;0,P486="Non trouvé"),"À vérifier","OK")</x:f>
        <x:v>OK</x:v>
      </x:c>
    </x:row>
    <x:row r="487">
      <x:c r="A487" t="str">
        <x:v>DV-2025-00486</x:v>
      </x:c>
      <x:c r="B487" s="16" t="n">
        <x:v>45915</x:v>
      </x:c>
      <x:c r="C487" t="str">
        <x:v>Client 26</x:v>
      </x:c>
      <x:c r="D487" t="str">
        <x:v>Logistique</x:v>
      </x:c>
      <x:c r="E487" t="str">
        <x:v>Pôle E</x:v>
      </x:c>
      <x:c r="F487" s="18" t="n">
        <x:v>13126.36</x:v>
      </x:c>
      <x:c r="G487" s="18" t="n">
        <x:v>13126.36</x:v>
      </x:c>
      <x:c r="H487" t="str">
        <x:v>Client 26</x:v>
      </x:c>
      <x:c r="I487" s="16" t="n">
        <x:v>45942</x:v>
      </x:c>
      <x:c r="J487" t="n">
        <x:f>YEAR(B487)</x:f>
        <x:v>2025</x:v>
      </x:c>
      <x:c r="K487" s="20" t="n">
        <x:f>DATE(YEAR(B487),MONTH(B487),1)</x:f>
        <x:v>45901</x:v>
      </x:c>
      <x:c r="L487" s="18" t="n">
        <x:f>F487-G487</x:f>
        <x:v>0</x:v>
      </x:c>
      <x:c r="M487" t="str">
        <x:f>IF(L487&lt;=0,"Payée",IF(G487=0,"Impayée","Partielle"))</x:f>
        <x:v>Payée</x:v>
      </x:c>
      <x:c r="N487" t="n">
        <x:f>IF(I487="","",I487-B487)</x:f>
        <x:v>27</x:v>
      </x:c>
      <x:c r="O487" t="str">
        <x:f>IF(TRIM(C487)&lt;&gt;TRIM(H487),"Oui","Non")</x:f>
        <x:v>Non</x:v>
      </x:c>
      <x:c r="P487" t="str">
        <x:f>IFERROR(INDEX('02_REFERENTIEL_CLIENTS'!$B$2:$B$51,MATCH(TRIM(C487),'02_REFERENTIEL_CLIENTS'!$A$2:$A$51,0)),"Non trouvé")</x:f>
        <x:v>PME</x:v>
      </x:c>
      <x:c r="Q487" t="str">
        <x:f>IFERROR(INDEX('02_REFERENTIEL_CLIENTS'!$C$2:$C$51,MATCH(TRIM(C487),'02_REFERENTIEL_CLIENTS'!$A$2:$A$51,0)),"Non trouvé")</x:f>
        <x:v>Europe</x:v>
      </x:c>
      <x:c r="R487" t="str">
        <x:f>IF(OR(F487&lt;=0,G487&lt;0,G487&gt;F487,N487&lt;0,P487="Non trouvé"),"À vérifier","OK")</x:f>
        <x:v>OK</x:v>
      </x:c>
    </x:row>
    <x:row r="488">
      <x:c r="A488" t="str">
        <x:v>DV-2025-00487</x:v>
      </x:c>
      <x:c r="B488" s="16" t="n">
        <x:v>45948</x:v>
      </x:c>
      <x:c r="C488" t="str">
        <x:v>Client 32</x:v>
      </x:c>
      <x:c r="D488" t="str">
        <x:v>Fret aérien</x:v>
      </x:c>
      <x:c r="E488" t="str">
        <x:v>Pôle C</x:v>
      </x:c>
      <x:c r="F488" s="18" t="n">
        <x:v>6995.14</x:v>
      </x:c>
      <x:c r="G488" s="18" t="n">
        <x:v>6995.14</x:v>
      </x:c>
      <x:c r="H488" t="str">
        <x:v>Client 27</x:v>
      </x:c>
      <x:c r="I488" s="16" t="n">
        <x:v>45965</x:v>
      </x:c>
      <x:c r="J488" t="n">
        <x:f>YEAR(B488)</x:f>
        <x:v>2025</x:v>
      </x:c>
      <x:c r="K488" s="20" t="n">
        <x:f>DATE(YEAR(B488),MONTH(B488),1)</x:f>
        <x:v>45931</x:v>
      </x:c>
      <x:c r="L488" s="18" t="n">
        <x:f>F488-G488</x:f>
        <x:v>0</x:v>
      </x:c>
      <x:c r="M488" t="str">
        <x:f>IF(L488&lt;=0,"Payée",IF(G488=0,"Impayée","Partielle"))</x:f>
        <x:v>Payée</x:v>
      </x:c>
      <x:c r="N488" t="n">
        <x:f>IF(I488="","",I488-B488)</x:f>
        <x:v>17</x:v>
      </x:c>
      <x:c r="O488" t="str">
        <x:f>IF(TRIM(C488)&lt;&gt;TRIM(H488),"Oui","Non")</x:f>
        <x:v>Oui</x:v>
      </x:c>
      <x:c r="P488" t="str">
        <x:f>IFERROR(INDEX('02_REFERENTIEL_CLIENTS'!$B$2:$B$51,MATCH(TRIM(C488),'02_REFERENTIEL_CLIENTS'!$A$2:$A$51,0)),"Non trouvé")</x:f>
        <x:v>PME</x:v>
      </x:c>
      <x:c r="Q488" t="str">
        <x:f>IFERROR(INDEX('02_REFERENTIEL_CLIENTS'!$C$2:$C$51,MATCH(TRIM(C488),'02_REFERENTIEL_CLIENTS'!$A$2:$A$51,0)),"Non trouvé")</x:f>
        <x:v>Europe</x:v>
      </x:c>
      <x:c r="R488" t="str">
        <x:f>IF(OR(F488&lt;=0,G488&lt;0,G488&gt;F488,N488&lt;0,P488="Non trouvé"),"À vérifier","OK")</x:f>
        <x:v>OK</x:v>
      </x:c>
    </x:row>
    <x:row r="489">
      <x:c r="A489" t="str">
        <x:v>DV-2024-00488</x:v>
      </x:c>
      <x:c r="B489" s="16" t="n">
        <x:v>45564</x:v>
      </x:c>
      <x:c r="C489" t="str">
        <x:v>Client 18</x:v>
      </x:c>
      <x:c r="D489" t="str">
        <x:v>Fret aérien</x:v>
      </x:c>
      <x:c r="E489" t="str">
        <x:v>Pôle A</x:v>
      </x:c>
      <x:c r="F489" s="18" t="n">
        <x:v>1305.01</x:v>
      </x:c>
      <x:c r="G489" s="18" t="n">
        <x:v>1305.01</x:v>
      </x:c>
      <x:c r="H489" t="str">
        <x:v>Client 16</x:v>
      </x:c>
      <x:c r="I489" s="16" t="n">
        <x:v>45622</x:v>
      </x:c>
      <x:c r="J489" t="n">
        <x:f>YEAR(B489)</x:f>
        <x:v>2024</x:v>
      </x:c>
      <x:c r="K489" s="20" t="n">
        <x:f>DATE(YEAR(B489),MONTH(B489),1)</x:f>
        <x:v>45536</x:v>
      </x:c>
      <x:c r="L489" s="18" t="n">
        <x:f>F489-G489</x:f>
        <x:v>0</x:v>
      </x:c>
      <x:c r="M489" t="str">
        <x:f>IF(L489&lt;=0,"Payée",IF(G489=0,"Impayée","Partielle"))</x:f>
        <x:v>Payée</x:v>
      </x:c>
      <x:c r="N489" t="n">
        <x:f>IF(I489="","",I489-B489)</x:f>
        <x:v>58</x:v>
      </x:c>
      <x:c r="O489" t="str">
        <x:f>IF(TRIM(C489)&lt;&gt;TRIM(H489),"Oui","Non")</x:f>
        <x:v>Oui</x:v>
      </x:c>
      <x:c r="P489" t="str">
        <x:f>IFERROR(INDEX('02_REFERENTIEL_CLIENTS'!$B$2:$B$51,MATCH(TRIM(C489),'02_REFERENTIEL_CLIENTS'!$A$2:$A$51,0)),"Non trouvé")</x:f>
        <x:v>Particuliers</x:v>
      </x:c>
      <x:c r="Q489" t="str">
        <x:f>IFERROR(INDEX('02_REFERENTIEL_CLIENTS'!$C$2:$C$51,MATCH(TRIM(C489),'02_REFERENTIEL_CLIENTS'!$A$2:$A$51,0)),"Non trouvé")</x:f>
        <x:v>International</x:v>
      </x:c>
      <x:c r="R489" t="str">
        <x:f>IF(OR(F489&lt;=0,G489&lt;0,G489&gt;F489,N489&lt;0,P489="Non trouvé"),"À vérifier","OK")</x:f>
        <x:v>OK</x:v>
      </x:c>
    </x:row>
    <x:row r="490">
      <x:c r="A490" t="str">
        <x:v>DV-2024-00489</x:v>
      </x:c>
      <x:c r="B490" s="16" t="n">
        <x:v>45429</x:v>
      </x:c>
      <x:c r="C490" t="str">
        <x:v>Client 01</x:v>
      </x:c>
      <x:c r="D490" t="str">
        <x:v>Logistique</x:v>
      </x:c>
      <x:c r="E490" t="str">
        <x:v>Pôle A</x:v>
      </x:c>
      <x:c r="F490" s="18" t="n">
        <x:v>15543.87</x:v>
      </x:c>
      <x:c r="G490" s="18" t="n">
        <x:v>0</x:v>
      </x:c>
      <x:c r="H490" t="str">
        <x:v>Client 01</x:v>
      </x:c>
      <x:c r="I490" s="16"/>
      <x:c r="J490" t="n">
        <x:f>YEAR(B490)</x:f>
        <x:v>2024</x:v>
      </x:c>
      <x:c r="K490" s="20" t="n">
        <x:f>DATE(YEAR(B490),MONTH(B490),1)</x:f>
        <x:v>45413</x:v>
      </x:c>
      <x:c r="L490" s="18" t="n">
        <x:f>F490-G490</x:f>
        <x:v>15543.87</x:v>
      </x:c>
      <x:c r="M490" t="str">
        <x:f>IF(L490&lt;=0,"Payée",IF(G490=0,"Impayée","Partielle"))</x:f>
        <x:v>Impayée</x:v>
      </x:c>
      <x:c r="N490" t="str">
        <x:f>IF(I490="","",I490-B490)</x:f>
      </x:c>
      <x:c r="O490" t="str">
        <x:f>IF(TRIM(C490)&lt;&gt;TRIM(H490),"Oui","Non")</x:f>
        <x:v>Non</x:v>
      </x:c>
      <x:c r="P490" t="str">
        <x:f>IFERROR(INDEX('02_REFERENTIEL_CLIENTS'!$B$2:$B$51,MATCH(TRIM(C490),'02_REFERENTIEL_CLIENTS'!$A$2:$A$51,0)),"Non trouvé")</x:f>
        <x:v>Grands comptes</x:v>
      </x:c>
      <x:c r="Q490" t="str">
        <x:f>IFERROR(INDEX('02_REFERENTIEL_CLIENTS'!$C$2:$C$51,MATCH(TRIM(C490),'02_REFERENTIEL_CLIENTS'!$A$2:$A$51,0)),"Non trouvé")</x:f>
        <x:v>France</x:v>
      </x:c>
      <x:c r="R490" t="str">
        <x:f>IF(OR(F490&lt;=0,G490&lt;0,G490&gt;F490,N490&lt;0,P490="Non trouvé"),"À vérifier","OK")</x:f>
        <x:v>OK</x:v>
      </x:c>
    </x:row>
    <x:row r="491">
      <x:c r="A491" t="str">
        <x:v>DV-2025-00490</x:v>
      </x:c>
      <x:c r="B491" s="16" t="n">
        <x:v>45659</x:v>
      </x:c>
      <x:c r="C491" t="str">
        <x:v>Client 37</x:v>
      </x:c>
      <x:c r="D491" t="str">
        <x:v>Douane</x:v>
      </x:c>
      <x:c r="E491" t="str">
        <x:v>Pôle D</x:v>
      </x:c>
      <x:c r="F491" s="18" t="n">
        <x:v>3637.39</x:v>
      </x:c>
      <x:c r="G491" s="18" t="n">
        <x:v>3637.39</x:v>
      </x:c>
      <x:c r="H491" t="str">
        <x:v>Client 37</x:v>
      </x:c>
      <x:c r="I491" s="16" t="n">
        <x:v>45747</x:v>
      </x:c>
      <x:c r="J491" t="n">
        <x:f>YEAR(B491)</x:f>
        <x:v>2025</x:v>
      </x:c>
      <x:c r="K491" s="20" t="n">
        <x:f>DATE(YEAR(B491),MONTH(B491),1)</x:f>
        <x:v>45658</x:v>
      </x:c>
      <x:c r="L491" s="18" t="n">
        <x:f>F491-G491</x:f>
        <x:v>0</x:v>
      </x:c>
      <x:c r="M491" t="str">
        <x:f>IF(L491&lt;=0,"Payée",IF(G491=0,"Impayée","Partielle"))</x:f>
        <x:v>Payée</x:v>
      </x:c>
      <x:c r="N491" t="n">
        <x:f>IF(I491="","",I491-B491)</x:f>
        <x:v>88</x:v>
      </x:c>
      <x:c r="O491" t="str">
        <x:f>IF(TRIM(C491)&lt;&gt;TRIM(H491),"Oui","Non")</x:f>
        <x:v>Non</x:v>
      </x:c>
      <x:c r="P491" t="str">
        <x:f>IFERROR(INDEX('02_REFERENTIEL_CLIENTS'!$B$2:$B$51,MATCH(TRIM(C491),'02_REFERENTIEL_CLIENTS'!$A$2:$A$51,0)),"Non trouvé")</x:f>
        <x:v>Grands comptes</x:v>
      </x:c>
      <x:c r="Q491" t="str">
        <x:f>IFERROR(INDEX('02_REFERENTIEL_CLIENTS'!$C$2:$C$51,MATCH(TRIM(C491),'02_REFERENTIEL_CLIENTS'!$A$2:$A$51,0)),"Non trouvé")</x:f>
        <x:v>France</x:v>
      </x:c>
      <x:c r="R491" t="str">
        <x:f>IF(OR(F491&lt;=0,G491&lt;0,G491&gt;F491,N491&lt;0,P491="Non trouvé"),"À vérifier","OK")</x:f>
        <x:v>OK</x:v>
      </x:c>
    </x:row>
    <x:row r="492">
      <x:c r="A492" t="str">
        <x:v>DV-2026-00491</x:v>
      </x:c>
      <x:c r="B492" s="16" t="n">
        <x:v>46123</x:v>
      </x:c>
      <x:c r="C492" t="str">
        <x:v>Client 31</x:v>
      </x:c>
      <x:c r="D492" t="str">
        <x:v>Fret aérien</x:v>
      </x:c>
      <x:c r="E492" t="str">
        <x:v>Pôle D</x:v>
      </x:c>
      <x:c r="F492" s="18" t="n">
        <x:v>8382.3</x:v>
      </x:c>
      <x:c r="G492" s="18" t="n">
        <x:v>8382.3</x:v>
      </x:c>
      <x:c r="H492" t="str">
        <x:v>Client 31</x:v>
      </x:c>
      <x:c r="I492" s="16" t="n">
        <x:v>46139</x:v>
      </x:c>
      <x:c r="J492" t="n">
        <x:f>YEAR(B492)</x:f>
        <x:v>2026</x:v>
      </x:c>
      <x:c r="K492" s="20" t="n">
        <x:f>DATE(YEAR(B492),MONTH(B492),1)</x:f>
        <x:v>46113</x:v>
      </x:c>
      <x:c r="L492" s="18" t="n">
        <x:f>F492-G492</x:f>
        <x:v>0</x:v>
      </x:c>
      <x:c r="M492" t="str">
        <x:f>IF(L492&lt;=0,"Payée",IF(G492=0,"Impayée","Partielle"))</x:f>
        <x:v>Payée</x:v>
      </x:c>
      <x:c r="N492" t="n">
        <x:f>IF(I492="","",I492-B492)</x:f>
        <x:v>16</x:v>
      </x:c>
      <x:c r="O492" t="str">
        <x:f>IF(TRIM(C492)&lt;&gt;TRIM(H492),"Oui","Non")</x:f>
        <x:v>Non</x:v>
      </x:c>
      <x:c r="P492" t="str">
        <x:f>IFERROR(INDEX('02_REFERENTIEL_CLIENTS'!$B$2:$B$51,MATCH(TRIM(C492),'02_REFERENTIEL_CLIENTS'!$A$2:$A$51,0)),"Non trouvé")</x:f>
        <x:v>Grands comptes</x:v>
      </x:c>
      <x:c r="Q492" t="str">
        <x:f>IFERROR(INDEX('02_REFERENTIEL_CLIENTS'!$C$2:$C$51,MATCH(TRIM(C492),'02_REFERENTIEL_CLIENTS'!$A$2:$A$51,0)),"Non trouvé")</x:f>
        <x:v>France</x:v>
      </x:c>
      <x:c r="R492" t="str">
        <x:f>IF(OR(F492&lt;=0,G492&lt;0,G492&gt;F492,N492&lt;0,P492="Non trouvé"),"À vérifier","OK")</x:f>
        <x:v>OK</x:v>
      </x:c>
    </x:row>
    <x:row r="493">
      <x:c r="A493" t="str">
        <x:v>DV-2025-00492</x:v>
      </x:c>
      <x:c r="B493" s="16" t="n">
        <x:v>45841</x:v>
      </x:c>
      <x:c r="C493" t="str">
        <x:v>Client 49</x:v>
      </x:c>
      <x:c r="D493" t="str">
        <x:v>Fret aérien</x:v>
      </x:c>
      <x:c r="E493" t="str">
        <x:v>Pôle E</x:v>
      </x:c>
      <x:c r="F493" s="18" t="n">
        <x:v>16813.83</x:v>
      </x:c>
      <x:c r="G493" s="18" t="n">
        <x:v>16813.83</x:v>
      </x:c>
      <x:c r="H493" t="str">
        <x:v>Client 49</x:v>
      </x:c>
      <x:c r="I493" s="16" t="n">
        <x:v>45880</x:v>
      </x:c>
      <x:c r="J493" t="n">
        <x:f>YEAR(B493)</x:f>
        <x:v>2025</x:v>
      </x:c>
      <x:c r="K493" s="20" t="n">
        <x:f>DATE(YEAR(B493),MONTH(B493),1)</x:f>
        <x:v>45839</x:v>
      </x:c>
      <x:c r="L493" s="18" t="n">
        <x:f>F493-G493</x:f>
        <x:v>0</x:v>
      </x:c>
      <x:c r="M493" t="str">
        <x:f>IF(L493&lt;=0,"Payée",IF(G493=0,"Impayée","Partielle"))</x:f>
        <x:v>Payée</x:v>
      </x:c>
      <x:c r="N493" t="n">
        <x:f>IF(I493="","",I493-B493)</x:f>
        <x:v>39</x:v>
      </x:c>
      <x:c r="O493" t="str">
        <x:f>IF(TRIM(C493)&lt;&gt;TRIM(H493),"Oui","Non")</x:f>
        <x:v>Non</x:v>
      </x:c>
      <x:c r="P493" t="str">
        <x:f>IFERROR(INDEX('02_REFERENTIEL_CLIENTS'!$B$2:$B$51,MATCH(TRIM(C493),'02_REFERENTIEL_CLIENTS'!$A$2:$A$51,0)),"Non trouvé")</x:f>
        <x:v>Grands comptes</x:v>
      </x:c>
      <x:c r="Q493" t="str">
        <x:f>IFERROR(INDEX('02_REFERENTIEL_CLIENTS'!$C$2:$C$51,MATCH(TRIM(C493),'02_REFERENTIEL_CLIENTS'!$A$2:$A$51,0)),"Non trouvé")</x:f>
        <x:v>France</x:v>
      </x:c>
      <x:c r="R493" t="str">
        <x:f>IF(OR(F493&lt;=0,G493&lt;0,G493&gt;F493,N493&lt;0,P493="Non trouvé"),"À vérifier","OK")</x:f>
        <x:v>OK</x:v>
      </x:c>
    </x:row>
    <x:row r="494">
      <x:c r="A494" t="str">
        <x:v>DV-2025-00493</x:v>
      </x:c>
      <x:c r="B494" s="16" t="n">
        <x:v>45782</x:v>
      </x:c>
      <x:c r="C494" t="str">
        <x:v>Client 18</x:v>
      </x:c>
      <x:c r="D494" t="str">
        <x:v>Douane</x:v>
      </x:c>
      <x:c r="E494" t="str">
        <x:v>Pôle C</x:v>
      </x:c>
      <x:c r="F494" s="18" t="n">
        <x:v>22775.75</x:v>
      </x:c>
      <x:c r="G494" s="18" t="n">
        <x:v>22775.75</x:v>
      </x:c>
      <x:c r="H494" t="str">
        <x:v>Client 18</x:v>
      </x:c>
      <x:c r="I494" s="16" t="n">
        <x:v>45853</x:v>
      </x:c>
      <x:c r="J494" t="n">
        <x:f>YEAR(B494)</x:f>
        <x:v>2025</x:v>
      </x:c>
      <x:c r="K494" s="20" t="n">
        <x:f>DATE(YEAR(B494),MONTH(B494),1)</x:f>
        <x:v>45778</x:v>
      </x:c>
      <x:c r="L494" s="18" t="n">
        <x:f>F494-G494</x:f>
        <x:v>0</x:v>
      </x:c>
      <x:c r="M494" t="str">
        <x:f>IF(L494&lt;=0,"Payée",IF(G494=0,"Impayée","Partielle"))</x:f>
        <x:v>Payée</x:v>
      </x:c>
      <x:c r="N494" t="n">
        <x:f>IF(I494="","",I494-B494)</x:f>
        <x:v>71</x:v>
      </x:c>
      <x:c r="O494" t="str">
        <x:f>IF(TRIM(C494)&lt;&gt;TRIM(H494),"Oui","Non")</x:f>
        <x:v>Non</x:v>
      </x:c>
      <x:c r="P494" t="str">
        <x:f>IFERROR(INDEX('02_REFERENTIEL_CLIENTS'!$B$2:$B$51,MATCH(TRIM(C494),'02_REFERENTIEL_CLIENTS'!$A$2:$A$51,0)),"Non trouvé")</x:f>
        <x:v>Particuliers</x:v>
      </x:c>
      <x:c r="Q494" t="str">
        <x:f>IFERROR(INDEX('02_REFERENTIEL_CLIENTS'!$C$2:$C$51,MATCH(TRIM(C494),'02_REFERENTIEL_CLIENTS'!$A$2:$A$51,0)),"Non trouvé")</x:f>
        <x:v>International</x:v>
      </x:c>
      <x:c r="R494" t="str">
        <x:f>IF(OR(F494&lt;=0,G494&lt;0,G494&gt;F494,N494&lt;0,P494="Non trouvé"),"À vérifier","OK")</x:f>
        <x:v>OK</x:v>
      </x:c>
    </x:row>
    <x:row r="495">
      <x:c r="A495" t="str">
        <x:v>DV-2024-00494</x:v>
      </x:c>
      <x:c r="B495" s="16" t="n">
        <x:v>45397</x:v>
      </x:c>
      <x:c r="C495" t="str">
        <x:v>Client 45</x:v>
      </x:c>
      <x:c r="D495" t="str">
        <x:v>Douane</x:v>
      </x:c>
      <x:c r="E495" t="str">
        <x:v>Pôle B</x:v>
      </x:c>
      <x:c r="F495" s="18" t="n">
        <x:v>5128.14</x:v>
      </x:c>
      <x:c r="G495" s="18" t="n">
        <x:v>5128.14</x:v>
      </x:c>
      <x:c r="H495" t="str">
        <x:v>Client 45</x:v>
      </x:c>
      <x:c r="I495" s="16" t="n">
        <x:v>45458</x:v>
      </x:c>
      <x:c r="J495" t="n">
        <x:f>YEAR(B495)</x:f>
        <x:v>2024</x:v>
      </x:c>
      <x:c r="K495" s="20" t="n">
        <x:f>DATE(YEAR(B495),MONTH(B495),1)</x:f>
        <x:v>45383</x:v>
      </x:c>
      <x:c r="L495" s="18" t="n">
        <x:f>F495-G495</x:f>
        <x:v>0</x:v>
      </x:c>
      <x:c r="M495" t="str">
        <x:f>IF(L495&lt;=0,"Payée",IF(G495=0,"Impayée","Partielle"))</x:f>
        <x:v>Payée</x:v>
      </x:c>
      <x:c r="N495" t="n">
        <x:f>IF(I495="","",I495-B495)</x:f>
        <x:v>61</x:v>
      </x:c>
      <x:c r="O495" t="str">
        <x:f>IF(TRIM(C495)&lt;&gt;TRIM(H495),"Oui","Non")</x:f>
        <x:v>Non</x:v>
      </x:c>
      <x:c r="P495" t="str">
        <x:f>IFERROR(INDEX('02_REFERENTIEL_CLIENTS'!$B$2:$B$51,MATCH(TRIM(C495),'02_REFERENTIEL_CLIENTS'!$A$2:$A$51,0)),"Non trouvé")</x:f>
        <x:v>Particuliers</x:v>
      </x:c>
      <x:c r="Q495" t="str">
        <x:f>IFERROR(INDEX('02_REFERENTIEL_CLIENTS'!$C$2:$C$51,MATCH(TRIM(C495),'02_REFERENTIEL_CLIENTS'!$A$2:$A$51,0)),"Non trouvé")</x:f>
        <x:v>International</x:v>
      </x:c>
      <x:c r="R495" t="str">
        <x:f>IF(OR(F495&lt;=0,G495&lt;0,G495&gt;F495,N495&lt;0,P495="Non trouvé"),"À vérifier","OK")</x:f>
        <x:v>OK</x:v>
      </x:c>
    </x:row>
    <x:row r="496">
      <x:c r="A496" t="str">
        <x:v>DV-2026-00495</x:v>
      </x:c>
      <x:c r="B496" s="16" t="n">
        <x:v>46212</x:v>
      </x:c>
      <x:c r="C496" t="str">
        <x:v>Client 07</x:v>
      </x:c>
      <x:c r="D496" t="str">
        <x:v>Douane</x:v>
      </x:c>
      <x:c r="E496" t="str">
        <x:v>Pôle C</x:v>
      </x:c>
      <x:c r="F496" s="18" t="n">
        <x:v>3450.37</x:v>
      </x:c>
      <x:c r="G496" s="18" t="n">
        <x:v>3450.37</x:v>
      </x:c>
      <x:c r="H496" t="str">
        <x:v>Client 07</x:v>
      </x:c>
      <x:c r="I496" s="16" t="n">
        <x:v>46239</x:v>
      </x:c>
      <x:c r="J496" t="n">
        <x:f>YEAR(B496)</x:f>
        <x:v>2026</x:v>
      </x:c>
      <x:c r="K496" s="20" t="n">
        <x:f>DATE(YEAR(B496),MONTH(B496),1)</x:f>
        <x:v>46204</x:v>
      </x:c>
      <x:c r="L496" s="18" t="n">
        <x:f>F496-G496</x:f>
        <x:v>0</x:v>
      </x:c>
      <x:c r="M496" t="str">
        <x:f>IF(L496&lt;=0,"Payée",IF(G496=0,"Impayée","Partielle"))</x:f>
        <x:v>Payée</x:v>
      </x:c>
      <x:c r="N496" t="n">
        <x:f>IF(I496="","",I496-B496)</x:f>
        <x:v>27</x:v>
      </x:c>
      <x:c r="O496" t="str">
        <x:f>IF(TRIM(C496)&lt;&gt;TRIM(H496),"Oui","Non")</x:f>
        <x:v>Non</x:v>
      </x:c>
      <x:c r="P496" t="str">
        <x:f>IFERROR(INDEX('02_REFERENTIEL_CLIENTS'!$B$2:$B$51,MATCH(TRIM(C496),'02_REFERENTIEL_CLIENTS'!$A$2:$A$51,0)),"Non trouvé")</x:f>
        <x:v>Grands comptes</x:v>
      </x:c>
      <x:c r="Q496" t="str">
        <x:f>IFERROR(INDEX('02_REFERENTIEL_CLIENTS'!$C$2:$C$51,MATCH(TRIM(C496),'02_REFERENTIEL_CLIENTS'!$A$2:$A$51,0)),"Non trouvé")</x:f>
        <x:v>France</x:v>
      </x:c>
      <x:c r="R496" t="str">
        <x:f>IF(OR(F496&lt;=0,G496&lt;0,G496&gt;F496,N496&lt;0,P496="Non trouvé"),"À vérifier","OK")</x:f>
        <x:v>OK</x:v>
      </x:c>
    </x:row>
    <x:row r="497">
      <x:c r="A497" t="str">
        <x:v>DV-2025-00496</x:v>
      </x:c>
      <x:c r="B497" s="16" t="n">
        <x:v>45801</x:v>
      </x:c>
      <x:c r="C497" t="str">
        <x:v>Client 33</x:v>
      </x:c>
      <x:c r="D497" t="str">
        <x:v>Douane</x:v>
      </x:c>
      <x:c r="E497" t="str">
        <x:v>Pôle D</x:v>
      </x:c>
      <x:c r="F497" s="18" t="n">
        <x:v>24486.24</x:v>
      </x:c>
      <x:c r="G497" s="18" t="n">
        <x:v>24486.24</x:v>
      </x:c>
      <x:c r="H497" t="str">
        <x:v>Client 33</x:v>
      </x:c>
      <x:c r="I497" s="16" t="n">
        <x:v>45857</x:v>
      </x:c>
      <x:c r="J497" t="n">
        <x:f>YEAR(B497)</x:f>
        <x:v>2025</x:v>
      </x:c>
      <x:c r="K497" s="20" t="n">
        <x:f>DATE(YEAR(B497),MONTH(B497),1)</x:f>
        <x:v>45778</x:v>
      </x:c>
      <x:c r="L497" s="18" t="n">
        <x:f>F497-G497</x:f>
        <x:v>0</x:v>
      </x:c>
      <x:c r="M497" t="str">
        <x:f>IF(L497&lt;=0,"Payée",IF(G497=0,"Impayée","Partielle"))</x:f>
        <x:v>Payée</x:v>
      </x:c>
      <x:c r="N497" t="n">
        <x:f>IF(I497="","",I497-B497)</x:f>
        <x:v>56</x:v>
      </x:c>
      <x:c r="O497" t="str">
        <x:f>IF(TRIM(C497)&lt;&gt;TRIM(H497),"Oui","Non")</x:f>
        <x:v>Non</x:v>
      </x:c>
      <x:c r="P497" t="str">
        <x:f>IFERROR(INDEX('02_REFERENTIEL_CLIENTS'!$B$2:$B$51,MATCH(TRIM(C497),'02_REFERENTIEL_CLIENTS'!$A$2:$A$51,0)),"Non trouvé")</x:f>
        <x:v>Particuliers</x:v>
      </x:c>
      <x:c r="Q497" t="str">
        <x:f>IFERROR(INDEX('02_REFERENTIEL_CLIENTS'!$C$2:$C$51,MATCH(TRIM(C497),'02_REFERENTIEL_CLIENTS'!$A$2:$A$51,0)),"Non trouvé")</x:f>
        <x:v>International</x:v>
      </x:c>
      <x:c r="R497" t="str">
        <x:f>IF(OR(F497&lt;=0,G497&lt;0,G497&gt;F497,N497&lt;0,P497="Non trouvé"),"À vérifier","OK")</x:f>
        <x:v>OK</x:v>
      </x:c>
    </x:row>
    <x:row r="498">
      <x:c r="A498" t="str">
        <x:v>DV-2026-00497</x:v>
      </x:c>
      <x:c r="B498" s="16" t="n">
        <x:v>46236</x:v>
      </x:c>
      <x:c r="C498" t="str">
        <x:v>Client 13</x:v>
      </x:c>
      <x:c r="D498" t="str">
        <x:v>Logistique</x:v>
      </x:c>
      <x:c r="E498" t="str">
        <x:v>Pôle C</x:v>
      </x:c>
      <x:c r="F498" s="18" t="n">
        <x:v>20134.16</x:v>
      </x:c>
      <x:c r="G498" s="18" t="n">
        <x:v>0</x:v>
      </x:c>
      <x:c r="H498" t="str">
        <x:v>Client 13</x:v>
      </x:c>
      <x:c r="I498" s="16"/>
      <x:c r="J498" t="n">
        <x:f>YEAR(B498)</x:f>
        <x:v>2026</x:v>
      </x:c>
      <x:c r="K498" s="20" t="n">
        <x:f>DATE(YEAR(B498),MONTH(B498),1)</x:f>
        <x:v>46235</x:v>
      </x:c>
      <x:c r="L498" s="18" t="n">
        <x:f>F498-G498</x:f>
        <x:v>20134.16</x:v>
      </x:c>
      <x:c r="M498" t="str">
        <x:f>IF(L498&lt;=0,"Payée",IF(G498=0,"Impayée","Partielle"))</x:f>
        <x:v>Impayée</x:v>
      </x:c>
      <x:c r="N498" t="str">
        <x:f>IF(I498="","",I498-B498)</x:f>
      </x:c>
      <x:c r="O498" t="str">
        <x:f>IF(TRIM(C498)&lt;&gt;TRIM(H498),"Oui","Non")</x:f>
        <x:v>Non</x:v>
      </x:c>
      <x:c r="P498" t="str">
        <x:f>IFERROR(INDEX('02_REFERENTIEL_CLIENTS'!$B$2:$B$51,MATCH(TRIM(C498),'02_REFERENTIEL_CLIENTS'!$A$2:$A$51,0)),"Non trouvé")</x:f>
        <x:v>Grands comptes</x:v>
      </x:c>
      <x:c r="Q498" t="str">
        <x:f>IFERROR(INDEX('02_REFERENTIEL_CLIENTS'!$C$2:$C$51,MATCH(TRIM(C498),'02_REFERENTIEL_CLIENTS'!$A$2:$A$51,0)),"Non trouvé")</x:f>
        <x:v>France</x:v>
      </x:c>
      <x:c r="R498" t="str">
        <x:f>IF(OR(F498&lt;=0,G498&lt;0,G498&gt;F498,N498&lt;0,P498="Non trouvé"),"À vérifier","OK")</x:f>
        <x:v>OK</x:v>
      </x:c>
    </x:row>
    <x:row r="499">
      <x:c r="A499" t="str">
        <x:v>DV-2024-00498</x:v>
      </x:c>
      <x:c r="B499" s="16" t="n">
        <x:v>45640</x:v>
      </x:c>
      <x:c r="C499" t="str">
        <x:v>Client 28</x:v>
      </x:c>
      <x:c r="D499" t="str">
        <x:v>Logistique</x:v>
      </x:c>
      <x:c r="E499" t="str">
        <x:v>Pôle D</x:v>
      </x:c>
      <x:c r="F499" s="18" t="n">
        <x:v>4439.26</x:v>
      </x:c>
      <x:c r="G499" s="18" t="n">
        <x:v>4439.26</x:v>
      </x:c>
      <x:c r="H499" t="str">
        <x:v>Client 28</x:v>
      </x:c>
      <x:c r="I499" s="16" t="n">
        <x:v>45702</x:v>
      </x:c>
      <x:c r="J499" t="n">
        <x:f>YEAR(B499)</x:f>
        <x:v>2024</x:v>
      </x:c>
      <x:c r="K499" s="20" t="n">
        <x:f>DATE(YEAR(B499),MONTH(B499),1)</x:f>
        <x:v>45627</x:v>
      </x:c>
      <x:c r="L499" s="18" t="n">
        <x:f>F499-G499</x:f>
        <x:v>0</x:v>
      </x:c>
      <x:c r="M499" t="str">
        <x:f>IF(L499&lt;=0,"Payée",IF(G499=0,"Impayée","Partielle"))</x:f>
        <x:v>Payée</x:v>
      </x:c>
      <x:c r="N499" t="n">
        <x:f>IF(I499="","",I499-B499)</x:f>
        <x:v>62</x:v>
      </x:c>
      <x:c r="O499" t="str">
        <x:f>IF(TRIM(C499)&lt;&gt;TRIM(H499),"Oui","Non")</x:f>
        <x:v>Non</x:v>
      </x:c>
      <x:c r="P499" t="str">
        <x:f>IFERROR(INDEX('02_REFERENTIEL_CLIENTS'!$B$2:$B$51,MATCH(TRIM(C499),'02_REFERENTIEL_CLIENTS'!$A$2:$A$51,0)),"Non trouvé")</x:f>
        <x:v>Grands comptes</x:v>
      </x:c>
      <x:c r="Q499" t="str">
        <x:f>IFERROR(INDEX('02_REFERENTIEL_CLIENTS'!$C$2:$C$51,MATCH(TRIM(C499),'02_REFERENTIEL_CLIENTS'!$A$2:$A$51,0)),"Non trouvé")</x:f>
        <x:v>France</x:v>
      </x:c>
      <x:c r="R499" t="str">
        <x:f>IF(OR(F499&lt;=0,G499&lt;0,G499&gt;F499,N499&lt;0,P499="Non trouvé"),"À vérifier","OK")</x:f>
        <x:v>OK</x:v>
      </x:c>
    </x:row>
    <x:row r="500">
      <x:c r="A500" t="str">
        <x:v>DV-2025-00499</x:v>
      </x:c>
      <x:c r="B500" s="16" t="n">
        <x:v>46005</x:v>
      </x:c>
      <x:c r="C500" t="str">
        <x:v>Client 50</x:v>
      </x:c>
      <x:c r="D500" t="str">
        <x:v>Fret maritime</x:v>
      </x:c>
      <x:c r="E500" t="str">
        <x:v>Pôle D</x:v>
      </x:c>
      <x:c r="F500" s="18" t="n">
        <x:v>22454.74</x:v>
      </x:c>
      <x:c r="G500" s="18" t="n">
        <x:v>22454.74</x:v>
      </x:c>
      <x:c r="H500" t="str">
        <x:v>Client 50</x:v>
      </x:c>
      <x:c r="I500" s="16" t="n">
        <x:v>46017</x:v>
      </x:c>
      <x:c r="J500" t="n">
        <x:f>YEAR(B500)</x:f>
        <x:v>2025</x:v>
      </x:c>
      <x:c r="K500" s="20" t="n">
        <x:f>DATE(YEAR(B500),MONTH(B500),1)</x:f>
        <x:v>45992</x:v>
      </x:c>
      <x:c r="L500" s="18" t="n">
        <x:f>F500-G500</x:f>
        <x:v>0</x:v>
      </x:c>
      <x:c r="M500" t="str">
        <x:f>IF(L500&lt;=0,"Payée",IF(G500=0,"Impayée","Partielle"))</x:f>
        <x:v>Payée</x:v>
      </x:c>
      <x:c r="N500" t="n">
        <x:f>IF(I500="","",I500-B500)</x:f>
        <x:v>12</x:v>
      </x:c>
      <x:c r="O500" t="str">
        <x:f>IF(TRIM(C500)&lt;&gt;TRIM(H500),"Oui","Non")</x:f>
        <x:v>Non</x:v>
      </x:c>
      <x:c r="P500" t="str">
        <x:f>IFERROR(INDEX('02_REFERENTIEL_CLIENTS'!$B$2:$B$51,MATCH(TRIM(C500),'02_REFERENTIEL_CLIENTS'!$A$2:$A$51,0)),"Non trouvé")</x:f>
        <x:v>PME</x:v>
      </x:c>
      <x:c r="Q500" t="str">
        <x:f>IFERROR(INDEX('02_REFERENTIEL_CLIENTS'!$C$2:$C$51,MATCH(TRIM(C500),'02_REFERENTIEL_CLIENTS'!$A$2:$A$51,0)),"Non trouvé")</x:f>
        <x:v>Europe</x:v>
      </x:c>
      <x:c r="R500" t="str">
        <x:f>IF(OR(F500&lt;=0,G500&lt;0,G500&gt;F500,N500&lt;0,P500="Non trouvé"),"À vérifier","OK")</x:f>
        <x:v>OK</x:v>
      </x:c>
    </x:row>
    <x:row r="501">
      <x:c r="A501" t="str">
        <x:v>DV-2025-00500</x:v>
      </x:c>
      <x:c r="B501" s="16" t="n">
        <x:v>45979</x:v>
      </x:c>
      <x:c r="C501" t="str">
        <x:v>Client 11</x:v>
      </x:c>
      <x:c r="D501" t="str">
        <x:v>Douane</x:v>
      </x:c>
      <x:c r="E501" t="str">
        <x:v>Pôle E</x:v>
      </x:c>
      <x:c r="F501" s="18" t="n">
        <x:v>22597.93</x:v>
      </x:c>
      <x:c r="G501" s="18" t="n">
        <x:v>22597.93</x:v>
      </x:c>
      <x:c r="H501" t="str">
        <x:v>Client 11</x:v>
      </x:c>
      <x:c r="I501" s="16" t="n">
        <x:v>45997</x:v>
      </x:c>
      <x:c r="J501" t="n">
        <x:f>YEAR(B501)</x:f>
        <x:v>2025</x:v>
      </x:c>
      <x:c r="K501" s="20" t="n">
        <x:f>DATE(YEAR(B501),MONTH(B501),1)</x:f>
        <x:v>45962</x:v>
      </x:c>
      <x:c r="L501" s="18" t="n">
        <x:f>F501-G501</x:f>
        <x:v>0</x:v>
      </x:c>
      <x:c r="M501" t="str">
        <x:f>IF(L501&lt;=0,"Payée",IF(G501=0,"Impayée","Partielle"))</x:f>
        <x:v>Payée</x:v>
      </x:c>
      <x:c r="N501" t="n">
        <x:f>IF(I501="","",I501-B501)</x:f>
        <x:v>18</x:v>
      </x:c>
      <x:c r="O501" t="str">
        <x:f>IF(TRIM(C501)&lt;&gt;TRIM(H501),"Oui","Non")</x:f>
        <x:v>Non</x:v>
      </x:c>
      <x:c r="P501" t="str">
        <x:f>IFERROR(INDEX('02_REFERENTIEL_CLIENTS'!$B$2:$B$51,MATCH(TRIM(C501),'02_REFERENTIEL_CLIENTS'!$A$2:$A$51,0)),"Non trouvé")</x:f>
        <x:v>PME</x:v>
      </x:c>
      <x:c r="Q501" t="str">
        <x:f>IFERROR(INDEX('02_REFERENTIEL_CLIENTS'!$C$2:$C$51,MATCH(TRIM(C501),'02_REFERENTIEL_CLIENTS'!$A$2:$A$51,0)),"Non trouvé")</x:f>
        <x:v>Europe</x:v>
      </x:c>
      <x:c r="R501" t="str">
        <x:f>IF(OR(F501&lt;=0,G501&lt;0,G501&gt;F501,N501&lt;0,P501="Non trouvé"),"À vérifier","OK")</x:f>
        <x:v>OK</x:v>
      </x:c>
    </x:row>
    <x:row r="502">
      <x:c r="A502" t="str">
        <x:v>DV-2024-00501</x:v>
      </x:c>
      <x:c r="B502" s="16" t="n">
        <x:v>45307</x:v>
      </x:c>
      <x:c r="C502" t="str">
        <x:v>Client 08</x:v>
      </x:c>
      <x:c r="D502" t="str">
        <x:v>Express</x:v>
      </x:c>
      <x:c r="E502" t="str">
        <x:v>Pôle A</x:v>
      </x:c>
      <x:c r="F502" s="18" t="n">
        <x:v>24230.02</x:v>
      </x:c>
      <x:c r="G502" s="18" t="n">
        <x:v>0</x:v>
      </x:c>
      <x:c r="H502" t="str">
        <x:v>Client 38</x:v>
      </x:c>
      <x:c r="I502" s="16"/>
      <x:c r="J502" t="n">
        <x:f>YEAR(B502)</x:f>
        <x:v>2024</x:v>
      </x:c>
      <x:c r="K502" s="20" t="n">
        <x:f>DATE(YEAR(B502),MONTH(B502),1)</x:f>
        <x:v>45292</x:v>
      </x:c>
      <x:c r="L502" s="18" t="n">
        <x:f>F502-G502</x:f>
        <x:v>24230.02</x:v>
      </x:c>
      <x:c r="M502" t="str">
        <x:f>IF(L502&lt;=0,"Payée",IF(G502=0,"Impayée","Partielle"))</x:f>
        <x:v>Impayée</x:v>
      </x:c>
      <x:c r="N502" t="str">
        <x:f>IF(I502="","",I502-B502)</x:f>
      </x:c>
      <x:c r="O502" t="str">
        <x:f>IF(TRIM(C502)&lt;&gt;TRIM(H502),"Oui","Non")</x:f>
        <x:v>Oui</x:v>
      </x:c>
      <x:c r="P502" t="str">
        <x:f>IFERROR(INDEX('02_REFERENTIEL_CLIENTS'!$B$2:$B$51,MATCH(TRIM(C502),'02_REFERENTIEL_CLIENTS'!$A$2:$A$51,0)),"Non trouvé")</x:f>
        <x:v>PME</x:v>
      </x:c>
      <x:c r="Q502" t="str">
        <x:f>IFERROR(INDEX('02_REFERENTIEL_CLIENTS'!$C$2:$C$51,MATCH(TRIM(C502),'02_REFERENTIEL_CLIENTS'!$A$2:$A$51,0)),"Non trouvé")</x:f>
        <x:v>Europe</x:v>
      </x:c>
      <x:c r="R502" t="str">
        <x:f>IF(OR(F502&lt;=0,G502&lt;0,G502&gt;F502,N502&lt;0,P502="Non trouvé"),"À vérifier","OK")</x:f>
        <x:v>OK</x:v>
      </x:c>
    </x:row>
    <x:row r="503">
      <x:c r="A503" t="str">
        <x:v>DV-2026-00502</x:v>
      </x:c>
      <x:c r="B503" s="16" t="n">
        <x:v>46268</x:v>
      </x:c>
      <x:c r="C503" t="str">
        <x:v>Client 35</x:v>
      </x:c>
      <x:c r="D503" t="str">
        <x:v>Douane</x:v>
      </x:c>
      <x:c r="E503" t="str">
        <x:v>Pôle A</x:v>
      </x:c>
      <x:c r="F503" s="18" t="n">
        <x:v>9175.27</x:v>
      </x:c>
      <x:c r="G503" s="18" t="n">
        <x:v>9175.27</x:v>
      </x:c>
      <x:c r="H503" t="str">
        <x:v>Client 35</x:v>
      </x:c>
      <x:c r="I503" s="16" t="n">
        <x:v>46334</x:v>
      </x:c>
      <x:c r="J503" t="n">
        <x:f>YEAR(B503)</x:f>
        <x:v>2026</x:v>
      </x:c>
      <x:c r="K503" s="20" t="n">
        <x:f>DATE(YEAR(B503),MONTH(B503),1)</x:f>
        <x:v>46266</x:v>
      </x:c>
      <x:c r="L503" s="18" t="n">
        <x:f>F503-G503</x:f>
        <x:v>0</x:v>
      </x:c>
      <x:c r="M503" t="str">
        <x:f>IF(L503&lt;=0,"Payée",IF(G503=0,"Impayée","Partielle"))</x:f>
        <x:v>Payée</x:v>
      </x:c>
      <x:c r="N503" t="n">
        <x:f>IF(I503="","",I503-B503)</x:f>
        <x:v>66</x:v>
      </x:c>
      <x:c r="O503" t="str">
        <x:f>IF(TRIM(C503)&lt;&gt;TRIM(H503),"Oui","Non")</x:f>
        <x:v>Non</x:v>
      </x:c>
      <x:c r="P503" t="str">
        <x:f>IFERROR(INDEX('02_REFERENTIEL_CLIENTS'!$B$2:$B$51,MATCH(TRIM(C503),'02_REFERENTIEL_CLIENTS'!$A$2:$A$51,0)),"Non trouvé")</x:f>
        <x:v>PME</x:v>
      </x:c>
      <x:c r="Q503" t="str">
        <x:f>IFERROR(INDEX('02_REFERENTIEL_CLIENTS'!$C$2:$C$51,MATCH(TRIM(C503),'02_REFERENTIEL_CLIENTS'!$A$2:$A$51,0)),"Non trouvé")</x:f>
        <x:v>Europe</x:v>
      </x:c>
      <x:c r="R503" t="str">
        <x:f>IF(OR(F503&lt;=0,G503&lt;0,G503&gt;F503,N503&lt;0,P503="Non trouvé"),"À vérifier","OK")</x:f>
        <x:v>OK</x:v>
      </x:c>
    </x:row>
    <x:row r="504">
      <x:c r="A504" t="str">
        <x:v>DV-2025-00503</x:v>
      </x:c>
      <x:c r="B504" s="16" t="n">
        <x:v>45677</x:v>
      </x:c>
      <x:c r="C504" t="str">
        <x:v>Client 03</x:v>
      </x:c>
      <x:c r="D504" t="str">
        <x:v>Fret aérien</x:v>
      </x:c>
      <x:c r="E504" t="str">
        <x:v>Pôle D</x:v>
      </x:c>
      <x:c r="F504" s="18" t="n">
        <x:v>6233.46</x:v>
      </x:c>
      <x:c r="G504" s="18" t="n">
        <x:v>6233.46</x:v>
      </x:c>
      <x:c r="H504" t="str">
        <x:v>Client 06</x:v>
      </x:c>
      <x:c r="I504" s="16" t="n">
        <x:v>45693</x:v>
      </x:c>
      <x:c r="J504" t="n">
        <x:f>YEAR(B504)</x:f>
        <x:v>2025</x:v>
      </x:c>
      <x:c r="K504" s="20" t="n">
        <x:f>DATE(YEAR(B504),MONTH(B504),1)</x:f>
        <x:v>45658</x:v>
      </x:c>
      <x:c r="L504" s="18" t="n">
        <x:f>F504-G504</x:f>
        <x:v>0</x:v>
      </x:c>
      <x:c r="M504" t="str">
        <x:f>IF(L504&lt;=0,"Payée",IF(G504=0,"Impayée","Partielle"))</x:f>
        <x:v>Payée</x:v>
      </x:c>
      <x:c r="N504" t="n">
        <x:f>IF(I504="","",I504-B504)</x:f>
        <x:v>16</x:v>
      </x:c>
      <x:c r="O504" t="str">
        <x:f>IF(TRIM(C504)&lt;&gt;TRIM(H504),"Oui","Non")</x:f>
        <x:v>Oui</x:v>
      </x:c>
      <x:c r="P504" t="str">
        <x:f>IFERROR(INDEX('02_REFERENTIEL_CLIENTS'!$B$2:$B$51,MATCH(TRIM(C504),'02_REFERENTIEL_CLIENTS'!$A$2:$A$51,0)),"Non trouvé")</x:f>
        <x:v>Particuliers</x:v>
      </x:c>
      <x:c r="Q504" t="str">
        <x:f>IFERROR(INDEX('02_REFERENTIEL_CLIENTS'!$C$2:$C$51,MATCH(TRIM(C504),'02_REFERENTIEL_CLIENTS'!$A$2:$A$51,0)),"Non trouvé")</x:f>
        <x:v>International</x:v>
      </x:c>
      <x:c r="R504" t="str">
        <x:f>IF(OR(F504&lt;=0,G504&lt;0,G504&gt;F504,N504&lt;0,P504="Non trouvé"),"À vérifier","OK")</x:f>
        <x:v>OK</x:v>
      </x:c>
    </x:row>
    <x:row r="505">
      <x:c r="A505" t="str">
        <x:v>DV-2025-00504</x:v>
      </x:c>
      <x:c r="B505" s="16" t="n">
        <x:v>45911</x:v>
      </x:c>
      <x:c r="C505" t="str">
        <x:v>Client 41</x:v>
      </x:c>
      <x:c r="D505" t="str">
        <x:v>Logistique</x:v>
      </x:c>
      <x:c r="E505" t="str">
        <x:v>Pôle E</x:v>
      </x:c>
      <x:c r="F505" s="18" t="n">
        <x:v>11707.33</x:v>
      </x:c>
      <x:c r="G505" s="18" t="n">
        <x:v>11707.33</x:v>
      </x:c>
      <x:c r="H505" t="str">
        <x:v>Client 50</x:v>
      </x:c>
      <x:c r="I505" s="16" t="n">
        <x:v>45971</x:v>
      </x:c>
      <x:c r="J505" t="n">
        <x:f>YEAR(B505)</x:f>
        <x:v>2025</x:v>
      </x:c>
      <x:c r="K505" s="20" t="n">
        <x:f>DATE(YEAR(B505),MONTH(B505),1)</x:f>
        <x:v>45901</x:v>
      </x:c>
      <x:c r="L505" s="18" t="n">
        <x:f>F505-G505</x:f>
        <x:v>0</x:v>
      </x:c>
      <x:c r="M505" t="str">
        <x:f>IF(L505&lt;=0,"Payée",IF(G505=0,"Impayée","Partielle"))</x:f>
        <x:v>Payée</x:v>
      </x:c>
      <x:c r="N505" t="n">
        <x:f>IF(I505="","",I505-B505)</x:f>
        <x:v>60</x:v>
      </x:c>
      <x:c r="O505" t="str">
        <x:f>IF(TRIM(C505)&lt;&gt;TRIM(H505),"Oui","Non")</x:f>
        <x:v>Oui</x:v>
      </x:c>
      <x:c r="P505" t="str">
        <x:f>IFERROR(INDEX('02_REFERENTIEL_CLIENTS'!$B$2:$B$51,MATCH(TRIM(C505),'02_REFERENTIEL_CLIENTS'!$A$2:$A$51,0)),"Non trouvé")</x:f>
        <x:v>PME</x:v>
      </x:c>
      <x:c r="Q505" t="str">
        <x:f>IFERROR(INDEX('02_REFERENTIEL_CLIENTS'!$C$2:$C$51,MATCH(TRIM(C505),'02_REFERENTIEL_CLIENTS'!$A$2:$A$51,0)),"Non trouvé")</x:f>
        <x:v>Europe</x:v>
      </x:c>
      <x:c r="R505" t="str">
        <x:f>IF(OR(F505&lt;=0,G505&lt;0,G505&gt;F505,N505&lt;0,P505="Non trouvé"),"À vérifier","OK")</x:f>
        <x:v>OK</x:v>
      </x:c>
    </x:row>
    <x:row r="506">
      <x:c r="A506" t="str">
        <x:v>DV-2025-00505</x:v>
      </x:c>
      <x:c r="B506" s="16" t="n">
        <x:v>45970</x:v>
      </x:c>
      <x:c r="C506" t="str">
        <x:v>Client 43</x:v>
      </x:c>
      <x:c r="D506" t="str">
        <x:v>Fret maritime</x:v>
      </x:c>
      <x:c r="E506" t="str">
        <x:v>Pôle E</x:v>
      </x:c>
      <x:c r="F506" s="18" t="n">
        <x:v>10746.21</x:v>
      </x:c>
      <x:c r="G506" s="18" t="n">
        <x:v>10746.21</x:v>
      </x:c>
      <x:c r="H506" t="str">
        <x:v>Client 43</x:v>
      </x:c>
      <x:c r="I506" s="16" t="n">
        <x:v>45987</x:v>
      </x:c>
      <x:c r="J506" t="n">
        <x:f>YEAR(B506)</x:f>
        <x:v>2025</x:v>
      </x:c>
      <x:c r="K506" s="20" t="n">
        <x:f>DATE(YEAR(B506),MONTH(B506),1)</x:f>
        <x:v>45962</x:v>
      </x:c>
      <x:c r="L506" s="18" t="n">
        <x:f>F506-G506</x:f>
        <x:v>0</x:v>
      </x:c>
      <x:c r="M506" t="str">
        <x:f>IF(L506&lt;=0,"Payée",IF(G506=0,"Impayée","Partielle"))</x:f>
        <x:v>Payée</x:v>
      </x:c>
      <x:c r="N506" t="n">
        <x:f>IF(I506="","",I506-B506)</x:f>
        <x:v>17</x:v>
      </x:c>
      <x:c r="O506" t="str">
        <x:f>IF(TRIM(C506)&lt;&gt;TRIM(H506),"Oui","Non")</x:f>
        <x:v>Non</x:v>
      </x:c>
      <x:c r="P506" t="str">
        <x:f>IFERROR(INDEX('02_REFERENTIEL_CLIENTS'!$B$2:$B$51,MATCH(TRIM(C506),'02_REFERENTIEL_CLIENTS'!$A$2:$A$51,0)),"Non trouvé")</x:f>
        <x:v>Grands comptes</x:v>
      </x:c>
      <x:c r="Q506" t="str">
        <x:f>IFERROR(INDEX('02_REFERENTIEL_CLIENTS'!$C$2:$C$51,MATCH(TRIM(C506),'02_REFERENTIEL_CLIENTS'!$A$2:$A$51,0)),"Non trouvé")</x:f>
        <x:v>France</x:v>
      </x:c>
      <x:c r="R506" t="str">
        <x:f>IF(OR(F506&lt;=0,G506&lt;0,G506&gt;F506,N506&lt;0,P506="Non trouvé"),"À vérifier","OK")</x:f>
        <x:v>OK</x:v>
      </x:c>
    </x:row>
    <x:row r="507">
      <x:c r="A507" t="str">
        <x:v>DV-2024-00506</x:v>
      </x:c>
      <x:c r="B507" s="16" t="n">
        <x:v>45397</x:v>
      </x:c>
      <x:c r="C507" t="str">
        <x:v>Client 14</x:v>
      </x:c>
      <x:c r="D507" t="str">
        <x:v>Fret maritime</x:v>
      </x:c>
      <x:c r="E507" t="str">
        <x:v>Pôle E</x:v>
      </x:c>
      <x:c r="F507" s="18" t="n">
        <x:v>19437.29</x:v>
      </x:c>
      <x:c r="G507" s="18" t="n">
        <x:v>19437.29</x:v>
      </x:c>
      <x:c r="H507" t="str">
        <x:v>Client 14</x:v>
      </x:c>
      <x:c r="I507" s="16" t="n">
        <x:v>45451</x:v>
      </x:c>
      <x:c r="J507" t="n">
        <x:f>YEAR(B507)</x:f>
        <x:v>2024</x:v>
      </x:c>
      <x:c r="K507" s="20" t="n">
        <x:f>DATE(YEAR(B507),MONTH(B507),1)</x:f>
        <x:v>45383</x:v>
      </x:c>
      <x:c r="L507" s="18" t="n">
        <x:f>F507-G507</x:f>
        <x:v>0</x:v>
      </x:c>
      <x:c r="M507" t="str">
        <x:f>IF(L507&lt;=0,"Payée",IF(G507=0,"Impayée","Partielle"))</x:f>
        <x:v>Payée</x:v>
      </x:c>
      <x:c r="N507" t="n">
        <x:f>IF(I507="","",I507-B507)</x:f>
        <x:v>54</x:v>
      </x:c>
      <x:c r="O507" t="str">
        <x:f>IF(TRIM(C507)&lt;&gt;TRIM(H507),"Oui","Non")</x:f>
        <x:v>Non</x:v>
      </x:c>
      <x:c r="P507" t="str">
        <x:f>IFERROR(INDEX('02_REFERENTIEL_CLIENTS'!$B$2:$B$51,MATCH(TRIM(C507),'02_REFERENTIEL_CLIENTS'!$A$2:$A$51,0)),"Non trouvé")</x:f>
        <x:v>PME</x:v>
      </x:c>
      <x:c r="Q507" t="str">
        <x:f>IFERROR(INDEX('02_REFERENTIEL_CLIENTS'!$C$2:$C$51,MATCH(TRIM(C507),'02_REFERENTIEL_CLIENTS'!$A$2:$A$51,0)),"Non trouvé")</x:f>
        <x:v>Europe</x:v>
      </x:c>
      <x:c r="R507" t="str">
        <x:f>IF(OR(F507&lt;=0,G507&lt;0,G507&gt;F507,N507&lt;0,P507="Non trouvé"),"À vérifier","OK")</x:f>
        <x:v>OK</x:v>
      </x:c>
    </x:row>
    <x:row r="508">
      <x:c r="A508" t="str">
        <x:v>DV-2026-00507</x:v>
      </x:c>
      <x:c r="B508" s="16" t="n">
        <x:v>46242</x:v>
      </x:c>
      <x:c r="C508" t="str">
        <x:v>Client 26</x:v>
      </x:c>
      <x:c r="D508" t="str">
        <x:v>Fret aérien</x:v>
      </x:c>
      <x:c r="E508" t="str">
        <x:v>Pôle C</x:v>
      </x:c>
      <x:c r="F508" s="18" t="n">
        <x:v>413.2</x:v>
      </x:c>
      <x:c r="G508" s="18" t="n">
        <x:v>413.2</x:v>
      </x:c>
      <x:c r="H508" t="str">
        <x:v>Client 02</x:v>
      </x:c>
      <x:c r="I508" s="16" t="n">
        <x:v>46304</x:v>
      </x:c>
      <x:c r="J508" t="n">
        <x:f>YEAR(B508)</x:f>
        <x:v>2026</x:v>
      </x:c>
      <x:c r="K508" s="20" t="n">
        <x:f>DATE(YEAR(B508),MONTH(B508),1)</x:f>
        <x:v>46235</x:v>
      </x:c>
      <x:c r="L508" s="18" t="n">
        <x:f>F508-G508</x:f>
        <x:v>0</x:v>
      </x:c>
      <x:c r="M508" t="str">
        <x:f>IF(L508&lt;=0,"Payée",IF(G508=0,"Impayée","Partielle"))</x:f>
        <x:v>Payée</x:v>
      </x:c>
      <x:c r="N508" t="n">
        <x:f>IF(I508="","",I508-B508)</x:f>
        <x:v>62</x:v>
      </x:c>
      <x:c r="O508" t="str">
        <x:f>IF(TRIM(C508)&lt;&gt;TRIM(H508),"Oui","Non")</x:f>
        <x:v>Oui</x:v>
      </x:c>
      <x:c r="P508" t="str">
        <x:f>IFERROR(INDEX('02_REFERENTIEL_CLIENTS'!$B$2:$B$51,MATCH(TRIM(C508),'02_REFERENTIEL_CLIENTS'!$A$2:$A$51,0)),"Non trouvé")</x:f>
        <x:v>PME</x:v>
      </x:c>
      <x:c r="Q508" t="str">
        <x:f>IFERROR(INDEX('02_REFERENTIEL_CLIENTS'!$C$2:$C$51,MATCH(TRIM(C508),'02_REFERENTIEL_CLIENTS'!$A$2:$A$51,0)),"Non trouvé")</x:f>
        <x:v>Europe</x:v>
      </x:c>
      <x:c r="R508" t="str">
        <x:f>IF(OR(F508&lt;=0,G508&lt;0,G508&gt;F508,N508&lt;0,P508="Non trouvé"),"À vérifier","OK")</x:f>
        <x:v>OK</x:v>
      </x:c>
    </x:row>
    <x:row r="509">
      <x:c r="A509" t="str">
        <x:v>DV-2025-00508</x:v>
      </x:c>
      <x:c r="B509" s="16" t="n">
        <x:v>45851</x:v>
      </x:c>
      <x:c r="C509" t="str">
        <x:v>Client 26</x:v>
      </x:c>
      <x:c r="D509" t="str">
        <x:v>Fret aérien</x:v>
      </x:c>
      <x:c r="E509" t="str">
        <x:v>Pôle A</x:v>
      </x:c>
      <x:c r="F509" s="18" t="n">
        <x:v>5228.39</x:v>
      </x:c>
      <x:c r="G509" s="18" t="n">
        <x:v>5228.39</x:v>
      </x:c>
      <x:c r="H509" t="str">
        <x:v>Client 26</x:v>
      </x:c>
      <x:c r="I509" s="16" t="n">
        <x:v>45913</x:v>
      </x:c>
      <x:c r="J509" t="n">
        <x:f>YEAR(B509)</x:f>
        <x:v>2025</x:v>
      </x:c>
      <x:c r="K509" s="20" t="n">
        <x:f>DATE(YEAR(B509),MONTH(B509),1)</x:f>
        <x:v>45839</x:v>
      </x:c>
      <x:c r="L509" s="18" t="n">
        <x:f>F509-G509</x:f>
        <x:v>0</x:v>
      </x:c>
      <x:c r="M509" t="str">
        <x:f>IF(L509&lt;=0,"Payée",IF(G509=0,"Impayée","Partielle"))</x:f>
        <x:v>Payée</x:v>
      </x:c>
      <x:c r="N509" t="n">
        <x:f>IF(I509="","",I509-B509)</x:f>
        <x:v>62</x:v>
      </x:c>
      <x:c r="O509" t="str">
        <x:f>IF(TRIM(C509)&lt;&gt;TRIM(H509),"Oui","Non")</x:f>
        <x:v>Non</x:v>
      </x:c>
      <x:c r="P509" t="str">
        <x:f>IFERROR(INDEX('02_REFERENTIEL_CLIENTS'!$B$2:$B$51,MATCH(TRIM(C509),'02_REFERENTIEL_CLIENTS'!$A$2:$A$51,0)),"Non trouvé")</x:f>
        <x:v>PME</x:v>
      </x:c>
      <x:c r="Q509" t="str">
        <x:f>IFERROR(INDEX('02_REFERENTIEL_CLIENTS'!$C$2:$C$51,MATCH(TRIM(C509),'02_REFERENTIEL_CLIENTS'!$A$2:$A$51,0)),"Non trouvé")</x:f>
        <x:v>Europe</x:v>
      </x:c>
      <x:c r="R509" t="str">
        <x:f>IF(OR(F509&lt;=0,G509&lt;0,G509&gt;F509,N509&lt;0,P509="Non trouvé"),"À vérifier","OK")</x:f>
        <x:v>OK</x:v>
      </x:c>
    </x:row>
    <x:row r="510">
      <x:c r="A510" t="str">
        <x:v>DV-2024-00509</x:v>
      </x:c>
      <x:c r="B510" s="16" t="n">
        <x:v>45595</x:v>
      </x:c>
      <x:c r="C510" t="str">
        <x:v>Client 48</x:v>
      </x:c>
      <x:c r="D510" t="str">
        <x:v>Express</x:v>
      </x:c>
      <x:c r="E510" t="str">
        <x:v>Pôle C</x:v>
      </x:c>
      <x:c r="F510" s="18" t="n">
        <x:v>3648.72</x:v>
      </x:c>
      <x:c r="G510" s="18" t="n">
        <x:v>3648.72</x:v>
      </x:c>
      <x:c r="H510" t="str">
        <x:v>Client 48</x:v>
      </x:c>
      <x:c r="I510" s="16" t="n">
        <x:v>45677</x:v>
      </x:c>
      <x:c r="J510" t="n">
        <x:f>YEAR(B510)</x:f>
        <x:v>2024</x:v>
      </x:c>
      <x:c r="K510" s="20" t="n">
        <x:f>DATE(YEAR(B510),MONTH(B510),1)</x:f>
        <x:v>45566</x:v>
      </x:c>
      <x:c r="L510" s="18" t="n">
        <x:f>F510-G510</x:f>
        <x:v>0</x:v>
      </x:c>
      <x:c r="M510" t="str">
        <x:f>IF(L510&lt;=0,"Payée",IF(G510=0,"Impayée","Partielle"))</x:f>
        <x:v>Payée</x:v>
      </x:c>
      <x:c r="N510" t="n">
        <x:f>IF(I510="","",I510-B510)</x:f>
        <x:v>82</x:v>
      </x:c>
      <x:c r="O510" t="str">
        <x:f>IF(TRIM(C510)&lt;&gt;TRIM(H510),"Oui","Non")</x:f>
        <x:v>Non</x:v>
      </x:c>
      <x:c r="P510" t="str">
        <x:f>IFERROR(INDEX('02_REFERENTIEL_CLIENTS'!$B$2:$B$51,MATCH(TRIM(C510),'02_REFERENTIEL_CLIENTS'!$A$2:$A$51,0)),"Non trouvé")</x:f>
        <x:v>Particuliers</x:v>
      </x:c>
      <x:c r="Q510" t="str">
        <x:f>IFERROR(INDEX('02_REFERENTIEL_CLIENTS'!$C$2:$C$51,MATCH(TRIM(C510),'02_REFERENTIEL_CLIENTS'!$A$2:$A$51,0)),"Non trouvé")</x:f>
        <x:v>International</x:v>
      </x:c>
      <x:c r="R510" t="str">
        <x:f>IF(OR(F510&lt;=0,G510&lt;0,G510&gt;F510,N510&lt;0,P510="Non trouvé"),"À vérifier","OK")</x:f>
        <x:v>OK</x:v>
      </x:c>
    </x:row>
    <x:row r="511">
      <x:c r="A511" t="str">
        <x:v>DV-2025-00510</x:v>
      </x:c>
      <x:c r="B511" s="16" t="n">
        <x:v>45704</x:v>
      </x:c>
      <x:c r="C511" t="str">
        <x:v>Client 33</x:v>
      </x:c>
      <x:c r="D511" t="str">
        <x:v>Douane</x:v>
      </x:c>
      <x:c r="E511" t="str">
        <x:v>Pôle A</x:v>
      </x:c>
      <x:c r="F511" s="18" t="n">
        <x:v>17022.79</x:v>
      </x:c>
      <x:c r="G511" s="18" t="n">
        <x:v>0</x:v>
      </x:c>
      <x:c r="H511" t="str">
        <x:v>Client 33</x:v>
      </x:c>
      <x:c r="I511" s="16"/>
      <x:c r="J511" t="n">
        <x:f>YEAR(B511)</x:f>
        <x:v>2025</x:v>
      </x:c>
      <x:c r="K511" s="20" t="n">
        <x:f>DATE(YEAR(B511),MONTH(B511),1)</x:f>
        <x:v>45689</x:v>
      </x:c>
      <x:c r="L511" s="18" t="n">
        <x:f>F511-G511</x:f>
        <x:v>17022.79</x:v>
      </x:c>
      <x:c r="M511" t="str">
        <x:f>IF(L511&lt;=0,"Payée",IF(G511=0,"Impayée","Partielle"))</x:f>
        <x:v>Impayée</x:v>
      </x:c>
      <x:c r="N511" t="str">
        <x:f>IF(I511="","",I511-B511)</x:f>
      </x:c>
      <x:c r="O511" t="str">
        <x:f>IF(TRIM(C511)&lt;&gt;TRIM(H511),"Oui","Non")</x:f>
        <x:v>Non</x:v>
      </x:c>
      <x:c r="P511" t="str">
        <x:f>IFERROR(INDEX('02_REFERENTIEL_CLIENTS'!$B$2:$B$51,MATCH(TRIM(C511),'02_REFERENTIEL_CLIENTS'!$A$2:$A$51,0)),"Non trouvé")</x:f>
        <x:v>Particuliers</x:v>
      </x:c>
      <x:c r="Q511" t="str">
        <x:f>IFERROR(INDEX('02_REFERENTIEL_CLIENTS'!$C$2:$C$51,MATCH(TRIM(C511),'02_REFERENTIEL_CLIENTS'!$A$2:$A$51,0)),"Non trouvé")</x:f>
        <x:v>International</x:v>
      </x:c>
      <x:c r="R511" t="str">
        <x:f>IF(OR(F511&lt;=0,G511&lt;0,G511&gt;F511,N511&lt;0,P511="Non trouvé"),"À vérifier","OK")</x:f>
        <x:v>OK</x:v>
      </x:c>
    </x:row>
    <x:row r="512">
      <x:c r="A512" t="str">
        <x:v>DV-2025-00511</x:v>
      </x:c>
      <x:c r="B512" s="16" t="n">
        <x:v>45904</x:v>
      </x:c>
      <x:c r="C512" t="str">
        <x:v>Client 08</x:v>
      </x:c>
      <x:c r="D512" t="str">
        <x:v>Douane</x:v>
      </x:c>
      <x:c r="E512" t="str">
        <x:v>Pôle B</x:v>
      </x:c>
      <x:c r="F512" s="18" t="n">
        <x:v>3277</x:v>
      </x:c>
      <x:c r="G512" s="18" t="n">
        <x:v>0</x:v>
      </x:c>
      <x:c r="H512" t="str">
        <x:v>Client 08</x:v>
      </x:c>
      <x:c r="I512" s="16"/>
      <x:c r="J512" t="n">
        <x:f>YEAR(B512)</x:f>
        <x:v>2025</x:v>
      </x:c>
      <x:c r="K512" s="20" t="n">
        <x:f>DATE(YEAR(B512),MONTH(B512),1)</x:f>
        <x:v>45901</x:v>
      </x:c>
      <x:c r="L512" s="18" t="n">
        <x:f>F512-G512</x:f>
        <x:v>3277</x:v>
      </x:c>
      <x:c r="M512" t="str">
        <x:f>IF(L512&lt;=0,"Payée",IF(G512=0,"Impayée","Partielle"))</x:f>
        <x:v>Impayée</x:v>
      </x:c>
      <x:c r="N512" t="str">
        <x:f>IF(I512="","",I512-B512)</x:f>
      </x:c>
      <x:c r="O512" t="str">
        <x:f>IF(TRIM(C512)&lt;&gt;TRIM(H512),"Oui","Non")</x:f>
        <x:v>Non</x:v>
      </x:c>
      <x:c r="P512" t="str">
        <x:f>IFERROR(INDEX('02_REFERENTIEL_CLIENTS'!$B$2:$B$51,MATCH(TRIM(C512),'02_REFERENTIEL_CLIENTS'!$A$2:$A$51,0)),"Non trouvé")</x:f>
        <x:v>PME</x:v>
      </x:c>
      <x:c r="Q512" t="str">
        <x:f>IFERROR(INDEX('02_REFERENTIEL_CLIENTS'!$C$2:$C$51,MATCH(TRIM(C512),'02_REFERENTIEL_CLIENTS'!$A$2:$A$51,0)),"Non trouvé")</x:f>
        <x:v>Europe</x:v>
      </x:c>
      <x:c r="R512" t="str">
        <x:f>IF(OR(F512&lt;=0,G512&lt;0,G512&gt;F512,N512&lt;0,P512="Non trouvé"),"À vérifier","OK")</x:f>
        <x:v>OK</x:v>
      </x:c>
    </x:row>
    <x:row r="513">
      <x:c r="A513" t="str">
        <x:v>DV-2025-00512</x:v>
      </x:c>
      <x:c r="B513" s="16" t="n">
        <x:v>45729</x:v>
      </x:c>
      <x:c r="C513" t="str">
        <x:v>Client 21</x:v>
      </x:c>
      <x:c r="D513" t="str">
        <x:v>Fret aérien</x:v>
      </x:c>
      <x:c r="E513" t="str">
        <x:v>Pôle E</x:v>
      </x:c>
      <x:c r="F513" s="18" t="n">
        <x:v>8724.92</x:v>
      </x:c>
      <x:c r="G513" s="18" t="n">
        <x:v>8724.92</x:v>
      </x:c>
      <x:c r="H513" t="str">
        <x:v>Client 21</x:v>
      </x:c>
      <x:c r="I513" s="16" t="n">
        <x:v>45820</x:v>
      </x:c>
      <x:c r="J513" t="n">
        <x:f>YEAR(B513)</x:f>
        <x:v>2025</x:v>
      </x:c>
      <x:c r="K513" s="20" t="n">
        <x:f>DATE(YEAR(B513),MONTH(B513),1)</x:f>
        <x:v>45717</x:v>
      </x:c>
      <x:c r="L513" s="18" t="n">
        <x:f>F513-G513</x:f>
        <x:v>0</x:v>
      </x:c>
      <x:c r="M513" t="str">
        <x:f>IF(L513&lt;=0,"Payée",IF(G513=0,"Impayée","Partielle"))</x:f>
        <x:v>Payée</x:v>
      </x:c>
      <x:c r="N513" t="n">
        <x:f>IF(I513="","",I513-B513)</x:f>
        <x:v>91</x:v>
      </x:c>
      <x:c r="O513" t="str">
        <x:f>IF(TRIM(C513)&lt;&gt;TRIM(H513),"Oui","Non")</x:f>
        <x:v>Non</x:v>
      </x:c>
      <x:c r="P513" t="str">
        <x:f>IFERROR(INDEX('02_REFERENTIEL_CLIENTS'!$B$2:$B$51,MATCH(TRIM(C513),'02_REFERENTIEL_CLIENTS'!$A$2:$A$51,0)),"Non trouvé")</x:f>
        <x:v>Particuliers</x:v>
      </x:c>
      <x:c r="Q513" t="str">
        <x:f>IFERROR(INDEX('02_REFERENTIEL_CLIENTS'!$C$2:$C$51,MATCH(TRIM(C513),'02_REFERENTIEL_CLIENTS'!$A$2:$A$51,0)),"Non trouvé")</x:f>
        <x:v>International</x:v>
      </x:c>
      <x:c r="R513" t="str">
        <x:f>IF(OR(F513&lt;=0,G513&lt;0,G513&gt;F513,N513&lt;0,P513="Non trouvé"),"À vérifier","OK")</x:f>
        <x:v>OK</x:v>
      </x:c>
    </x:row>
    <x:row r="514">
      <x:c r="A514" t="str">
        <x:v>DV-2025-00513</x:v>
      </x:c>
      <x:c r="B514" s="16" t="n">
        <x:v>45683</x:v>
      </x:c>
      <x:c r="C514" t="str">
        <x:v>Client 42</x:v>
      </x:c>
      <x:c r="D514" t="str">
        <x:v>Douane</x:v>
      </x:c>
      <x:c r="E514" t="str">
        <x:v>Pôle E</x:v>
      </x:c>
      <x:c r="F514" s="18" t="n">
        <x:v>18654.22</x:v>
      </x:c>
      <x:c r="G514" s="18" t="n">
        <x:v>18654.22</x:v>
      </x:c>
      <x:c r="H514" t="str">
        <x:v>Client 42</x:v>
      </x:c>
      <x:c r="I514" s="16" t="n">
        <x:v>45685</x:v>
      </x:c>
      <x:c r="J514" t="n">
        <x:f>YEAR(B514)</x:f>
        <x:v>2025</x:v>
      </x:c>
      <x:c r="K514" s="20" t="n">
        <x:f>DATE(YEAR(B514),MONTH(B514),1)</x:f>
        <x:v>45658</x:v>
      </x:c>
      <x:c r="L514" s="18" t="n">
        <x:f>F514-G514</x:f>
        <x:v>0</x:v>
      </x:c>
      <x:c r="M514" t="str">
        <x:f>IF(L514&lt;=0,"Payée",IF(G514=0,"Impayée","Partielle"))</x:f>
        <x:v>Payée</x:v>
      </x:c>
      <x:c r="N514" t="n">
        <x:f>IF(I514="","",I514-B514)</x:f>
        <x:v>2</x:v>
      </x:c>
      <x:c r="O514" t="str">
        <x:f>IF(TRIM(C514)&lt;&gt;TRIM(H514),"Oui","Non")</x:f>
        <x:v>Non</x:v>
      </x:c>
      <x:c r="P514" t="str">
        <x:f>IFERROR(INDEX('02_REFERENTIEL_CLIENTS'!$B$2:$B$51,MATCH(TRIM(C514),'02_REFERENTIEL_CLIENTS'!$A$2:$A$51,0)),"Non trouvé")</x:f>
        <x:v>Particuliers</x:v>
      </x:c>
      <x:c r="Q514" t="str">
        <x:f>IFERROR(INDEX('02_REFERENTIEL_CLIENTS'!$C$2:$C$51,MATCH(TRIM(C514),'02_REFERENTIEL_CLIENTS'!$A$2:$A$51,0)),"Non trouvé")</x:f>
        <x:v>International</x:v>
      </x:c>
      <x:c r="R514" t="str">
        <x:f>IF(OR(F514&lt;=0,G514&lt;0,G514&gt;F514,N514&lt;0,P514="Non trouvé"),"À vérifier","OK")</x:f>
        <x:v>OK</x:v>
      </x:c>
    </x:row>
    <x:row r="515">
      <x:c r="A515" t="str">
        <x:v>DV-2026-00514</x:v>
      </x:c>
      <x:c r="B515" s="16" t="n">
        <x:v>46047</x:v>
      </x:c>
      <x:c r="C515" t="str">
        <x:v>Client 33</x:v>
      </x:c>
      <x:c r="D515" t="str">
        <x:v>Logistique</x:v>
      </x:c>
      <x:c r="E515" t="str">
        <x:v>Pôle E</x:v>
      </x:c>
      <x:c r="F515" s="18" t="n">
        <x:v>11542.26</x:v>
      </x:c>
      <x:c r="G515" s="18" t="n">
        <x:v>11542.26</x:v>
      </x:c>
      <x:c r="H515" t="str">
        <x:v>Client 33</x:v>
      </x:c>
      <x:c r="I515" s="16" t="n">
        <x:v>46113</x:v>
      </x:c>
      <x:c r="J515" t="n">
        <x:f>YEAR(B515)</x:f>
        <x:v>2026</x:v>
      </x:c>
      <x:c r="K515" s="20" t="n">
        <x:f>DATE(YEAR(B515),MONTH(B515),1)</x:f>
        <x:v>46023</x:v>
      </x:c>
      <x:c r="L515" s="18" t="n">
        <x:f>F515-G515</x:f>
        <x:v>0</x:v>
      </x:c>
      <x:c r="M515" t="str">
        <x:f>IF(L515&lt;=0,"Payée",IF(G515=0,"Impayée","Partielle"))</x:f>
        <x:v>Payée</x:v>
      </x:c>
      <x:c r="N515" t="n">
        <x:f>IF(I515="","",I515-B515)</x:f>
        <x:v>66</x:v>
      </x:c>
      <x:c r="O515" t="str">
        <x:f>IF(TRIM(C515)&lt;&gt;TRIM(H515),"Oui","Non")</x:f>
        <x:v>Non</x:v>
      </x:c>
      <x:c r="P515" t="str">
        <x:f>IFERROR(INDEX('02_REFERENTIEL_CLIENTS'!$B$2:$B$51,MATCH(TRIM(C515),'02_REFERENTIEL_CLIENTS'!$A$2:$A$51,0)),"Non trouvé")</x:f>
        <x:v>Particuliers</x:v>
      </x:c>
      <x:c r="Q515" t="str">
        <x:f>IFERROR(INDEX('02_REFERENTIEL_CLIENTS'!$C$2:$C$51,MATCH(TRIM(C515),'02_REFERENTIEL_CLIENTS'!$A$2:$A$51,0)),"Non trouvé")</x:f>
        <x:v>International</x:v>
      </x:c>
      <x:c r="R515" t="str">
        <x:f>IF(OR(F515&lt;=0,G515&lt;0,G515&gt;F515,N515&lt;0,P515="Non trouvé"),"À vérifier","OK")</x:f>
        <x:v>OK</x:v>
      </x:c>
    </x:row>
    <x:row r="516">
      <x:c r="A516" t="str">
        <x:v>DV-2024-00515</x:v>
      </x:c>
      <x:c r="B516" s="16" t="n">
        <x:v>45351</x:v>
      </x:c>
      <x:c r="C516" t="str">
        <x:v>Client 28</x:v>
      </x:c>
      <x:c r="D516" t="str">
        <x:v>Fret aérien</x:v>
      </x:c>
      <x:c r="E516" t="str">
        <x:v>Pôle B</x:v>
      </x:c>
      <x:c r="F516" s="18" t="n">
        <x:v>20175.42</x:v>
      </x:c>
      <x:c r="G516" s="18" t="n">
        <x:v>20175.42</x:v>
      </x:c>
      <x:c r="H516" t="str">
        <x:v>Client 28</x:v>
      </x:c>
      <x:c r="I516" s="16" t="n">
        <x:v>45366</x:v>
      </x:c>
      <x:c r="J516" t="n">
        <x:f>YEAR(B516)</x:f>
        <x:v>2024</x:v>
      </x:c>
      <x:c r="K516" s="20" t="n">
        <x:f>DATE(YEAR(B516),MONTH(B516),1)</x:f>
        <x:v>45323</x:v>
      </x:c>
      <x:c r="L516" s="18" t="n">
        <x:f>F516-G516</x:f>
        <x:v>0</x:v>
      </x:c>
      <x:c r="M516" t="str">
        <x:f>IF(L516&lt;=0,"Payée",IF(G516=0,"Impayée","Partielle"))</x:f>
        <x:v>Payée</x:v>
      </x:c>
      <x:c r="N516" t="n">
        <x:f>IF(I516="","",I516-B516)</x:f>
        <x:v>15</x:v>
      </x:c>
      <x:c r="O516" t="str">
        <x:f>IF(TRIM(C516)&lt;&gt;TRIM(H516),"Oui","Non")</x:f>
        <x:v>Non</x:v>
      </x:c>
      <x:c r="P516" t="str">
        <x:f>IFERROR(INDEX('02_REFERENTIEL_CLIENTS'!$B$2:$B$51,MATCH(TRIM(C516),'02_REFERENTIEL_CLIENTS'!$A$2:$A$51,0)),"Non trouvé")</x:f>
        <x:v>Grands comptes</x:v>
      </x:c>
      <x:c r="Q516" t="str">
        <x:f>IFERROR(INDEX('02_REFERENTIEL_CLIENTS'!$C$2:$C$51,MATCH(TRIM(C516),'02_REFERENTIEL_CLIENTS'!$A$2:$A$51,0)),"Non trouvé")</x:f>
        <x:v>France</x:v>
      </x:c>
      <x:c r="R516" t="str">
        <x:f>IF(OR(F516&lt;=0,G516&lt;0,G516&gt;F516,N516&lt;0,P516="Non trouvé"),"À vérifier","OK")</x:f>
        <x:v>OK</x:v>
      </x:c>
    </x:row>
    <x:row r="517">
      <x:c r="A517" t="str">
        <x:v>DV-2026-00516</x:v>
      </x:c>
      <x:c r="B517" s="16" t="n">
        <x:v>46191</x:v>
      </x:c>
      <x:c r="C517" t="str">
        <x:v>Client 02</x:v>
      </x:c>
      <x:c r="D517" t="str">
        <x:v>Douane</x:v>
      </x:c>
      <x:c r="E517" t="str">
        <x:v>Pôle B</x:v>
      </x:c>
      <x:c r="F517" s="18" t="n">
        <x:v>21953.86</x:v>
      </x:c>
      <x:c r="G517" s="18" t="n">
        <x:v>21953.86</x:v>
      </x:c>
      <x:c r="H517" t="str">
        <x:v>Client 02</x:v>
      </x:c>
      <x:c r="I517" s="16" t="n">
        <x:v>46254</x:v>
      </x:c>
      <x:c r="J517" t="n">
        <x:f>YEAR(B517)</x:f>
        <x:v>2026</x:v>
      </x:c>
      <x:c r="K517" s="20" t="n">
        <x:f>DATE(YEAR(B517),MONTH(B517),1)</x:f>
        <x:v>46174</x:v>
      </x:c>
      <x:c r="L517" s="18" t="n">
        <x:f>F517-G517</x:f>
        <x:v>0</x:v>
      </x:c>
      <x:c r="M517" t="str">
        <x:f>IF(L517&lt;=0,"Payée",IF(G517=0,"Impayée","Partielle"))</x:f>
        <x:v>Payée</x:v>
      </x:c>
      <x:c r="N517" t="n">
        <x:f>IF(I517="","",I517-B517)</x:f>
        <x:v>63</x:v>
      </x:c>
      <x:c r="O517" t="str">
        <x:f>IF(TRIM(C517)&lt;&gt;TRIM(H517),"Oui","Non")</x:f>
        <x:v>Non</x:v>
      </x:c>
      <x:c r="P517" t="str">
        <x:f>IFERROR(INDEX('02_REFERENTIEL_CLIENTS'!$B$2:$B$51,MATCH(TRIM(C517),'02_REFERENTIEL_CLIENTS'!$A$2:$A$51,0)),"Non trouvé")</x:f>
        <x:v>PME</x:v>
      </x:c>
      <x:c r="Q517" t="str">
        <x:f>IFERROR(INDEX('02_REFERENTIEL_CLIENTS'!$C$2:$C$51,MATCH(TRIM(C517),'02_REFERENTIEL_CLIENTS'!$A$2:$A$51,0)),"Non trouvé")</x:f>
        <x:v>Europe</x:v>
      </x:c>
      <x:c r="R517" t="str">
        <x:f>IF(OR(F517&lt;=0,G517&lt;0,G517&gt;F517,N517&lt;0,P517="Non trouvé"),"À vérifier","OK")</x:f>
        <x:v>OK</x:v>
      </x:c>
    </x:row>
    <x:row r="518">
      <x:c r="A518" t="str">
        <x:v>DV-2025-00517</x:v>
      </x:c>
      <x:c r="B518" s="16" t="n">
        <x:v>45687</x:v>
      </x:c>
      <x:c r="C518" t="str">
        <x:v>Client 27</x:v>
      </x:c>
      <x:c r="D518" t="str">
        <x:v>Douane</x:v>
      </x:c>
      <x:c r="E518" t="str">
        <x:v>Pôle C</x:v>
      </x:c>
      <x:c r="F518" s="18" t="n">
        <x:v>16972.81</x:v>
      </x:c>
      <x:c r="G518" s="18" t="n">
        <x:v>16972.81</x:v>
      </x:c>
      <x:c r="H518" t="str">
        <x:v>Client 27</x:v>
      </x:c>
      <x:c r="I518" s="16" t="n">
        <x:v>45774</x:v>
      </x:c>
      <x:c r="J518" t="n">
        <x:f>YEAR(B518)</x:f>
        <x:v>2025</x:v>
      </x:c>
      <x:c r="K518" s="20" t="n">
        <x:f>DATE(YEAR(B518),MONTH(B518),1)</x:f>
        <x:v>45658</x:v>
      </x:c>
      <x:c r="L518" s="18" t="n">
        <x:f>F518-G518</x:f>
        <x:v>0</x:v>
      </x:c>
      <x:c r="M518" t="str">
        <x:f>IF(L518&lt;=0,"Payée",IF(G518=0,"Impayée","Partielle"))</x:f>
        <x:v>Payée</x:v>
      </x:c>
      <x:c r="N518" t="n">
        <x:f>IF(I518="","",I518-B518)</x:f>
        <x:v>87</x:v>
      </x:c>
      <x:c r="O518" t="str">
        <x:f>IF(TRIM(C518)&lt;&gt;TRIM(H518),"Oui","Non")</x:f>
        <x:v>Non</x:v>
      </x:c>
      <x:c r="P518" t="str">
        <x:f>IFERROR(INDEX('02_REFERENTIEL_CLIENTS'!$B$2:$B$51,MATCH(TRIM(C518),'02_REFERENTIEL_CLIENTS'!$A$2:$A$51,0)),"Non trouvé")</x:f>
        <x:v>Particuliers</x:v>
      </x:c>
      <x:c r="Q518" t="str">
        <x:f>IFERROR(INDEX('02_REFERENTIEL_CLIENTS'!$C$2:$C$51,MATCH(TRIM(C518),'02_REFERENTIEL_CLIENTS'!$A$2:$A$51,0)),"Non trouvé")</x:f>
        <x:v>International</x:v>
      </x:c>
      <x:c r="R518" t="str">
        <x:f>IF(OR(F518&lt;=0,G518&lt;0,G518&gt;F518,N518&lt;0,P518="Non trouvé"),"À vérifier","OK")</x:f>
        <x:v>OK</x:v>
      </x:c>
    </x:row>
    <x:row r="519">
      <x:c r="A519" t="str">
        <x:v>DV-2024-00518</x:v>
      </x:c>
      <x:c r="B519" s="16" t="n">
        <x:v>45572</x:v>
      </x:c>
      <x:c r="C519" t="str">
        <x:v>Client 35</x:v>
      </x:c>
      <x:c r="D519" t="str">
        <x:v>Express</x:v>
      </x:c>
      <x:c r="E519" t="str">
        <x:v>Pôle E</x:v>
      </x:c>
      <x:c r="F519" s="18" t="n">
        <x:v>3548.64</x:v>
      </x:c>
      <x:c r="G519" s="18" t="n">
        <x:v>0</x:v>
      </x:c>
      <x:c r="H519" t="str">
        <x:v>Client 35</x:v>
      </x:c>
      <x:c r="I519" s="16"/>
      <x:c r="J519" t="n">
        <x:f>YEAR(B519)</x:f>
        <x:v>2024</x:v>
      </x:c>
      <x:c r="K519" s="20" t="n">
        <x:f>DATE(YEAR(B519),MONTH(B519),1)</x:f>
        <x:v>45566</x:v>
      </x:c>
      <x:c r="L519" s="18" t="n">
        <x:f>F519-G519</x:f>
        <x:v>3548.64</x:v>
      </x:c>
      <x:c r="M519" t="str">
        <x:f>IF(L519&lt;=0,"Payée",IF(G519=0,"Impayée","Partielle"))</x:f>
        <x:v>Impayée</x:v>
      </x:c>
      <x:c r="N519" t="str">
        <x:f>IF(I519="","",I519-B519)</x:f>
      </x:c>
      <x:c r="O519" t="str">
        <x:f>IF(TRIM(C519)&lt;&gt;TRIM(H519),"Oui","Non")</x:f>
        <x:v>Non</x:v>
      </x:c>
      <x:c r="P519" t="str">
        <x:f>IFERROR(INDEX('02_REFERENTIEL_CLIENTS'!$B$2:$B$51,MATCH(TRIM(C519),'02_REFERENTIEL_CLIENTS'!$A$2:$A$51,0)),"Non trouvé")</x:f>
        <x:v>PME</x:v>
      </x:c>
      <x:c r="Q519" t="str">
        <x:f>IFERROR(INDEX('02_REFERENTIEL_CLIENTS'!$C$2:$C$51,MATCH(TRIM(C519),'02_REFERENTIEL_CLIENTS'!$A$2:$A$51,0)),"Non trouvé")</x:f>
        <x:v>Europe</x:v>
      </x:c>
      <x:c r="R519" t="str">
        <x:f>IF(OR(F519&lt;=0,G519&lt;0,G519&gt;F519,N519&lt;0,P519="Non trouvé"),"À vérifier","OK")</x:f>
        <x:v>OK</x:v>
      </x:c>
    </x:row>
    <x:row r="520">
      <x:c r="A520" t="str">
        <x:v>DV-2026-00519</x:v>
      </x:c>
      <x:c r="B520" s="16" t="n">
        <x:v>46068</x:v>
      </x:c>
      <x:c r="C520" t="str">
        <x:v>Client 45</x:v>
      </x:c>
      <x:c r="D520" t="str">
        <x:v>Fret aérien</x:v>
      </x:c>
      <x:c r="E520" t="str">
        <x:v>Pôle A</x:v>
      </x:c>
      <x:c r="F520" s="18" t="n">
        <x:v>23411.7</x:v>
      </x:c>
      <x:c r="G520" s="18" t="n">
        <x:v>23411.7</x:v>
      </x:c>
      <x:c r="H520" t="str">
        <x:v>Client 45</x:v>
      </x:c>
      <x:c r="I520" s="16" t="n">
        <x:v>46098</x:v>
      </x:c>
      <x:c r="J520" t="n">
        <x:f>YEAR(B520)</x:f>
        <x:v>2026</x:v>
      </x:c>
      <x:c r="K520" s="20" t="n">
        <x:f>DATE(YEAR(B520),MONTH(B520),1)</x:f>
        <x:v>46054</x:v>
      </x:c>
      <x:c r="L520" s="18" t="n">
        <x:f>F520-G520</x:f>
        <x:v>0</x:v>
      </x:c>
      <x:c r="M520" t="str">
        <x:f>IF(L520&lt;=0,"Payée",IF(G520=0,"Impayée","Partielle"))</x:f>
        <x:v>Payée</x:v>
      </x:c>
      <x:c r="N520" t="n">
        <x:f>IF(I520="","",I520-B520)</x:f>
        <x:v>30</x:v>
      </x:c>
      <x:c r="O520" t="str">
        <x:f>IF(TRIM(C520)&lt;&gt;TRIM(H520),"Oui","Non")</x:f>
        <x:v>Non</x:v>
      </x:c>
      <x:c r="P520" t="str">
        <x:f>IFERROR(INDEX('02_REFERENTIEL_CLIENTS'!$B$2:$B$51,MATCH(TRIM(C520),'02_REFERENTIEL_CLIENTS'!$A$2:$A$51,0)),"Non trouvé")</x:f>
        <x:v>Particuliers</x:v>
      </x:c>
      <x:c r="Q520" t="str">
        <x:f>IFERROR(INDEX('02_REFERENTIEL_CLIENTS'!$C$2:$C$51,MATCH(TRIM(C520),'02_REFERENTIEL_CLIENTS'!$A$2:$A$51,0)),"Non trouvé")</x:f>
        <x:v>International</x:v>
      </x:c>
      <x:c r="R520" t="str">
        <x:f>IF(OR(F520&lt;=0,G520&lt;0,G520&gt;F520,N520&lt;0,P520="Non trouvé"),"À vérifier","OK")</x:f>
        <x:v>OK</x:v>
      </x:c>
    </x:row>
    <x:row r="521">
      <x:c r="A521" t="str">
        <x:v>DV-2025-00520</x:v>
      </x:c>
      <x:c r="B521" s="16" t="n">
        <x:v>46021</x:v>
      </x:c>
      <x:c r="C521" t="str">
        <x:v>Client 02</x:v>
      </x:c>
      <x:c r="D521" t="str">
        <x:v>Express</x:v>
      </x:c>
      <x:c r="E521" t="str">
        <x:v>Pôle C</x:v>
      </x:c>
      <x:c r="F521" s="18" t="n">
        <x:v>16048.64</x:v>
      </x:c>
      <x:c r="G521" s="18" t="n">
        <x:v>16048.64</x:v>
      </x:c>
      <x:c r="H521" t="str">
        <x:v>Client 02</x:v>
      </x:c>
      <x:c r="I521" s="16" t="n">
        <x:v>46097</x:v>
      </x:c>
      <x:c r="J521" t="n">
        <x:f>YEAR(B521)</x:f>
        <x:v>2025</x:v>
      </x:c>
      <x:c r="K521" s="20" t="n">
        <x:f>DATE(YEAR(B521),MONTH(B521),1)</x:f>
        <x:v>45992</x:v>
      </x:c>
      <x:c r="L521" s="18" t="n">
        <x:f>F521-G521</x:f>
        <x:v>0</x:v>
      </x:c>
      <x:c r="M521" t="str">
        <x:f>IF(L521&lt;=0,"Payée",IF(G521=0,"Impayée","Partielle"))</x:f>
        <x:v>Payée</x:v>
      </x:c>
      <x:c r="N521" t="n">
        <x:f>IF(I521="","",I521-B521)</x:f>
        <x:v>76</x:v>
      </x:c>
      <x:c r="O521" t="str">
        <x:f>IF(TRIM(C521)&lt;&gt;TRIM(H521),"Oui","Non")</x:f>
        <x:v>Non</x:v>
      </x:c>
      <x:c r="P521" t="str">
        <x:f>IFERROR(INDEX('02_REFERENTIEL_CLIENTS'!$B$2:$B$51,MATCH(TRIM(C521),'02_REFERENTIEL_CLIENTS'!$A$2:$A$51,0)),"Non trouvé")</x:f>
        <x:v>PME</x:v>
      </x:c>
      <x:c r="Q521" t="str">
        <x:f>IFERROR(INDEX('02_REFERENTIEL_CLIENTS'!$C$2:$C$51,MATCH(TRIM(C521),'02_REFERENTIEL_CLIENTS'!$A$2:$A$51,0)),"Non trouvé")</x:f>
        <x:v>Europe</x:v>
      </x:c>
      <x:c r="R521" t="str">
        <x:f>IF(OR(F521&lt;=0,G521&lt;0,G521&gt;F521,N521&lt;0,P521="Non trouvé"),"À vérifier","OK")</x:f>
        <x:v>OK</x:v>
      </x:c>
    </x:row>
    <x:row r="522">
      <x:c r="A522" t="str">
        <x:v>DV-2024-00521</x:v>
      </x:c>
      <x:c r="B522" s="16" t="n">
        <x:v>45482</x:v>
      </x:c>
      <x:c r="C522" t="str">
        <x:v>Client 41</x:v>
      </x:c>
      <x:c r="D522" t="str">
        <x:v>Douane</x:v>
      </x:c>
      <x:c r="E522" t="str">
        <x:v>Pôle A</x:v>
      </x:c>
      <x:c r="F522" s="18" t="n">
        <x:v>420.87</x:v>
      </x:c>
      <x:c r="G522" s="18" t="n">
        <x:v>420.87</x:v>
      </x:c>
      <x:c r="H522" t="str">
        <x:v>Client 41</x:v>
      </x:c>
      <x:c r="I522" s="16" t="n">
        <x:v>45498</x:v>
      </x:c>
      <x:c r="J522" t="n">
        <x:f>YEAR(B522)</x:f>
        <x:v>2024</x:v>
      </x:c>
      <x:c r="K522" s="20" t="n">
        <x:f>DATE(YEAR(B522),MONTH(B522),1)</x:f>
        <x:v>45474</x:v>
      </x:c>
      <x:c r="L522" s="18" t="n">
        <x:f>F522-G522</x:f>
        <x:v>0</x:v>
      </x:c>
      <x:c r="M522" t="str">
        <x:f>IF(L522&lt;=0,"Payée",IF(G522=0,"Impayée","Partielle"))</x:f>
        <x:v>Payée</x:v>
      </x:c>
      <x:c r="N522" t="n">
        <x:f>IF(I522="","",I522-B522)</x:f>
        <x:v>16</x:v>
      </x:c>
      <x:c r="O522" t="str">
        <x:f>IF(TRIM(C522)&lt;&gt;TRIM(H522),"Oui","Non")</x:f>
        <x:v>Non</x:v>
      </x:c>
      <x:c r="P522" t="str">
        <x:f>IFERROR(INDEX('02_REFERENTIEL_CLIENTS'!$B$2:$B$51,MATCH(TRIM(C522),'02_REFERENTIEL_CLIENTS'!$A$2:$A$51,0)),"Non trouvé")</x:f>
        <x:v>PME</x:v>
      </x:c>
      <x:c r="Q522" t="str">
        <x:f>IFERROR(INDEX('02_REFERENTIEL_CLIENTS'!$C$2:$C$51,MATCH(TRIM(C522),'02_REFERENTIEL_CLIENTS'!$A$2:$A$51,0)),"Non trouvé")</x:f>
        <x:v>Europe</x:v>
      </x:c>
      <x:c r="R522" t="str">
        <x:f>IF(OR(F522&lt;=0,G522&lt;0,G522&gt;F522,N522&lt;0,P522="Non trouvé"),"À vérifier","OK")</x:f>
        <x:v>OK</x:v>
      </x:c>
    </x:row>
    <x:row r="523">
      <x:c r="A523" t="str">
        <x:v>DV-2024-00522</x:v>
      </x:c>
      <x:c r="B523" s="16" t="n">
        <x:v>45376</x:v>
      </x:c>
      <x:c r="C523" t="str">
        <x:v>Client 26</x:v>
      </x:c>
      <x:c r="D523" t="str">
        <x:v>Express</x:v>
      </x:c>
      <x:c r="E523" t="str">
        <x:v>Pôle B</x:v>
      </x:c>
      <x:c r="F523" s="18" t="n">
        <x:v>15431.6</x:v>
      </x:c>
      <x:c r="G523" s="18" t="n">
        <x:v>15431.6</x:v>
      </x:c>
      <x:c r="H523" t="str">
        <x:v>Client 26</x:v>
      </x:c>
      <x:c r="I523" s="16" t="n">
        <x:v>45446</x:v>
      </x:c>
      <x:c r="J523" t="n">
        <x:f>YEAR(B523)</x:f>
        <x:v>2024</x:v>
      </x:c>
      <x:c r="K523" s="20" t="n">
        <x:f>DATE(YEAR(B523),MONTH(B523),1)</x:f>
        <x:v>45352</x:v>
      </x:c>
      <x:c r="L523" s="18" t="n">
        <x:f>F523-G523</x:f>
        <x:v>0</x:v>
      </x:c>
      <x:c r="M523" t="str">
        <x:f>IF(L523&lt;=0,"Payée",IF(G523=0,"Impayée","Partielle"))</x:f>
        <x:v>Payée</x:v>
      </x:c>
      <x:c r="N523" t="n">
        <x:f>IF(I523="","",I523-B523)</x:f>
        <x:v>70</x:v>
      </x:c>
      <x:c r="O523" t="str">
        <x:f>IF(TRIM(C523)&lt;&gt;TRIM(H523),"Oui","Non")</x:f>
        <x:v>Non</x:v>
      </x:c>
      <x:c r="P523" t="str">
        <x:f>IFERROR(INDEX('02_REFERENTIEL_CLIENTS'!$B$2:$B$51,MATCH(TRIM(C523),'02_REFERENTIEL_CLIENTS'!$A$2:$A$51,0)),"Non trouvé")</x:f>
        <x:v>PME</x:v>
      </x:c>
      <x:c r="Q523" t="str">
        <x:f>IFERROR(INDEX('02_REFERENTIEL_CLIENTS'!$C$2:$C$51,MATCH(TRIM(C523),'02_REFERENTIEL_CLIENTS'!$A$2:$A$51,0)),"Non trouvé")</x:f>
        <x:v>Europe</x:v>
      </x:c>
      <x:c r="R523" t="str">
        <x:f>IF(OR(F523&lt;=0,G523&lt;0,G523&gt;F523,N523&lt;0,P523="Non trouvé"),"À vérifier","OK")</x:f>
        <x:v>OK</x:v>
      </x:c>
    </x:row>
    <x:row r="524">
      <x:c r="A524" t="str">
        <x:v>DV-2025-00523</x:v>
      </x:c>
      <x:c r="B524" s="16" t="n">
        <x:v>45934</x:v>
      </x:c>
      <x:c r="C524" t="str">
        <x:v>Client 19</x:v>
      </x:c>
      <x:c r="D524" t="str">
        <x:v>Logistique</x:v>
      </x:c>
      <x:c r="E524" t="str">
        <x:v>Pôle E</x:v>
      </x:c>
      <x:c r="F524" s="18" t="n">
        <x:v>6629.56</x:v>
      </x:c>
      <x:c r="G524" s="18" t="n">
        <x:v>5729.07</x:v>
      </x:c>
      <x:c r="H524" t="str">
        <x:v>Client 19</x:v>
      </x:c>
      <x:c r="I524" s="16" t="n">
        <x:v>45974</x:v>
      </x:c>
      <x:c r="J524" t="n">
        <x:f>YEAR(B524)</x:f>
        <x:v>2025</x:v>
      </x:c>
      <x:c r="K524" s="20" t="n">
        <x:f>DATE(YEAR(B524),MONTH(B524),1)</x:f>
        <x:v>45931</x:v>
      </x:c>
      <x:c r="L524" s="18" t="n">
        <x:f>F524-G524</x:f>
        <x:v>900.4900000000007</x:v>
      </x:c>
      <x:c r="M524" t="str">
        <x:f>IF(L524&lt;=0,"Payée",IF(G524=0,"Impayée","Partielle"))</x:f>
        <x:v>Partielle</x:v>
      </x:c>
      <x:c r="N524" t="n">
        <x:f>IF(I524="","",I524-B524)</x:f>
        <x:v>40</x:v>
      </x:c>
      <x:c r="O524" t="str">
        <x:f>IF(TRIM(C524)&lt;&gt;TRIM(H524),"Oui","Non")</x:f>
        <x:v>Non</x:v>
      </x:c>
      <x:c r="P524" t="str">
        <x:f>IFERROR(INDEX('02_REFERENTIEL_CLIENTS'!$B$2:$B$51,MATCH(TRIM(C524),'02_REFERENTIEL_CLIENTS'!$A$2:$A$51,0)),"Non trouvé")</x:f>
        <x:v>Grands comptes</x:v>
      </x:c>
      <x:c r="Q524" t="str">
        <x:f>IFERROR(INDEX('02_REFERENTIEL_CLIENTS'!$C$2:$C$51,MATCH(TRIM(C524),'02_REFERENTIEL_CLIENTS'!$A$2:$A$51,0)),"Non trouvé")</x:f>
        <x:v>France</x:v>
      </x:c>
      <x:c r="R524" t="str">
        <x:f>IF(OR(F524&lt;=0,G524&lt;0,G524&gt;F524,N524&lt;0,P524="Non trouvé"),"À vérifier","OK")</x:f>
        <x:v>OK</x:v>
      </x:c>
    </x:row>
    <x:row r="525">
      <x:c r="A525" t="str">
        <x:v>DV-2025-00524</x:v>
      </x:c>
      <x:c r="B525" s="16" t="n">
        <x:v>45935</x:v>
      </x:c>
      <x:c r="C525" t="str">
        <x:v>Client 12</x:v>
      </x:c>
      <x:c r="D525" t="str">
        <x:v>Fret maritime</x:v>
      </x:c>
      <x:c r="E525" t="str">
        <x:v>Pôle D</x:v>
      </x:c>
      <x:c r="F525" s="18" t="n">
        <x:v>24439.24</x:v>
      </x:c>
      <x:c r="G525" s="18" t="n">
        <x:v>24439.24</x:v>
      </x:c>
      <x:c r="H525" t="str">
        <x:v>Client 12</x:v>
      </x:c>
      <x:c r="I525" s="16" t="n">
        <x:v>46014</x:v>
      </x:c>
      <x:c r="J525" t="n">
        <x:f>YEAR(B525)</x:f>
        <x:v>2025</x:v>
      </x:c>
      <x:c r="K525" s="20" t="n">
        <x:f>DATE(YEAR(B525),MONTH(B525),1)</x:f>
        <x:v>45931</x:v>
      </x:c>
      <x:c r="L525" s="18" t="n">
        <x:f>F525-G525</x:f>
        <x:v>0</x:v>
      </x:c>
      <x:c r="M525" t="str">
        <x:f>IF(L525&lt;=0,"Payée",IF(G525=0,"Impayée","Partielle"))</x:f>
        <x:v>Payée</x:v>
      </x:c>
      <x:c r="N525" t="n">
        <x:f>IF(I525="","",I525-B525)</x:f>
        <x:v>79</x:v>
      </x:c>
      <x:c r="O525" t="str">
        <x:f>IF(TRIM(C525)&lt;&gt;TRIM(H525),"Oui","Non")</x:f>
        <x:v>Non</x:v>
      </x:c>
      <x:c r="P525" t="str">
        <x:f>IFERROR(INDEX('02_REFERENTIEL_CLIENTS'!$B$2:$B$51,MATCH(TRIM(C525),'02_REFERENTIEL_CLIENTS'!$A$2:$A$51,0)),"Non trouvé")</x:f>
        <x:v>Particuliers</x:v>
      </x:c>
      <x:c r="Q525" t="str">
        <x:f>IFERROR(INDEX('02_REFERENTIEL_CLIENTS'!$C$2:$C$51,MATCH(TRIM(C525),'02_REFERENTIEL_CLIENTS'!$A$2:$A$51,0)),"Non trouvé")</x:f>
        <x:v>International</x:v>
      </x:c>
      <x:c r="R525" t="str">
        <x:f>IF(OR(F525&lt;=0,G525&lt;0,G525&gt;F525,N525&lt;0,P525="Non trouvé"),"À vérifier","OK")</x:f>
        <x:v>OK</x:v>
      </x:c>
    </x:row>
    <x:row r="526">
      <x:c r="A526" t="str">
        <x:v>DV-2025-00525</x:v>
      </x:c>
      <x:c r="B526" s="16" t="n">
        <x:v>45983</x:v>
      </x:c>
      <x:c r="C526" t="str">
        <x:v>Client 36</x:v>
      </x:c>
      <x:c r="D526" t="str">
        <x:v>Express</x:v>
      </x:c>
      <x:c r="E526" t="str">
        <x:v>Pôle C</x:v>
      </x:c>
      <x:c r="F526" s="18" t="n">
        <x:v>3228.72</x:v>
      </x:c>
      <x:c r="G526" s="18" t="n">
        <x:v>3228.72</x:v>
      </x:c>
      <x:c r="H526" t="str">
        <x:v>Client 39</x:v>
      </x:c>
      <x:c r="I526" s="16" t="n">
        <x:v>46045</x:v>
      </x:c>
      <x:c r="J526" t="n">
        <x:f>YEAR(B526)</x:f>
        <x:v>2025</x:v>
      </x:c>
      <x:c r="K526" s="20" t="n">
        <x:f>DATE(YEAR(B526),MONTH(B526),1)</x:f>
        <x:v>45962</x:v>
      </x:c>
      <x:c r="L526" s="18" t="n">
        <x:f>F526-G526</x:f>
        <x:v>0</x:v>
      </x:c>
      <x:c r="M526" t="str">
        <x:f>IF(L526&lt;=0,"Payée",IF(G526=0,"Impayée","Partielle"))</x:f>
        <x:v>Payée</x:v>
      </x:c>
      <x:c r="N526" t="n">
        <x:f>IF(I526="","",I526-B526)</x:f>
        <x:v>62</x:v>
      </x:c>
      <x:c r="O526" t="str">
        <x:f>IF(TRIM(C526)&lt;&gt;TRIM(H526),"Oui","Non")</x:f>
        <x:v>Oui</x:v>
      </x:c>
      <x:c r="P526" t="str">
        <x:f>IFERROR(INDEX('02_REFERENTIEL_CLIENTS'!$B$2:$B$51,MATCH(TRIM(C526),'02_REFERENTIEL_CLIENTS'!$A$2:$A$51,0)),"Non trouvé")</x:f>
        <x:v>Particuliers</x:v>
      </x:c>
      <x:c r="Q526" t="str">
        <x:f>IFERROR(INDEX('02_REFERENTIEL_CLIENTS'!$C$2:$C$51,MATCH(TRIM(C526),'02_REFERENTIEL_CLIENTS'!$A$2:$A$51,0)),"Non trouvé")</x:f>
        <x:v>International</x:v>
      </x:c>
      <x:c r="R526" t="str">
        <x:f>IF(OR(F526&lt;=0,G526&lt;0,G526&gt;F526,N526&lt;0,P526="Non trouvé"),"À vérifier","OK")</x:f>
        <x:v>OK</x:v>
      </x:c>
    </x:row>
    <x:row r="527">
      <x:c r="A527" t="str">
        <x:v>DV-2026-00526</x:v>
      </x:c>
      <x:c r="B527" s="16" t="n">
        <x:v>46077</x:v>
      </x:c>
      <x:c r="C527" t="str">
        <x:v>Client 20</x:v>
      </x:c>
      <x:c r="D527" t="str">
        <x:v>Logistique</x:v>
      </x:c>
      <x:c r="E527" t="str">
        <x:v>Pôle C</x:v>
      </x:c>
      <x:c r="F527" s="18" t="n">
        <x:v>8241.1</x:v>
      </x:c>
      <x:c r="G527" s="18" t="n">
        <x:v>8241.1</x:v>
      </x:c>
      <x:c r="H527" t="str">
        <x:v>Client 40</x:v>
      </x:c>
      <x:c r="I527" s="16" t="n">
        <x:v>46166</x:v>
      </x:c>
      <x:c r="J527" t="n">
        <x:f>YEAR(B527)</x:f>
        <x:v>2026</x:v>
      </x:c>
      <x:c r="K527" s="20" t="n">
        <x:f>DATE(YEAR(B527),MONTH(B527),1)</x:f>
        <x:v>46054</x:v>
      </x:c>
      <x:c r="L527" s="18" t="n">
        <x:f>F527-G527</x:f>
        <x:v>0</x:v>
      </x:c>
      <x:c r="M527" t="str">
        <x:f>IF(L527&lt;=0,"Payée",IF(G527=0,"Impayée","Partielle"))</x:f>
        <x:v>Payée</x:v>
      </x:c>
      <x:c r="N527" t="n">
        <x:f>IF(I527="","",I527-B527)</x:f>
        <x:v>89</x:v>
      </x:c>
      <x:c r="O527" t="str">
        <x:f>IF(TRIM(C527)&lt;&gt;TRIM(H527),"Oui","Non")</x:f>
        <x:v>Oui</x:v>
      </x:c>
      <x:c r="P527" t="str">
        <x:f>IFERROR(INDEX('02_REFERENTIEL_CLIENTS'!$B$2:$B$51,MATCH(TRIM(C527),'02_REFERENTIEL_CLIENTS'!$A$2:$A$51,0)),"Non trouvé")</x:f>
        <x:v>PME</x:v>
      </x:c>
      <x:c r="Q527" t="str">
        <x:f>IFERROR(INDEX('02_REFERENTIEL_CLIENTS'!$C$2:$C$51,MATCH(TRIM(C527),'02_REFERENTIEL_CLIENTS'!$A$2:$A$51,0)),"Non trouvé")</x:f>
        <x:v>Europe</x:v>
      </x:c>
      <x:c r="R527" t="str">
        <x:f>IF(OR(F527&lt;=0,G527&lt;0,G527&gt;F527,N527&lt;0,P527="Non trouvé"),"À vérifier","OK")</x:f>
        <x:v>OK</x:v>
      </x:c>
    </x:row>
    <x:row r="528">
      <x:c r="A528" t="str">
        <x:v>DV-2024-00527</x:v>
      </x:c>
      <x:c r="B528" s="16" t="n">
        <x:v>45359</x:v>
      </x:c>
      <x:c r="C528" t="str">
        <x:v>Client 29</x:v>
      </x:c>
      <x:c r="D528" t="str">
        <x:v>Fret maritime</x:v>
      </x:c>
      <x:c r="E528" t="str">
        <x:v>Pôle D</x:v>
      </x:c>
      <x:c r="F528" s="18" t="n">
        <x:v>21900.51</x:v>
      </x:c>
      <x:c r="G528" s="18" t="n">
        <x:v>0</x:v>
      </x:c>
      <x:c r="H528" t="str">
        <x:v>Client 29</x:v>
      </x:c>
      <x:c r="I528" s="16"/>
      <x:c r="J528" t="n">
        <x:f>YEAR(B528)</x:f>
        <x:v>2024</x:v>
      </x:c>
      <x:c r="K528" s="20" t="n">
        <x:f>DATE(YEAR(B528),MONTH(B528),1)</x:f>
        <x:v>45352</x:v>
      </x:c>
      <x:c r="L528" s="18" t="n">
        <x:f>F528-G528</x:f>
        <x:v>21900.51</x:v>
      </x:c>
      <x:c r="M528" t="str">
        <x:f>IF(L528&lt;=0,"Payée",IF(G528=0,"Impayée","Partielle"))</x:f>
        <x:v>Impayée</x:v>
      </x:c>
      <x:c r="N528" t="str">
        <x:f>IF(I528="","",I528-B528)</x:f>
      </x:c>
      <x:c r="O528" t="str">
        <x:f>IF(TRIM(C528)&lt;&gt;TRIM(H528),"Oui","Non")</x:f>
        <x:v>Non</x:v>
      </x:c>
      <x:c r="P528" t="str">
        <x:f>IFERROR(INDEX('02_REFERENTIEL_CLIENTS'!$B$2:$B$51,MATCH(TRIM(C528),'02_REFERENTIEL_CLIENTS'!$A$2:$A$51,0)),"Non trouvé")</x:f>
        <x:v>PME</x:v>
      </x:c>
      <x:c r="Q528" t="str">
        <x:f>IFERROR(INDEX('02_REFERENTIEL_CLIENTS'!$C$2:$C$51,MATCH(TRIM(C528),'02_REFERENTIEL_CLIENTS'!$A$2:$A$51,0)),"Non trouvé")</x:f>
        <x:v>Europe</x:v>
      </x:c>
      <x:c r="R528" t="str">
        <x:f>IF(OR(F528&lt;=0,G528&lt;0,G528&gt;F528,N528&lt;0,P528="Non trouvé"),"À vérifier","OK")</x:f>
        <x:v>OK</x:v>
      </x:c>
    </x:row>
    <x:row r="529">
      <x:c r="A529" t="str">
        <x:v>DV-2025-00528</x:v>
      </x:c>
      <x:c r="B529" s="16" t="n">
        <x:v>45948</x:v>
      </x:c>
      <x:c r="C529" t="str">
        <x:v>Client 45</x:v>
      </x:c>
      <x:c r="D529" t="str">
        <x:v>Express</x:v>
      </x:c>
      <x:c r="E529" t="str">
        <x:v>Pôle D</x:v>
      </x:c>
      <x:c r="F529" s="18" t="n">
        <x:v>18373.74</x:v>
      </x:c>
      <x:c r="G529" s="18" t="n">
        <x:v>4507.43</x:v>
      </x:c>
      <x:c r="H529" t="str">
        <x:v>Client 45</x:v>
      </x:c>
      <x:c r="I529" s="16" t="n">
        <x:v>45995</x:v>
      </x:c>
      <x:c r="J529" t="n">
        <x:f>YEAR(B529)</x:f>
        <x:v>2025</x:v>
      </x:c>
      <x:c r="K529" s="20" t="n">
        <x:f>DATE(YEAR(B529),MONTH(B529),1)</x:f>
        <x:v>45931</x:v>
      </x:c>
      <x:c r="L529" s="18" t="n">
        <x:f>F529-G529</x:f>
        <x:v>13866.310000000001</x:v>
      </x:c>
      <x:c r="M529" t="str">
        <x:f>IF(L529&lt;=0,"Payée",IF(G529=0,"Impayée","Partielle"))</x:f>
        <x:v>Partielle</x:v>
      </x:c>
      <x:c r="N529" t="n">
        <x:f>IF(I529="","",I529-B529)</x:f>
        <x:v>47</x:v>
      </x:c>
      <x:c r="O529" t="str">
        <x:f>IF(TRIM(C529)&lt;&gt;TRIM(H529),"Oui","Non")</x:f>
        <x:v>Non</x:v>
      </x:c>
      <x:c r="P529" t="str">
        <x:f>IFERROR(INDEX('02_REFERENTIEL_CLIENTS'!$B$2:$B$51,MATCH(TRIM(C529),'02_REFERENTIEL_CLIENTS'!$A$2:$A$51,0)),"Non trouvé")</x:f>
        <x:v>Particuliers</x:v>
      </x:c>
      <x:c r="Q529" t="str">
        <x:f>IFERROR(INDEX('02_REFERENTIEL_CLIENTS'!$C$2:$C$51,MATCH(TRIM(C529),'02_REFERENTIEL_CLIENTS'!$A$2:$A$51,0)),"Non trouvé")</x:f>
        <x:v>International</x:v>
      </x:c>
      <x:c r="R529" t="str">
        <x:f>IF(OR(F529&lt;=0,G529&lt;0,G529&gt;F529,N529&lt;0,P529="Non trouvé"),"À vérifier","OK")</x:f>
        <x:v>OK</x:v>
      </x:c>
    </x:row>
    <x:row r="530">
      <x:c r="A530" t="str">
        <x:v>DV-2026-00529</x:v>
      </x:c>
      <x:c r="B530" s="16" t="n">
        <x:v>46240</x:v>
      </x:c>
      <x:c r="C530" t="str">
        <x:v>Client 31</x:v>
      </x:c>
      <x:c r="D530" t="str">
        <x:v>Logistique</x:v>
      </x:c>
      <x:c r="E530" t="str">
        <x:v>Pôle E</x:v>
      </x:c>
      <x:c r="F530" s="18" t="n">
        <x:v>2586.17</x:v>
      </x:c>
      <x:c r="G530" s="18" t="n">
        <x:v>1368.44</x:v>
      </x:c>
      <x:c r="H530" t="str">
        <x:v>Client 31</x:v>
      </x:c>
      <x:c r="I530" s="16" t="n">
        <x:v>46324</x:v>
      </x:c>
      <x:c r="J530" t="n">
        <x:f>YEAR(B530)</x:f>
        <x:v>2026</x:v>
      </x:c>
      <x:c r="K530" s="20" t="n">
        <x:f>DATE(YEAR(B530),MONTH(B530),1)</x:f>
        <x:v>46235</x:v>
      </x:c>
      <x:c r="L530" s="18" t="n">
        <x:f>F530-G530</x:f>
        <x:v>1217.73</x:v>
      </x:c>
      <x:c r="M530" t="str">
        <x:f>IF(L530&lt;=0,"Payée",IF(G530=0,"Impayée","Partielle"))</x:f>
        <x:v>Partielle</x:v>
      </x:c>
      <x:c r="N530" t="n">
        <x:f>IF(I530="","",I530-B530)</x:f>
        <x:v>84</x:v>
      </x:c>
      <x:c r="O530" t="str">
        <x:f>IF(TRIM(C530)&lt;&gt;TRIM(H530),"Oui","Non")</x:f>
        <x:v>Non</x:v>
      </x:c>
      <x:c r="P530" t="str">
        <x:f>IFERROR(INDEX('02_REFERENTIEL_CLIENTS'!$B$2:$B$51,MATCH(TRIM(C530),'02_REFERENTIEL_CLIENTS'!$A$2:$A$51,0)),"Non trouvé")</x:f>
        <x:v>Grands comptes</x:v>
      </x:c>
      <x:c r="Q530" t="str">
        <x:f>IFERROR(INDEX('02_REFERENTIEL_CLIENTS'!$C$2:$C$51,MATCH(TRIM(C530),'02_REFERENTIEL_CLIENTS'!$A$2:$A$51,0)),"Non trouvé")</x:f>
        <x:v>France</x:v>
      </x:c>
      <x:c r="R530" t="str">
        <x:f>IF(OR(F530&lt;=0,G530&lt;0,G530&gt;F530,N530&lt;0,P530="Non trouvé"),"À vérifier","OK")</x:f>
        <x:v>OK</x:v>
      </x:c>
    </x:row>
    <x:row r="531">
      <x:c r="A531" t="str">
        <x:v>DV-2025-00530</x:v>
      </x:c>
      <x:c r="B531" s="16" t="n">
        <x:v>45676</x:v>
      </x:c>
      <x:c r="C531" t="str">
        <x:v>Client 32</x:v>
      </x:c>
      <x:c r="D531" t="str">
        <x:v>Logistique</x:v>
      </x:c>
      <x:c r="E531" t="str">
        <x:v>Pôle E</x:v>
      </x:c>
      <x:c r="F531" s="18" t="n">
        <x:v>6297.51</x:v>
      </x:c>
      <x:c r="G531" s="18" t="n">
        <x:v>6297.51</x:v>
      </x:c>
      <x:c r="H531" t="str">
        <x:v>Client 32</x:v>
      </x:c>
      <x:c r="I531" s="16" t="n">
        <x:v>45721</x:v>
      </x:c>
      <x:c r="J531" t="n">
        <x:f>YEAR(B531)</x:f>
        <x:v>2025</x:v>
      </x:c>
      <x:c r="K531" s="20" t="n">
        <x:f>DATE(YEAR(B531),MONTH(B531),1)</x:f>
        <x:v>45658</x:v>
      </x:c>
      <x:c r="L531" s="18" t="n">
        <x:f>F531-G531</x:f>
        <x:v>0</x:v>
      </x:c>
      <x:c r="M531" t="str">
        <x:f>IF(L531&lt;=0,"Payée",IF(G531=0,"Impayée","Partielle"))</x:f>
        <x:v>Payée</x:v>
      </x:c>
      <x:c r="N531" t="n">
        <x:f>IF(I531="","",I531-B531)</x:f>
        <x:v>45</x:v>
      </x:c>
      <x:c r="O531" t="str">
        <x:f>IF(TRIM(C531)&lt;&gt;TRIM(H531),"Oui","Non")</x:f>
        <x:v>Non</x:v>
      </x:c>
      <x:c r="P531" t="str">
        <x:f>IFERROR(INDEX('02_REFERENTIEL_CLIENTS'!$B$2:$B$51,MATCH(TRIM(C531),'02_REFERENTIEL_CLIENTS'!$A$2:$A$51,0)),"Non trouvé")</x:f>
        <x:v>PME</x:v>
      </x:c>
      <x:c r="Q531" t="str">
        <x:f>IFERROR(INDEX('02_REFERENTIEL_CLIENTS'!$C$2:$C$51,MATCH(TRIM(C531),'02_REFERENTIEL_CLIENTS'!$A$2:$A$51,0)),"Non trouvé")</x:f>
        <x:v>Europe</x:v>
      </x:c>
      <x:c r="R531" t="str">
        <x:f>IF(OR(F531&lt;=0,G531&lt;0,G531&gt;F531,N531&lt;0,P531="Non trouvé"),"À vérifier","OK")</x:f>
        <x:v>OK</x:v>
      </x:c>
    </x:row>
    <x:row r="532">
      <x:c r="A532" t="str">
        <x:v>DV-2025-00531</x:v>
      </x:c>
      <x:c r="B532" s="16" t="n">
        <x:v>45948</x:v>
      </x:c>
      <x:c r="C532" t="str">
        <x:v>Client 50</x:v>
      </x:c>
      <x:c r="D532" t="str">
        <x:v>Logistique</x:v>
      </x:c>
      <x:c r="E532" t="str">
        <x:v>Pôle D</x:v>
      </x:c>
      <x:c r="F532" s="18" t="n">
        <x:v>12984.8</x:v>
      </x:c>
      <x:c r="G532" s="18" t="n">
        <x:v>12984.8</x:v>
      </x:c>
      <x:c r="H532" t="str">
        <x:v>Client 12</x:v>
      </x:c>
      <x:c r="I532" s="16" t="n">
        <x:v>45979</x:v>
      </x:c>
      <x:c r="J532" t="n">
        <x:f>YEAR(B532)</x:f>
        <x:v>2025</x:v>
      </x:c>
      <x:c r="K532" s="20" t="n">
        <x:f>DATE(YEAR(B532),MONTH(B532),1)</x:f>
        <x:v>45931</x:v>
      </x:c>
      <x:c r="L532" s="18" t="n">
        <x:f>F532-G532</x:f>
        <x:v>0</x:v>
      </x:c>
      <x:c r="M532" t="str">
        <x:f>IF(L532&lt;=0,"Payée",IF(G532=0,"Impayée","Partielle"))</x:f>
        <x:v>Payée</x:v>
      </x:c>
      <x:c r="N532" t="n">
        <x:f>IF(I532="","",I532-B532)</x:f>
        <x:v>31</x:v>
      </x:c>
      <x:c r="O532" t="str">
        <x:f>IF(TRIM(C532)&lt;&gt;TRIM(H532),"Oui","Non")</x:f>
        <x:v>Oui</x:v>
      </x:c>
      <x:c r="P532" t="str">
        <x:f>IFERROR(INDEX('02_REFERENTIEL_CLIENTS'!$B$2:$B$51,MATCH(TRIM(C532),'02_REFERENTIEL_CLIENTS'!$A$2:$A$51,0)),"Non trouvé")</x:f>
        <x:v>PME</x:v>
      </x:c>
      <x:c r="Q532" t="str">
        <x:f>IFERROR(INDEX('02_REFERENTIEL_CLIENTS'!$C$2:$C$51,MATCH(TRIM(C532),'02_REFERENTIEL_CLIENTS'!$A$2:$A$51,0)),"Non trouvé")</x:f>
        <x:v>Europe</x:v>
      </x:c>
      <x:c r="R532" t="str">
        <x:f>IF(OR(F532&lt;=0,G532&lt;0,G532&gt;F532,N532&lt;0,P532="Non trouvé"),"À vérifier","OK")</x:f>
        <x:v>OK</x:v>
      </x:c>
    </x:row>
    <x:row r="533">
      <x:c r="A533" t="str">
        <x:v>DV-2026-00532</x:v>
      </x:c>
      <x:c r="B533" s="16" t="n">
        <x:v>46174</x:v>
      </x:c>
      <x:c r="C533" t="str">
        <x:v>Client 43</x:v>
      </x:c>
      <x:c r="D533" t="str">
        <x:v>Express</x:v>
      </x:c>
      <x:c r="E533" t="str">
        <x:v>Pôle A</x:v>
      </x:c>
      <x:c r="F533" s="18" t="n">
        <x:v>11822.73</x:v>
      </x:c>
      <x:c r="G533" s="18" t="n">
        <x:v>4946.55</x:v>
      </x:c>
      <x:c r="H533" t="str">
        <x:v>Client 43</x:v>
      </x:c>
      <x:c r="I533" s="16" t="n">
        <x:v>46227</x:v>
      </x:c>
      <x:c r="J533" t="n">
        <x:f>YEAR(B533)</x:f>
        <x:v>2026</x:v>
      </x:c>
      <x:c r="K533" s="20" t="n">
        <x:f>DATE(YEAR(B533),MONTH(B533),1)</x:f>
        <x:v>46174</x:v>
      </x:c>
      <x:c r="L533" s="18" t="n">
        <x:f>F533-G533</x:f>
        <x:v>6876.179999999999</x:v>
      </x:c>
      <x:c r="M533" t="str">
        <x:f>IF(L533&lt;=0,"Payée",IF(G533=0,"Impayée","Partielle"))</x:f>
        <x:v>Partielle</x:v>
      </x:c>
      <x:c r="N533" t="n">
        <x:f>IF(I533="","",I533-B533)</x:f>
        <x:v>53</x:v>
      </x:c>
      <x:c r="O533" t="str">
        <x:f>IF(TRIM(C533)&lt;&gt;TRIM(H533),"Oui","Non")</x:f>
        <x:v>Non</x:v>
      </x:c>
      <x:c r="P533" t="str">
        <x:f>IFERROR(INDEX('02_REFERENTIEL_CLIENTS'!$B$2:$B$51,MATCH(TRIM(C533),'02_REFERENTIEL_CLIENTS'!$A$2:$A$51,0)),"Non trouvé")</x:f>
        <x:v>Grands comptes</x:v>
      </x:c>
      <x:c r="Q533" t="str">
        <x:f>IFERROR(INDEX('02_REFERENTIEL_CLIENTS'!$C$2:$C$51,MATCH(TRIM(C533),'02_REFERENTIEL_CLIENTS'!$A$2:$A$51,0)),"Non trouvé")</x:f>
        <x:v>France</x:v>
      </x:c>
      <x:c r="R533" t="str">
        <x:f>IF(OR(F533&lt;=0,G533&lt;0,G533&gt;F533,N533&lt;0,P533="Non trouvé"),"À vérifier","OK")</x:f>
        <x:v>OK</x:v>
      </x:c>
    </x:row>
    <x:row r="534">
      <x:c r="A534" t="str">
        <x:v>DV-2024-00533</x:v>
      </x:c>
      <x:c r="B534" s="16" t="n">
        <x:v>45498</x:v>
      </x:c>
      <x:c r="C534" t="str">
        <x:v>Client 18</x:v>
      </x:c>
      <x:c r="D534" t="str">
        <x:v>Douane</x:v>
      </x:c>
      <x:c r="E534" t="str">
        <x:v>Pôle B</x:v>
      </x:c>
      <x:c r="F534" s="18" t="n">
        <x:v>3946.47</x:v>
      </x:c>
      <x:c r="G534" s="18" t="n">
        <x:v>3946.47</x:v>
      </x:c>
      <x:c r="H534" t="str">
        <x:v>Client 18</x:v>
      </x:c>
      <x:c r="I534" s="16" t="n">
        <x:v>45527</x:v>
      </x:c>
      <x:c r="J534" t="n">
        <x:f>YEAR(B534)</x:f>
        <x:v>2024</x:v>
      </x:c>
      <x:c r="K534" s="20" t="n">
        <x:f>DATE(YEAR(B534),MONTH(B534),1)</x:f>
        <x:v>45474</x:v>
      </x:c>
      <x:c r="L534" s="18" t="n">
        <x:f>F534-G534</x:f>
        <x:v>0</x:v>
      </x:c>
      <x:c r="M534" t="str">
        <x:f>IF(L534&lt;=0,"Payée",IF(G534=0,"Impayée","Partielle"))</x:f>
        <x:v>Payée</x:v>
      </x:c>
      <x:c r="N534" t="n">
        <x:f>IF(I534="","",I534-B534)</x:f>
        <x:v>29</x:v>
      </x:c>
      <x:c r="O534" t="str">
        <x:f>IF(TRIM(C534)&lt;&gt;TRIM(H534),"Oui","Non")</x:f>
        <x:v>Non</x:v>
      </x:c>
      <x:c r="P534" t="str">
        <x:f>IFERROR(INDEX('02_REFERENTIEL_CLIENTS'!$B$2:$B$51,MATCH(TRIM(C534),'02_REFERENTIEL_CLIENTS'!$A$2:$A$51,0)),"Non trouvé")</x:f>
        <x:v>Particuliers</x:v>
      </x:c>
      <x:c r="Q534" t="str">
        <x:f>IFERROR(INDEX('02_REFERENTIEL_CLIENTS'!$C$2:$C$51,MATCH(TRIM(C534),'02_REFERENTIEL_CLIENTS'!$A$2:$A$51,0)),"Non trouvé")</x:f>
        <x:v>International</x:v>
      </x:c>
      <x:c r="R534" t="str">
        <x:f>IF(OR(F534&lt;=0,G534&lt;0,G534&gt;F534,N534&lt;0,P534="Non trouvé"),"À vérifier","OK")</x:f>
        <x:v>OK</x:v>
      </x:c>
    </x:row>
    <x:row r="535">
      <x:c r="A535" t="str">
        <x:v>DV-2024-00534</x:v>
      </x:c>
      <x:c r="B535" s="16" t="n">
        <x:v>45294</x:v>
      </x:c>
      <x:c r="C535" t="str">
        <x:v>Client 43</x:v>
      </x:c>
      <x:c r="D535" t="str">
        <x:v>Logistique</x:v>
      </x:c>
      <x:c r="E535" t="str">
        <x:v>Pôle C</x:v>
      </x:c>
      <x:c r="F535" s="18" t="n">
        <x:v>8807.36</x:v>
      </x:c>
      <x:c r="G535" s="18" t="n">
        <x:v>8807.36</x:v>
      </x:c>
      <x:c r="H535" t="str">
        <x:v>Client 40</x:v>
      </x:c>
      <x:c r="I535" s="16" t="n">
        <x:v>45309</x:v>
      </x:c>
      <x:c r="J535" t="n">
        <x:f>YEAR(B535)</x:f>
        <x:v>2024</x:v>
      </x:c>
      <x:c r="K535" s="20" t="n">
        <x:f>DATE(YEAR(B535),MONTH(B535),1)</x:f>
        <x:v>45292</x:v>
      </x:c>
      <x:c r="L535" s="18" t="n">
        <x:f>F535-G535</x:f>
        <x:v>0</x:v>
      </x:c>
      <x:c r="M535" t="str">
        <x:f>IF(L535&lt;=0,"Payée",IF(G535=0,"Impayée","Partielle"))</x:f>
        <x:v>Payée</x:v>
      </x:c>
      <x:c r="N535" t="n">
        <x:f>IF(I535="","",I535-B535)</x:f>
        <x:v>15</x:v>
      </x:c>
      <x:c r="O535" t="str">
        <x:f>IF(TRIM(C535)&lt;&gt;TRIM(H535),"Oui","Non")</x:f>
        <x:v>Oui</x:v>
      </x:c>
      <x:c r="P535" t="str">
        <x:f>IFERROR(INDEX('02_REFERENTIEL_CLIENTS'!$B$2:$B$51,MATCH(TRIM(C535),'02_REFERENTIEL_CLIENTS'!$A$2:$A$51,0)),"Non trouvé")</x:f>
        <x:v>Grands comptes</x:v>
      </x:c>
      <x:c r="Q535" t="str">
        <x:f>IFERROR(INDEX('02_REFERENTIEL_CLIENTS'!$C$2:$C$51,MATCH(TRIM(C535),'02_REFERENTIEL_CLIENTS'!$A$2:$A$51,0)),"Non trouvé")</x:f>
        <x:v>France</x:v>
      </x:c>
      <x:c r="R535" t="str">
        <x:f>IF(OR(F535&lt;=0,G535&lt;0,G535&gt;F535,N535&lt;0,P535="Non trouvé"),"À vérifier","OK")</x:f>
        <x:v>OK</x:v>
      </x:c>
    </x:row>
    <x:row r="536">
      <x:c r="A536" t="str">
        <x:v>DV-2025-00535</x:v>
      </x:c>
      <x:c r="B536" s="16" t="n">
        <x:v>45830</x:v>
      </x:c>
      <x:c r="C536" t="str">
        <x:v>Client 09</x:v>
      </x:c>
      <x:c r="D536" t="str">
        <x:v>Fret maritime</x:v>
      </x:c>
      <x:c r="E536" t="str">
        <x:v>Pôle E</x:v>
      </x:c>
      <x:c r="F536" s="18" t="n">
        <x:v>11000.05</x:v>
      </x:c>
      <x:c r="G536" s="18" t="n">
        <x:v>9311.26</x:v>
      </x:c>
      <x:c r="H536" t="str">
        <x:v>Client 09</x:v>
      </x:c>
      <x:c r="I536" s="16" t="n">
        <x:v>45922</x:v>
      </x:c>
      <x:c r="J536" t="n">
        <x:f>YEAR(B536)</x:f>
        <x:v>2025</x:v>
      </x:c>
      <x:c r="K536" s="20" t="n">
        <x:f>DATE(YEAR(B536),MONTH(B536),1)</x:f>
        <x:v>45809</x:v>
      </x:c>
      <x:c r="L536" s="18" t="n">
        <x:f>F536-G536</x:f>
        <x:v>1688.789999999999</x:v>
      </x:c>
      <x:c r="M536" t="str">
        <x:f>IF(L536&lt;=0,"Payée",IF(G536=0,"Impayée","Partielle"))</x:f>
        <x:v>Partielle</x:v>
      </x:c>
      <x:c r="N536" t="n">
        <x:f>IF(I536="","",I536-B536)</x:f>
        <x:v>92</x:v>
      </x:c>
      <x:c r="O536" t="str">
        <x:f>IF(TRIM(C536)&lt;&gt;TRIM(H536),"Oui","Non")</x:f>
        <x:v>Non</x:v>
      </x:c>
      <x:c r="P536" t="str">
        <x:f>IFERROR(INDEX('02_REFERENTIEL_CLIENTS'!$B$2:$B$51,MATCH(TRIM(C536),'02_REFERENTIEL_CLIENTS'!$A$2:$A$51,0)),"Non trouvé")</x:f>
        <x:v>Particuliers</x:v>
      </x:c>
      <x:c r="Q536" t="str">
        <x:f>IFERROR(INDEX('02_REFERENTIEL_CLIENTS'!$C$2:$C$51,MATCH(TRIM(C536),'02_REFERENTIEL_CLIENTS'!$A$2:$A$51,0)),"Non trouvé")</x:f>
        <x:v>International</x:v>
      </x:c>
      <x:c r="R536" t="str">
        <x:f>IF(OR(F536&lt;=0,G536&lt;0,G536&gt;F536,N536&lt;0,P536="Non trouvé"),"À vérifier","OK")</x:f>
        <x:v>OK</x:v>
      </x:c>
    </x:row>
    <x:row r="537">
      <x:c r="A537" t="str">
        <x:v>DV-2024-00536</x:v>
      </x:c>
      <x:c r="B537" s="16" t="n">
        <x:v>45399</x:v>
      </x:c>
      <x:c r="C537" t="str">
        <x:v>Client 04</x:v>
      </x:c>
      <x:c r="D537" t="str">
        <x:v>Douane</x:v>
      </x:c>
      <x:c r="E537" t="str">
        <x:v>Pôle A</x:v>
      </x:c>
      <x:c r="F537" s="18" t="n">
        <x:v>11413.41</x:v>
      </x:c>
      <x:c r="G537" s="18" t="n">
        <x:v>11413.41</x:v>
      </x:c>
      <x:c r="H537" t="str">
        <x:v>Client 04</x:v>
      </x:c>
      <x:c r="I537" s="16" t="n">
        <x:v>45421</x:v>
      </x:c>
      <x:c r="J537" t="n">
        <x:f>YEAR(B537)</x:f>
        <x:v>2024</x:v>
      </x:c>
      <x:c r="K537" s="20" t="n">
        <x:f>DATE(YEAR(B537),MONTH(B537),1)</x:f>
        <x:v>45383</x:v>
      </x:c>
      <x:c r="L537" s="18" t="n">
        <x:f>F537-G537</x:f>
        <x:v>0</x:v>
      </x:c>
      <x:c r="M537" t="str">
        <x:f>IF(L537&lt;=0,"Payée",IF(G537=0,"Impayée","Partielle"))</x:f>
        <x:v>Payée</x:v>
      </x:c>
      <x:c r="N537" t="n">
        <x:f>IF(I537="","",I537-B537)</x:f>
        <x:v>22</x:v>
      </x:c>
      <x:c r="O537" t="str">
        <x:f>IF(TRIM(C537)&lt;&gt;TRIM(H537),"Oui","Non")</x:f>
        <x:v>Non</x:v>
      </x:c>
      <x:c r="P537" t="str">
        <x:f>IFERROR(INDEX('02_REFERENTIEL_CLIENTS'!$B$2:$B$51,MATCH(TRIM(C537),'02_REFERENTIEL_CLIENTS'!$A$2:$A$51,0)),"Non trouvé")</x:f>
        <x:v>Grands comptes</x:v>
      </x:c>
      <x:c r="Q537" t="str">
        <x:f>IFERROR(INDEX('02_REFERENTIEL_CLIENTS'!$C$2:$C$51,MATCH(TRIM(C537),'02_REFERENTIEL_CLIENTS'!$A$2:$A$51,0)),"Non trouvé")</x:f>
        <x:v>France</x:v>
      </x:c>
      <x:c r="R537" t="str">
        <x:f>IF(OR(F537&lt;=0,G537&lt;0,G537&gt;F537,N537&lt;0,P537="Non trouvé"),"À vérifier","OK")</x:f>
        <x:v>OK</x:v>
      </x:c>
    </x:row>
    <x:row r="538">
      <x:c r="A538" t="str">
        <x:v>DV-2024-00537</x:v>
      </x:c>
      <x:c r="B538" s="16" t="n">
        <x:v>45509</x:v>
      </x:c>
      <x:c r="C538" t="str">
        <x:v>Client 37</x:v>
      </x:c>
      <x:c r="D538" t="str">
        <x:v>Douane</x:v>
      </x:c>
      <x:c r="E538" t="str">
        <x:v>Pôle A</x:v>
      </x:c>
      <x:c r="F538" s="18" t="n">
        <x:v>19173.61</x:v>
      </x:c>
      <x:c r="G538" s="18" t="n">
        <x:v>19173.61</x:v>
      </x:c>
      <x:c r="H538" t="str">
        <x:v>Client 47</x:v>
      </x:c>
      <x:c r="I538" s="16" t="n">
        <x:v>45542</x:v>
      </x:c>
      <x:c r="J538" t="n">
        <x:f>YEAR(B538)</x:f>
        <x:v>2024</x:v>
      </x:c>
      <x:c r="K538" s="20" t="n">
        <x:f>DATE(YEAR(B538),MONTH(B538),1)</x:f>
        <x:v>45505</x:v>
      </x:c>
      <x:c r="L538" s="18" t="n">
        <x:f>F538-G538</x:f>
        <x:v>0</x:v>
      </x:c>
      <x:c r="M538" t="str">
        <x:f>IF(L538&lt;=0,"Payée",IF(G538=0,"Impayée","Partielle"))</x:f>
        <x:v>Payée</x:v>
      </x:c>
      <x:c r="N538" t="n">
        <x:f>IF(I538="","",I538-B538)</x:f>
        <x:v>33</x:v>
      </x:c>
      <x:c r="O538" t="str">
        <x:f>IF(TRIM(C538)&lt;&gt;TRIM(H538),"Oui","Non")</x:f>
        <x:v>Oui</x:v>
      </x:c>
      <x:c r="P538" t="str">
        <x:f>IFERROR(INDEX('02_REFERENTIEL_CLIENTS'!$B$2:$B$51,MATCH(TRIM(C538),'02_REFERENTIEL_CLIENTS'!$A$2:$A$51,0)),"Non trouvé")</x:f>
        <x:v>Grands comptes</x:v>
      </x:c>
      <x:c r="Q538" t="str">
        <x:f>IFERROR(INDEX('02_REFERENTIEL_CLIENTS'!$C$2:$C$51,MATCH(TRIM(C538),'02_REFERENTIEL_CLIENTS'!$A$2:$A$51,0)),"Non trouvé")</x:f>
        <x:v>France</x:v>
      </x:c>
      <x:c r="R538" t="str">
        <x:f>IF(OR(F538&lt;=0,G538&lt;0,G538&gt;F538,N538&lt;0,P538="Non trouvé"),"À vérifier","OK")</x:f>
        <x:v>OK</x:v>
      </x:c>
    </x:row>
    <x:row r="539">
      <x:c r="A539" t="str">
        <x:v>DV-2025-00538</x:v>
      </x:c>
      <x:c r="B539" s="16" t="n">
        <x:v>45801</x:v>
      </x:c>
      <x:c r="C539" t="str">
        <x:v>Client 40</x:v>
      </x:c>
      <x:c r="D539" t="str">
        <x:v>Fret aérien</x:v>
      </x:c>
      <x:c r="E539" t="str">
        <x:v>Pôle D</x:v>
      </x:c>
      <x:c r="F539" s="18" t="n">
        <x:v>15338.84</x:v>
      </x:c>
      <x:c r="G539" s="18" t="n">
        <x:v>15338.84</x:v>
      </x:c>
      <x:c r="H539" t="str">
        <x:v>Client 40</x:v>
      </x:c>
      <x:c r="I539" s="16" t="n">
        <x:v>45868</x:v>
      </x:c>
      <x:c r="J539" t="n">
        <x:f>YEAR(B539)</x:f>
        <x:v>2025</x:v>
      </x:c>
      <x:c r="K539" s="20" t="n">
        <x:f>DATE(YEAR(B539),MONTH(B539),1)</x:f>
        <x:v>45778</x:v>
      </x:c>
      <x:c r="L539" s="18" t="n">
        <x:f>F539-G539</x:f>
        <x:v>0</x:v>
      </x:c>
      <x:c r="M539" t="str">
        <x:f>IF(L539&lt;=0,"Payée",IF(G539=0,"Impayée","Partielle"))</x:f>
        <x:v>Payée</x:v>
      </x:c>
      <x:c r="N539" t="n">
        <x:f>IF(I539="","",I539-B539)</x:f>
        <x:v>67</x:v>
      </x:c>
      <x:c r="O539" t="str">
        <x:f>IF(TRIM(C539)&lt;&gt;TRIM(H539),"Oui","Non")</x:f>
        <x:v>Non</x:v>
      </x:c>
      <x:c r="P539" t="str">
        <x:f>IFERROR(INDEX('02_REFERENTIEL_CLIENTS'!$B$2:$B$51,MATCH(TRIM(C539),'02_REFERENTIEL_CLIENTS'!$A$2:$A$51,0)),"Non trouvé")</x:f>
        <x:v>Grands comptes</x:v>
      </x:c>
      <x:c r="Q539" t="str">
        <x:f>IFERROR(INDEX('02_REFERENTIEL_CLIENTS'!$C$2:$C$51,MATCH(TRIM(C539),'02_REFERENTIEL_CLIENTS'!$A$2:$A$51,0)),"Non trouvé")</x:f>
        <x:v>France</x:v>
      </x:c>
      <x:c r="R539" t="str">
        <x:f>IF(OR(F539&lt;=0,G539&lt;0,G539&gt;F539,N539&lt;0,P539="Non trouvé"),"À vérifier","OK")</x:f>
        <x:v>OK</x:v>
      </x:c>
    </x:row>
    <x:row r="540">
      <x:c r="A540" t="str">
        <x:v>DV-2025-00539</x:v>
      </x:c>
      <x:c r="B540" s="16" t="n">
        <x:v>45900</x:v>
      </x:c>
      <x:c r="C540" t="str">
        <x:v>Client 37</x:v>
      </x:c>
      <x:c r="D540" t="str">
        <x:v>Douane</x:v>
      </x:c>
      <x:c r="E540" t="str">
        <x:v>Pôle C</x:v>
      </x:c>
      <x:c r="F540" s="18" t="n">
        <x:v>22410.47</x:v>
      </x:c>
      <x:c r="G540" s="18" t="n">
        <x:v>22410.47</x:v>
      </x:c>
      <x:c r="H540" t="str">
        <x:v>Client 37</x:v>
      </x:c>
      <x:c r="I540" s="16" t="n">
        <x:v>45909</x:v>
      </x:c>
      <x:c r="J540" t="n">
        <x:f>YEAR(B540)</x:f>
        <x:v>2025</x:v>
      </x:c>
      <x:c r="K540" s="20" t="n">
        <x:f>DATE(YEAR(B540),MONTH(B540),1)</x:f>
        <x:v>45870</x:v>
      </x:c>
      <x:c r="L540" s="18" t="n">
        <x:f>F540-G540</x:f>
        <x:v>0</x:v>
      </x:c>
      <x:c r="M540" t="str">
        <x:f>IF(L540&lt;=0,"Payée",IF(G540=0,"Impayée","Partielle"))</x:f>
        <x:v>Payée</x:v>
      </x:c>
      <x:c r="N540" t="n">
        <x:f>IF(I540="","",I540-B540)</x:f>
        <x:v>9</x:v>
      </x:c>
      <x:c r="O540" t="str">
        <x:f>IF(TRIM(C540)&lt;&gt;TRIM(H540),"Oui","Non")</x:f>
        <x:v>Non</x:v>
      </x:c>
      <x:c r="P540" t="str">
        <x:f>IFERROR(INDEX('02_REFERENTIEL_CLIENTS'!$B$2:$B$51,MATCH(TRIM(C540),'02_REFERENTIEL_CLIENTS'!$A$2:$A$51,0)),"Non trouvé")</x:f>
        <x:v>Grands comptes</x:v>
      </x:c>
      <x:c r="Q540" t="str">
        <x:f>IFERROR(INDEX('02_REFERENTIEL_CLIENTS'!$C$2:$C$51,MATCH(TRIM(C540),'02_REFERENTIEL_CLIENTS'!$A$2:$A$51,0)),"Non trouvé")</x:f>
        <x:v>France</x:v>
      </x:c>
      <x:c r="R540" t="str">
        <x:f>IF(OR(F540&lt;=0,G540&lt;0,G540&gt;F540,N540&lt;0,P540="Non trouvé"),"À vérifier","OK")</x:f>
        <x:v>OK</x:v>
      </x:c>
    </x:row>
    <x:row r="541">
      <x:c r="A541" t="str">
        <x:v>DV-2024-00540</x:v>
      </x:c>
      <x:c r="B541" s="16" t="n">
        <x:v>45445</x:v>
      </x:c>
      <x:c r="C541" t="str">
        <x:v>Client 35</x:v>
      </x:c>
      <x:c r="D541" t="str">
        <x:v>Douane</x:v>
      </x:c>
      <x:c r="E541" t="str">
        <x:v>Pôle D</x:v>
      </x:c>
      <x:c r="F541" s="18" t="n">
        <x:v>13023.43</x:v>
      </x:c>
      <x:c r="G541" s="18" t="n">
        <x:v>0</x:v>
      </x:c>
      <x:c r="H541" t="str">
        <x:v>Client 02</x:v>
      </x:c>
      <x:c r="I541" s="16"/>
      <x:c r="J541" t="n">
        <x:f>YEAR(B541)</x:f>
        <x:v>2024</x:v>
      </x:c>
      <x:c r="K541" s="20" t="n">
        <x:f>DATE(YEAR(B541),MONTH(B541),1)</x:f>
        <x:v>45444</x:v>
      </x:c>
      <x:c r="L541" s="18" t="n">
        <x:f>F541-G541</x:f>
        <x:v>13023.43</x:v>
      </x:c>
      <x:c r="M541" t="str">
        <x:f>IF(L541&lt;=0,"Payée",IF(G541=0,"Impayée","Partielle"))</x:f>
        <x:v>Impayée</x:v>
      </x:c>
      <x:c r="N541" t="str">
        <x:f>IF(I541="","",I541-B541)</x:f>
      </x:c>
      <x:c r="O541" t="str">
        <x:f>IF(TRIM(C541)&lt;&gt;TRIM(H541),"Oui","Non")</x:f>
        <x:v>Oui</x:v>
      </x:c>
      <x:c r="P541" t="str">
        <x:f>IFERROR(INDEX('02_REFERENTIEL_CLIENTS'!$B$2:$B$51,MATCH(TRIM(C541),'02_REFERENTIEL_CLIENTS'!$A$2:$A$51,0)),"Non trouvé")</x:f>
        <x:v>PME</x:v>
      </x:c>
      <x:c r="Q541" t="str">
        <x:f>IFERROR(INDEX('02_REFERENTIEL_CLIENTS'!$C$2:$C$51,MATCH(TRIM(C541),'02_REFERENTIEL_CLIENTS'!$A$2:$A$51,0)),"Non trouvé")</x:f>
        <x:v>Europe</x:v>
      </x:c>
      <x:c r="R541" t="str">
        <x:f>IF(OR(F541&lt;=0,G541&lt;0,G541&gt;F541,N541&lt;0,P541="Non trouvé"),"À vérifier","OK")</x:f>
        <x:v>OK</x:v>
      </x:c>
    </x:row>
    <x:row r="542">
      <x:c r="A542" t="str">
        <x:v>DV-2024-00541</x:v>
      </x:c>
      <x:c r="B542" s="16" t="n">
        <x:v>45474</x:v>
      </x:c>
      <x:c r="C542" t="str">
        <x:v>Client 16</x:v>
      </x:c>
      <x:c r="D542" t="str">
        <x:v>Fret maritime</x:v>
      </x:c>
      <x:c r="E542" t="str">
        <x:v>Pôle B</x:v>
      </x:c>
      <x:c r="F542" s="18" t="n">
        <x:v>23092.31</x:v>
      </x:c>
      <x:c r="G542" s="18" t="n">
        <x:v>11013.52</x:v>
      </x:c>
      <x:c r="H542" t="str">
        <x:v>Client 42</x:v>
      </x:c>
      <x:c r="I542" s="16" t="n">
        <x:v>45565</x:v>
      </x:c>
      <x:c r="J542" t="n">
        <x:f>YEAR(B542)</x:f>
        <x:v>2024</x:v>
      </x:c>
      <x:c r="K542" s="20" t="n">
        <x:f>DATE(YEAR(B542),MONTH(B542),1)</x:f>
        <x:v>45474</x:v>
      </x:c>
      <x:c r="L542" s="18" t="n">
        <x:f>F542-G542</x:f>
        <x:v>12078.79</x:v>
      </x:c>
      <x:c r="M542" t="str">
        <x:f>IF(L542&lt;=0,"Payée",IF(G542=0,"Impayée","Partielle"))</x:f>
        <x:v>Partielle</x:v>
      </x:c>
      <x:c r="N542" t="n">
        <x:f>IF(I542="","",I542-B542)</x:f>
        <x:v>91</x:v>
      </x:c>
      <x:c r="O542" t="str">
        <x:f>IF(TRIM(C542)&lt;&gt;TRIM(H542),"Oui","Non")</x:f>
        <x:v>Oui</x:v>
      </x:c>
      <x:c r="P542" t="str">
        <x:f>IFERROR(INDEX('02_REFERENTIEL_CLIENTS'!$B$2:$B$51,MATCH(TRIM(C542),'02_REFERENTIEL_CLIENTS'!$A$2:$A$51,0)),"Non trouvé")</x:f>
        <x:v>Grands comptes</x:v>
      </x:c>
      <x:c r="Q542" t="str">
        <x:f>IFERROR(INDEX('02_REFERENTIEL_CLIENTS'!$C$2:$C$51,MATCH(TRIM(C542),'02_REFERENTIEL_CLIENTS'!$A$2:$A$51,0)),"Non trouvé")</x:f>
        <x:v>France</x:v>
      </x:c>
      <x:c r="R542" t="str">
        <x:f>IF(OR(F542&lt;=0,G542&lt;0,G542&gt;F542,N542&lt;0,P542="Non trouvé"),"À vérifier","OK")</x:f>
        <x:v>OK</x:v>
      </x:c>
    </x:row>
    <x:row r="543">
      <x:c r="A543" t="str">
        <x:v>DV-2026-00542</x:v>
      </x:c>
      <x:c r="B543" s="16" t="n">
        <x:v>46201</x:v>
      </x:c>
      <x:c r="C543" t="str">
        <x:v>Client 45</x:v>
      </x:c>
      <x:c r="D543" t="str">
        <x:v>Fret maritime</x:v>
      </x:c>
      <x:c r="E543" t="str">
        <x:v>Pôle B</x:v>
      </x:c>
      <x:c r="F543" s="18" t="n">
        <x:v>9758.88</x:v>
      </x:c>
      <x:c r="G543" s="18" t="n">
        <x:v>9758.88</x:v>
      </x:c>
      <x:c r="H543" t="str">
        <x:v>Client 45</x:v>
      </x:c>
      <x:c r="I543" s="16" t="n">
        <x:v>46262</x:v>
      </x:c>
      <x:c r="J543" t="n">
        <x:f>YEAR(B543)</x:f>
        <x:v>2026</x:v>
      </x:c>
      <x:c r="K543" s="20" t="n">
        <x:f>DATE(YEAR(B543),MONTH(B543),1)</x:f>
        <x:v>46174</x:v>
      </x:c>
      <x:c r="L543" s="18" t="n">
        <x:f>F543-G543</x:f>
        <x:v>0</x:v>
      </x:c>
      <x:c r="M543" t="str">
        <x:f>IF(L543&lt;=0,"Payée",IF(G543=0,"Impayée","Partielle"))</x:f>
        <x:v>Payée</x:v>
      </x:c>
      <x:c r="N543" t="n">
        <x:f>IF(I543="","",I543-B543)</x:f>
        <x:v>61</x:v>
      </x:c>
      <x:c r="O543" t="str">
        <x:f>IF(TRIM(C543)&lt;&gt;TRIM(H543),"Oui","Non")</x:f>
        <x:v>Non</x:v>
      </x:c>
      <x:c r="P543" t="str">
        <x:f>IFERROR(INDEX('02_REFERENTIEL_CLIENTS'!$B$2:$B$51,MATCH(TRIM(C543),'02_REFERENTIEL_CLIENTS'!$A$2:$A$51,0)),"Non trouvé")</x:f>
        <x:v>Particuliers</x:v>
      </x:c>
      <x:c r="Q543" t="str">
        <x:f>IFERROR(INDEX('02_REFERENTIEL_CLIENTS'!$C$2:$C$51,MATCH(TRIM(C543),'02_REFERENTIEL_CLIENTS'!$A$2:$A$51,0)),"Non trouvé")</x:f>
        <x:v>International</x:v>
      </x:c>
      <x:c r="R543" t="str">
        <x:f>IF(OR(F543&lt;=0,G543&lt;0,G543&gt;F543,N543&lt;0,P543="Non trouvé"),"À vérifier","OK")</x:f>
        <x:v>OK</x:v>
      </x:c>
    </x:row>
    <x:row r="544">
      <x:c r="A544" t="str">
        <x:v>DV-2026-00543</x:v>
      </x:c>
      <x:c r="B544" s="16" t="n">
        <x:v>46087</x:v>
      </x:c>
      <x:c r="C544" t="str">
        <x:v>Client 26</x:v>
      </x:c>
      <x:c r="D544" t="str">
        <x:v>Fret maritime</x:v>
      </x:c>
      <x:c r="E544" t="str">
        <x:v>Pôle C</x:v>
      </x:c>
      <x:c r="F544" s="18" t="n">
        <x:v>5156.58</x:v>
      </x:c>
      <x:c r="G544" s="18" t="n">
        <x:v>5156.58</x:v>
      </x:c>
      <x:c r="H544" t="str">
        <x:v>Client 26</x:v>
      </x:c>
      <x:c r="I544" s="16" t="n">
        <x:v>46143</x:v>
      </x:c>
      <x:c r="J544" t="n">
        <x:f>YEAR(B544)</x:f>
        <x:v>2026</x:v>
      </x:c>
      <x:c r="K544" s="20" t="n">
        <x:f>DATE(YEAR(B544),MONTH(B544),1)</x:f>
        <x:v>46082</x:v>
      </x:c>
      <x:c r="L544" s="18" t="n">
        <x:f>F544-G544</x:f>
        <x:v>0</x:v>
      </x:c>
      <x:c r="M544" t="str">
        <x:f>IF(L544&lt;=0,"Payée",IF(G544=0,"Impayée","Partielle"))</x:f>
        <x:v>Payée</x:v>
      </x:c>
      <x:c r="N544" t="n">
        <x:f>IF(I544="","",I544-B544)</x:f>
        <x:v>56</x:v>
      </x:c>
      <x:c r="O544" t="str">
        <x:f>IF(TRIM(C544)&lt;&gt;TRIM(H544),"Oui","Non")</x:f>
        <x:v>Non</x:v>
      </x:c>
      <x:c r="P544" t="str">
        <x:f>IFERROR(INDEX('02_REFERENTIEL_CLIENTS'!$B$2:$B$51,MATCH(TRIM(C544),'02_REFERENTIEL_CLIENTS'!$A$2:$A$51,0)),"Non trouvé")</x:f>
        <x:v>PME</x:v>
      </x:c>
      <x:c r="Q544" t="str">
        <x:f>IFERROR(INDEX('02_REFERENTIEL_CLIENTS'!$C$2:$C$51,MATCH(TRIM(C544),'02_REFERENTIEL_CLIENTS'!$A$2:$A$51,0)),"Non trouvé")</x:f>
        <x:v>Europe</x:v>
      </x:c>
      <x:c r="R544" t="str">
        <x:f>IF(OR(F544&lt;=0,G544&lt;0,G544&gt;F544,N544&lt;0,P544="Non trouvé"),"À vérifier","OK")</x:f>
        <x:v>OK</x:v>
      </x:c>
    </x:row>
    <x:row r="545">
      <x:c r="A545" t="str">
        <x:v>DV-2024-00544</x:v>
      </x:c>
      <x:c r="B545" s="16" t="n">
        <x:v>45654</x:v>
      </x:c>
      <x:c r="C545" t="str">
        <x:v>Client 40</x:v>
      </x:c>
      <x:c r="D545" t="str">
        <x:v>Logistique</x:v>
      </x:c>
      <x:c r="E545" t="str">
        <x:v>Pôle A</x:v>
      </x:c>
      <x:c r="F545" s="18" t="n">
        <x:v>12914.71</x:v>
      </x:c>
      <x:c r="G545" s="18" t="n">
        <x:v>12914.71</x:v>
      </x:c>
      <x:c r="H545" t="str">
        <x:v>Client 40</x:v>
      </x:c>
      <x:c r="I545" s="16" t="n">
        <x:v>45656</x:v>
      </x:c>
      <x:c r="J545" t="n">
        <x:f>YEAR(B545)</x:f>
        <x:v>2024</x:v>
      </x:c>
      <x:c r="K545" s="20" t="n">
        <x:f>DATE(YEAR(B545),MONTH(B545),1)</x:f>
        <x:v>45627</x:v>
      </x:c>
      <x:c r="L545" s="18" t="n">
        <x:f>F545-G545</x:f>
        <x:v>0</x:v>
      </x:c>
      <x:c r="M545" t="str">
        <x:f>IF(L545&lt;=0,"Payée",IF(G545=0,"Impayée","Partielle"))</x:f>
        <x:v>Payée</x:v>
      </x:c>
      <x:c r="N545" t="n">
        <x:f>IF(I545="","",I545-B545)</x:f>
        <x:v>2</x:v>
      </x:c>
      <x:c r="O545" t="str">
        <x:f>IF(TRIM(C545)&lt;&gt;TRIM(H545),"Oui","Non")</x:f>
        <x:v>Non</x:v>
      </x:c>
      <x:c r="P545" t="str">
        <x:f>IFERROR(INDEX('02_REFERENTIEL_CLIENTS'!$B$2:$B$51,MATCH(TRIM(C545),'02_REFERENTIEL_CLIENTS'!$A$2:$A$51,0)),"Non trouvé")</x:f>
        <x:v>Grands comptes</x:v>
      </x:c>
      <x:c r="Q545" t="str">
        <x:f>IFERROR(INDEX('02_REFERENTIEL_CLIENTS'!$C$2:$C$51,MATCH(TRIM(C545),'02_REFERENTIEL_CLIENTS'!$A$2:$A$51,0)),"Non trouvé")</x:f>
        <x:v>France</x:v>
      </x:c>
      <x:c r="R545" t="str">
        <x:f>IF(OR(F545&lt;=0,G545&lt;0,G545&gt;F545,N545&lt;0,P545="Non trouvé"),"À vérifier","OK")</x:f>
        <x:v>OK</x:v>
      </x:c>
    </x:row>
    <x:row r="546">
      <x:c r="A546" t="str">
        <x:v>DV-2025-00545</x:v>
      </x:c>
      <x:c r="B546" s="16" t="n">
        <x:v>45869</x:v>
      </x:c>
      <x:c r="C546" t="str">
        <x:v>Client 35</x:v>
      </x:c>
      <x:c r="D546" t="str">
        <x:v>Fret maritime</x:v>
      </x:c>
      <x:c r="E546" t="str">
        <x:v>Pôle E</x:v>
      </x:c>
      <x:c r="F546" s="18" t="n">
        <x:v>8009.11</x:v>
      </x:c>
      <x:c r="G546" s="18" t="n">
        <x:v>0</x:v>
      </x:c>
      <x:c r="H546" t="str">
        <x:v>Client 35</x:v>
      </x:c>
      <x:c r="I546" s="16"/>
      <x:c r="J546" t="n">
        <x:f>YEAR(B546)</x:f>
        <x:v>2025</x:v>
      </x:c>
      <x:c r="K546" s="20" t="n">
        <x:f>DATE(YEAR(B546),MONTH(B546),1)</x:f>
        <x:v>45839</x:v>
      </x:c>
      <x:c r="L546" s="18" t="n">
        <x:f>F546-G546</x:f>
        <x:v>8009.11</x:v>
      </x:c>
      <x:c r="M546" t="str">
        <x:f>IF(L546&lt;=0,"Payée",IF(G546=0,"Impayée","Partielle"))</x:f>
        <x:v>Impayée</x:v>
      </x:c>
      <x:c r="N546" t="str">
        <x:f>IF(I546="","",I546-B546)</x:f>
      </x:c>
      <x:c r="O546" t="str">
        <x:f>IF(TRIM(C546)&lt;&gt;TRIM(H546),"Oui","Non")</x:f>
        <x:v>Non</x:v>
      </x:c>
      <x:c r="P546" t="str">
        <x:f>IFERROR(INDEX('02_REFERENTIEL_CLIENTS'!$B$2:$B$51,MATCH(TRIM(C546),'02_REFERENTIEL_CLIENTS'!$A$2:$A$51,0)),"Non trouvé")</x:f>
        <x:v>PME</x:v>
      </x:c>
      <x:c r="Q546" t="str">
        <x:f>IFERROR(INDEX('02_REFERENTIEL_CLIENTS'!$C$2:$C$51,MATCH(TRIM(C546),'02_REFERENTIEL_CLIENTS'!$A$2:$A$51,0)),"Non trouvé")</x:f>
        <x:v>Europe</x:v>
      </x:c>
      <x:c r="R546" t="str">
        <x:f>IF(OR(F546&lt;=0,G546&lt;0,G546&gt;F546,N546&lt;0,P546="Non trouvé"),"À vérifier","OK")</x:f>
        <x:v>OK</x:v>
      </x:c>
    </x:row>
    <x:row r="547">
      <x:c r="A547" t="str">
        <x:v>DV-2025-00546</x:v>
      </x:c>
      <x:c r="B547" s="16" t="n">
        <x:v>45764</x:v>
      </x:c>
      <x:c r="C547" t="str">
        <x:v>Client 32</x:v>
      </x:c>
      <x:c r="D547" t="str">
        <x:v>Fret aérien</x:v>
      </x:c>
      <x:c r="E547" t="str">
        <x:v>Pôle E</x:v>
      </x:c>
      <x:c r="F547" s="18" t="n">
        <x:v>5395.7</x:v>
      </x:c>
      <x:c r="G547" s="18" t="n">
        <x:v>0</x:v>
      </x:c>
      <x:c r="H547" t="str">
        <x:v>Client 35</x:v>
      </x:c>
      <x:c r="I547" s="16"/>
      <x:c r="J547" t="n">
        <x:f>YEAR(B547)</x:f>
        <x:v>2025</x:v>
      </x:c>
      <x:c r="K547" s="20" t="n">
        <x:f>DATE(YEAR(B547),MONTH(B547),1)</x:f>
        <x:v>45748</x:v>
      </x:c>
      <x:c r="L547" s="18" t="n">
        <x:f>F547-G547</x:f>
        <x:v>5395.7</x:v>
      </x:c>
      <x:c r="M547" t="str">
        <x:f>IF(L547&lt;=0,"Payée",IF(G547=0,"Impayée","Partielle"))</x:f>
        <x:v>Impayée</x:v>
      </x:c>
      <x:c r="N547" t="str">
        <x:f>IF(I547="","",I547-B547)</x:f>
      </x:c>
      <x:c r="O547" t="str">
        <x:f>IF(TRIM(C547)&lt;&gt;TRIM(H547),"Oui","Non")</x:f>
        <x:v>Oui</x:v>
      </x:c>
      <x:c r="P547" t="str">
        <x:f>IFERROR(INDEX('02_REFERENTIEL_CLIENTS'!$B$2:$B$51,MATCH(TRIM(C547),'02_REFERENTIEL_CLIENTS'!$A$2:$A$51,0)),"Non trouvé")</x:f>
        <x:v>PME</x:v>
      </x:c>
      <x:c r="Q547" t="str">
        <x:f>IFERROR(INDEX('02_REFERENTIEL_CLIENTS'!$C$2:$C$51,MATCH(TRIM(C547),'02_REFERENTIEL_CLIENTS'!$A$2:$A$51,0)),"Non trouvé")</x:f>
        <x:v>Europe</x:v>
      </x:c>
      <x:c r="R547" t="str">
        <x:f>IF(OR(F547&lt;=0,G547&lt;0,G547&gt;F547,N547&lt;0,P547="Non trouvé"),"À vérifier","OK")</x:f>
        <x:v>OK</x:v>
      </x:c>
    </x:row>
    <x:row r="548">
      <x:c r="A548" t="str">
        <x:v>DV-2026-00547</x:v>
      </x:c>
      <x:c r="B548" s="16" t="n">
        <x:v>46127</x:v>
      </x:c>
      <x:c r="C548" t="str">
        <x:v>Client 10</x:v>
      </x:c>
      <x:c r="D548" t="str">
        <x:v>Express</x:v>
      </x:c>
      <x:c r="E548" t="str">
        <x:v>Pôle B</x:v>
      </x:c>
      <x:c r="F548" s="18" t="n">
        <x:v>21851.33</x:v>
      </x:c>
      <x:c r="G548" s="18" t="n">
        <x:v>9201.77</x:v>
      </x:c>
      <x:c r="H548" t="str">
        <x:v>Client 10</x:v>
      </x:c>
      <x:c r="I548" s="16" t="n">
        <x:v>46202</x:v>
      </x:c>
      <x:c r="J548" t="n">
        <x:f>YEAR(B548)</x:f>
        <x:v>2026</x:v>
      </x:c>
      <x:c r="K548" s="20" t="n">
        <x:f>DATE(YEAR(B548),MONTH(B548),1)</x:f>
        <x:v>46113</x:v>
      </x:c>
      <x:c r="L548" s="18" t="n">
        <x:f>F548-G548</x:f>
        <x:v>12649.560000000001</x:v>
      </x:c>
      <x:c r="M548" t="str">
        <x:f>IF(L548&lt;=0,"Payée",IF(G548=0,"Impayée","Partielle"))</x:f>
        <x:v>Partielle</x:v>
      </x:c>
      <x:c r="N548" t="n">
        <x:f>IF(I548="","",I548-B548)</x:f>
        <x:v>75</x:v>
      </x:c>
      <x:c r="O548" t="str">
        <x:f>IF(TRIM(C548)&lt;&gt;TRIM(H548),"Oui","Non")</x:f>
        <x:v>Non</x:v>
      </x:c>
      <x:c r="P548" t="str">
        <x:f>IFERROR(INDEX('02_REFERENTIEL_CLIENTS'!$B$2:$B$51,MATCH(TRIM(C548),'02_REFERENTIEL_CLIENTS'!$A$2:$A$51,0)),"Non trouvé")</x:f>
        <x:v>Grands comptes</x:v>
      </x:c>
      <x:c r="Q548" t="str">
        <x:f>IFERROR(INDEX('02_REFERENTIEL_CLIENTS'!$C$2:$C$51,MATCH(TRIM(C548),'02_REFERENTIEL_CLIENTS'!$A$2:$A$51,0)),"Non trouvé")</x:f>
        <x:v>France</x:v>
      </x:c>
      <x:c r="R548" t="str">
        <x:f>IF(OR(F548&lt;=0,G548&lt;0,G548&gt;F548,N548&lt;0,P548="Non trouvé"),"À vérifier","OK")</x:f>
        <x:v>OK</x:v>
      </x:c>
    </x:row>
    <x:row r="549">
      <x:c r="A549" t="str">
        <x:v>DV-2025-00548</x:v>
      </x:c>
      <x:c r="B549" s="16" t="n">
        <x:v>45802</x:v>
      </x:c>
      <x:c r="C549" t="str">
        <x:v>Client 07</x:v>
      </x:c>
      <x:c r="D549" t="str">
        <x:v>Express</x:v>
      </x:c>
      <x:c r="E549" t="str">
        <x:v>Pôle E</x:v>
      </x:c>
      <x:c r="F549" s="18" t="n">
        <x:v>18378.62</x:v>
      </x:c>
      <x:c r="G549" s="18" t="n">
        <x:v>18378.62</x:v>
      </x:c>
      <x:c r="H549" t="str">
        <x:v>Client 49</x:v>
      </x:c>
      <x:c r="I549" s="16" t="n">
        <x:v>45825</x:v>
      </x:c>
      <x:c r="J549" t="n">
        <x:f>YEAR(B549)</x:f>
        <x:v>2025</x:v>
      </x:c>
      <x:c r="K549" s="20" t="n">
        <x:f>DATE(YEAR(B549),MONTH(B549),1)</x:f>
        <x:v>45778</x:v>
      </x:c>
      <x:c r="L549" s="18" t="n">
        <x:f>F549-G549</x:f>
        <x:v>0</x:v>
      </x:c>
      <x:c r="M549" t="str">
        <x:f>IF(L549&lt;=0,"Payée",IF(G549=0,"Impayée","Partielle"))</x:f>
        <x:v>Payée</x:v>
      </x:c>
      <x:c r="N549" t="n">
        <x:f>IF(I549="","",I549-B549)</x:f>
        <x:v>23</x:v>
      </x:c>
      <x:c r="O549" t="str">
        <x:f>IF(TRIM(C549)&lt;&gt;TRIM(H549),"Oui","Non")</x:f>
        <x:v>Oui</x:v>
      </x:c>
      <x:c r="P549" t="str">
        <x:f>IFERROR(INDEX('02_REFERENTIEL_CLIENTS'!$B$2:$B$51,MATCH(TRIM(C549),'02_REFERENTIEL_CLIENTS'!$A$2:$A$51,0)),"Non trouvé")</x:f>
        <x:v>Grands comptes</x:v>
      </x:c>
      <x:c r="Q549" t="str">
        <x:f>IFERROR(INDEX('02_REFERENTIEL_CLIENTS'!$C$2:$C$51,MATCH(TRIM(C549),'02_REFERENTIEL_CLIENTS'!$A$2:$A$51,0)),"Non trouvé")</x:f>
        <x:v>France</x:v>
      </x:c>
      <x:c r="R549" t="str">
        <x:f>IF(OR(F549&lt;=0,G549&lt;0,G549&gt;F549,N549&lt;0,P549="Non trouvé"),"À vérifier","OK")</x:f>
        <x:v>OK</x:v>
      </x:c>
    </x:row>
    <x:row r="550">
      <x:c r="A550" t="str">
        <x:v>DV-2026-00549</x:v>
      </x:c>
      <x:c r="B550" s="16" t="n">
        <x:v>46039</x:v>
      </x:c>
      <x:c r="C550" t="str">
        <x:v>Client 12 </x:v>
      </x:c>
      <x:c r="D550" t="str">
        <x:v>Logistique</x:v>
      </x:c>
      <x:c r="E550" t="str">
        <x:v>Pôle D</x:v>
      </x:c>
      <x:c r="F550" s="18" t="n">
        <x:v>20423.34</x:v>
      </x:c>
      <x:c r="G550" s="18" t="n">
        <x:v>0</x:v>
      </x:c>
      <x:c r="H550" t="str">
        <x:v>Client 12</x:v>
      </x:c>
      <x:c r="I550" s="16"/>
      <x:c r="J550" t="n">
        <x:f>YEAR(B550)</x:f>
        <x:v>2026</x:v>
      </x:c>
      <x:c r="K550" s="20" t="n">
        <x:f>DATE(YEAR(B550),MONTH(B550),1)</x:f>
        <x:v>46023</x:v>
      </x:c>
      <x:c r="L550" s="18" t="n">
        <x:f>F550-G550</x:f>
        <x:v>20423.34</x:v>
      </x:c>
      <x:c r="M550" t="str">
        <x:f>IF(L550&lt;=0,"Payée",IF(G550=0,"Impayée","Partielle"))</x:f>
        <x:v>Impayée</x:v>
      </x:c>
      <x:c r="N550" t="str">
        <x:f>IF(I550="","",I550-B550)</x:f>
      </x:c>
      <x:c r="O550" t="str">
        <x:f>IF(TRIM(C550)&lt;&gt;TRIM(H550),"Oui","Non")</x:f>
        <x:v>Non</x:v>
      </x:c>
      <x:c r="P550" t="str">
        <x:f>IFERROR(INDEX('02_REFERENTIEL_CLIENTS'!$B$2:$B$51,MATCH(TRIM(C550),'02_REFERENTIEL_CLIENTS'!$A$2:$A$51,0)),"Non trouvé")</x:f>
        <x:v>Particuliers</x:v>
      </x:c>
      <x:c r="Q550" t="str">
        <x:f>IFERROR(INDEX('02_REFERENTIEL_CLIENTS'!$C$2:$C$51,MATCH(TRIM(C550),'02_REFERENTIEL_CLIENTS'!$A$2:$A$51,0)),"Non trouvé")</x:f>
        <x:v>International</x:v>
      </x:c>
      <x:c r="R550" t="str">
        <x:f>IF(OR(F550&lt;=0,G550&lt;0,G550&gt;F550,N550&lt;0,P550="Non trouvé"),"À vérifier","OK")</x:f>
        <x:v>OK</x:v>
      </x:c>
    </x:row>
    <x:row r="551">
      <x:c r="A551" t="str">
        <x:v>DV-2025-00550</x:v>
      </x:c>
      <x:c r="B551" s="16" t="n">
        <x:v>45956</x:v>
      </x:c>
      <x:c r="C551" t="str">
        <x:v>Client 42</x:v>
      </x:c>
      <x:c r="D551" t="str">
        <x:v>Fret maritime</x:v>
      </x:c>
      <x:c r="E551" t="str">
        <x:v>Pôle D</x:v>
      </x:c>
      <x:c r="F551" s="18" t="n">
        <x:v>8765.25</x:v>
      </x:c>
      <x:c r="G551" s="18" t="n">
        <x:v>8765.25</x:v>
      </x:c>
      <x:c r="H551" t="str">
        <x:v>Client 42</x:v>
      </x:c>
      <x:c r="I551" s="16" t="n">
        <x:v>46016</x:v>
      </x:c>
      <x:c r="J551" t="n">
        <x:f>YEAR(B551)</x:f>
        <x:v>2025</x:v>
      </x:c>
      <x:c r="K551" s="20" t="n">
        <x:f>DATE(YEAR(B551),MONTH(B551),1)</x:f>
        <x:v>45931</x:v>
      </x:c>
      <x:c r="L551" s="18" t="n">
        <x:f>F551-G551</x:f>
        <x:v>0</x:v>
      </x:c>
      <x:c r="M551" t="str">
        <x:f>IF(L551&lt;=0,"Payée",IF(G551=0,"Impayée","Partielle"))</x:f>
        <x:v>Payée</x:v>
      </x:c>
      <x:c r="N551" t="n">
        <x:f>IF(I551="","",I551-B551)</x:f>
        <x:v>60</x:v>
      </x:c>
      <x:c r="O551" t="str">
        <x:f>IF(TRIM(C551)&lt;&gt;TRIM(H551),"Oui","Non")</x:f>
        <x:v>Non</x:v>
      </x:c>
      <x:c r="P551" t="str">
        <x:f>IFERROR(INDEX('02_REFERENTIEL_CLIENTS'!$B$2:$B$51,MATCH(TRIM(C551),'02_REFERENTIEL_CLIENTS'!$A$2:$A$51,0)),"Non trouvé")</x:f>
        <x:v>Particuliers</x:v>
      </x:c>
      <x:c r="Q551" t="str">
        <x:f>IFERROR(INDEX('02_REFERENTIEL_CLIENTS'!$C$2:$C$51,MATCH(TRIM(C551),'02_REFERENTIEL_CLIENTS'!$A$2:$A$51,0)),"Non trouvé")</x:f>
        <x:v>International</x:v>
      </x:c>
      <x:c r="R551" t="str">
        <x:f>IF(OR(F551&lt;=0,G551&lt;0,G551&gt;F551,N551&lt;0,P551="Non trouvé"),"À vérifier","OK")</x:f>
        <x:v>OK</x:v>
      </x:c>
    </x:row>
    <x:row r="552">
      <x:c r="A552" t="str">
        <x:v>DV-2026-00551</x:v>
      </x:c>
      <x:c r="B552" s="16" t="n">
        <x:v>46244</x:v>
      </x:c>
      <x:c r="C552" t="str">
        <x:v>Client 25</x:v>
      </x:c>
      <x:c r="D552" t="str">
        <x:v>Logistique</x:v>
      </x:c>
      <x:c r="E552" t="str">
        <x:v>Pôle A</x:v>
      </x:c>
      <x:c r="F552" s="18" t="n">
        <x:v>24227.33</x:v>
      </x:c>
      <x:c r="G552" s="18" t="n">
        <x:v>24227.33</x:v>
      </x:c>
      <x:c r="H552" t="str">
        <x:v>Client 25</x:v>
      </x:c>
      <x:c r="I552" s="16" t="n">
        <x:v>46291</x:v>
      </x:c>
      <x:c r="J552" t="n">
        <x:f>YEAR(B552)</x:f>
        <x:v>2026</x:v>
      </x:c>
      <x:c r="K552" s="20" t="n">
        <x:f>DATE(YEAR(B552),MONTH(B552),1)</x:f>
        <x:v>46235</x:v>
      </x:c>
      <x:c r="L552" s="18" t="n">
        <x:f>F552-G552</x:f>
        <x:v>0</x:v>
      </x:c>
      <x:c r="M552" t="str">
        <x:f>IF(L552&lt;=0,"Payée",IF(G552=0,"Impayée","Partielle"))</x:f>
        <x:v>Payée</x:v>
      </x:c>
      <x:c r="N552" t="n">
        <x:f>IF(I552="","",I552-B552)</x:f>
        <x:v>47</x:v>
      </x:c>
      <x:c r="O552" t="str">
        <x:f>IF(TRIM(C552)&lt;&gt;TRIM(H552),"Oui","Non")</x:f>
        <x:v>Non</x:v>
      </x:c>
      <x:c r="P552" t="str">
        <x:f>IFERROR(INDEX('02_REFERENTIEL_CLIENTS'!$B$2:$B$51,MATCH(TRIM(C552),'02_REFERENTIEL_CLIENTS'!$A$2:$A$51,0)),"Non trouvé")</x:f>
        <x:v>Grands comptes</x:v>
      </x:c>
      <x:c r="Q552" t="str">
        <x:f>IFERROR(INDEX('02_REFERENTIEL_CLIENTS'!$C$2:$C$51,MATCH(TRIM(C552),'02_REFERENTIEL_CLIENTS'!$A$2:$A$51,0)),"Non trouvé")</x:f>
        <x:v>France</x:v>
      </x:c>
      <x:c r="R552" t="str">
        <x:f>IF(OR(F552&lt;=0,G552&lt;0,G552&gt;F552,N552&lt;0,P552="Non trouvé"),"À vérifier","OK")</x:f>
        <x:v>OK</x:v>
      </x:c>
    </x:row>
    <x:row r="553">
      <x:c r="A553" t="str">
        <x:v>DV-2026-00552</x:v>
      </x:c>
      <x:c r="B553" s="16" t="n">
        <x:v>46102</x:v>
      </x:c>
      <x:c r="C553" t="str">
        <x:v>Client 07</x:v>
      </x:c>
      <x:c r="D553" t="str">
        <x:v>Fret aérien</x:v>
      </x:c>
      <x:c r="E553" t="str">
        <x:v>Pôle D</x:v>
      </x:c>
      <x:c r="F553" s="18" t="n">
        <x:v>21375.93</x:v>
      </x:c>
      <x:c r="G553" s="18" t="n">
        <x:v>21375.93</x:v>
      </x:c>
      <x:c r="H553" t="str">
        <x:v>Client 07</x:v>
      </x:c>
      <x:c r="I553" s="16" t="n">
        <x:v>46136</x:v>
      </x:c>
      <x:c r="J553" t="n">
        <x:f>YEAR(B553)</x:f>
        <x:v>2026</x:v>
      </x:c>
      <x:c r="K553" s="20" t="n">
        <x:f>DATE(YEAR(B553),MONTH(B553),1)</x:f>
        <x:v>46082</x:v>
      </x:c>
      <x:c r="L553" s="18" t="n">
        <x:f>F553-G553</x:f>
        <x:v>0</x:v>
      </x:c>
      <x:c r="M553" t="str">
        <x:f>IF(L553&lt;=0,"Payée",IF(G553=0,"Impayée","Partielle"))</x:f>
        <x:v>Payée</x:v>
      </x:c>
      <x:c r="N553" t="n">
        <x:f>IF(I553="","",I553-B553)</x:f>
        <x:v>34</x:v>
      </x:c>
      <x:c r="O553" t="str">
        <x:f>IF(TRIM(C553)&lt;&gt;TRIM(H553),"Oui","Non")</x:f>
        <x:v>Non</x:v>
      </x:c>
      <x:c r="P553" t="str">
        <x:f>IFERROR(INDEX('02_REFERENTIEL_CLIENTS'!$B$2:$B$51,MATCH(TRIM(C553),'02_REFERENTIEL_CLIENTS'!$A$2:$A$51,0)),"Non trouvé")</x:f>
        <x:v>Grands comptes</x:v>
      </x:c>
      <x:c r="Q553" t="str">
        <x:f>IFERROR(INDEX('02_REFERENTIEL_CLIENTS'!$C$2:$C$51,MATCH(TRIM(C553),'02_REFERENTIEL_CLIENTS'!$A$2:$A$51,0)),"Non trouvé")</x:f>
        <x:v>France</x:v>
      </x:c>
      <x:c r="R553" t="str">
        <x:f>IF(OR(F553&lt;=0,G553&lt;0,G553&gt;F553,N553&lt;0,P553="Non trouvé"),"À vérifier","OK")</x:f>
        <x:v>OK</x:v>
      </x:c>
    </x:row>
    <x:row r="554">
      <x:c r="A554" t="str">
        <x:v>DV-2024-00553</x:v>
      </x:c>
      <x:c r="B554" s="16" t="n">
        <x:v>45585</x:v>
      </x:c>
      <x:c r="C554" t="str">
        <x:v>Client 40</x:v>
      </x:c>
      <x:c r="D554" t="str">
        <x:v>Fret maritime</x:v>
      </x:c>
      <x:c r="E554" t="str">
        <x:v>Pôle D</x:v>
      </x:c>
      <x:c r="F554" s="18" t="n">
        <x:v>10268.78</x:v>
      </x:c>
      <x:c r="G554" s="18" t="n">
        <x:v>10268.78</x:v>
      </x:c>
      <x:c r="H554" t="str">
        <x:v>Client 40</x:v>
      </x:c>
      <x:c r="I554" s="16" t="n">
        <x:v>45651</x:v>
      </x:c>
      <x:c r="J554" t="n">
        <x:f>YEAR(B554)</x:f>
        <x:v>2024</x:v>
      </x:c>
      <x:c r="K554" s="20" t="n">
        <x:f>DATE(YEAR(B554),MONTH(B554),1)</x:f>
        <x:v>45566</x:v>
      </x:c>
      <x:c r="L554" s="18" t="n">
        <x:f>F554-G554</x:f>
        <x:v>0</x:v>
      </x:c>
      <x:c r="M554" t="str">
        <x:f>IF(L554&lt;=0,"Payée",IF(G554=0,"Impayée","Partielle"))</x:f>
        <x:v>Payée</x:v>
      </x:c>
      <x:c r="N554" t="n">
        <x:f>IF(I554="","",I554-B554)</x:f>
        <x:v>66</x:v>
      </x:c>
      <x:c r="O554" t="str">
        <x:f>IF(TRIM(C554)&lt;&gt;TRIM(H554),"Oui","Non")</x:f>
        <x:v>Non</x:v>
      </x:c>
      <x:c r="P554" t="str">
        <x:f>IFERROR(INDEX('02_REFERENTIEL_CLIENTS'!$B$2:$B$51,MATCH(TRIM(C554),'02_REFERENTIEL_CLIENTS'!$A$2:$A$51,0)),"Non trouvé")</x:f>
        <x:v>Grands comptes</x:v>
      </x:c>
      <x:c r="Q554" t="str">
        <x:f>IFERROR(INDEX('02_REFERENTIEL_CLIENTS'!$C$2:$C$51,MATCH(TRIM(C554),'02_REFERENTIEL_CLIENTS'!$A$2:$A$51,0)),"Non trouvé")</x:f>
        <x:v>France</x:v>
      </x:c>
      <x:c r="R554" t="str">
        <x:f>IF(OR(F554&lt;=0,G554&lt;0,G554&gt;F554,N554&lt;0,P554="Non trouvé"),"À vérifier","OK")</x:f>
        <x:v>OK</x:v>
      </x:c>
    </x:row>
    <x:row r="555">
      <x:c r="A555" t="str">
        <x:v>DV-2025-00554</x:v>
      </x:c>
      <x:c r="B555" s="16" t="n">
        <x:v>45859</x:v>
      </x:c>
      <x:c r="C555" t="str">
        <x:v>Client 16</x:v>
      </x:c>
      <x:c r="D555" t="str">
        <x:v>Fret aérien</x:v>
      </x:c>
      <x:c r="E555" t="str">
        <x:v>Pôle E</x:v>
      </x:c>
      <x:c r="F555" s="18" t="n">
        <x:v>13205.52</x:v>
      </x:c>
      <x:c r="G555" s="18" t="n">
        <x:v>13205.52</x:v>
      </x:c>
      <x:c r="H555" t="str">
        <x:v>Client 04</x:v>
      </x:c>
      <x:c r="I555" s="16" t="n">
        <x:v>45864</x:v>
      </x:c>
      <x:c r="J555" t="n">
        <x:f>YEAR(B555)</x:f>
        <x:v>2025</x:v>
      </x:c>
      <x:c r="K555" s="20" t="n">
        <x:f>DATE(YEAR(B555),MONTH(B555),1)</x:f>
        <x:v>45839</x:v>
      </x:c>
      <x:c r="L555" s="18" t="n">
        <x:f>F555-G555</x:f>
        <x:v>0</x:v>
      </x:c>
      <x:c r="M555" t="str">
        <x:f>IF(L555&lt;=0,"Payée",IF(G555=0,"Impayée","Partielle"))</x:f>
        <x:v>Payée</x:v>
      </x:c>
      <x:c r="N555" t="n">
        <x:f>IF(I555="","",I555-B555)</x:f>
        <x:v>5</x:v>
      </x:c>
      <x:c r="O555" t="str">
        <x:f>IF(TRIM(C555)&lt;&gt;TRIM(H555),"Oui","Non")</x:f>
        <x:v>Oui</x:v>
      </x:c>
      <x:c r="P555" t="str">
        <x:f>IFERROR(INDEX('02_REFERENTIEL_CLIENTS'!$B$2:$B$51,MATCH(TRIM(C555),'02_REFERENTIEL_CLIENTS'!$A$2:$A$51,0)),"Non trouvé")</x:f>
        <x:v>Grands comptes</x:v>
      </x:c>
      <x:c r="Q555" t="str">
        <x:f>IFERROR(INDEX('02_REFERENTIEL_CLIENTS'!$C$2:$C$51,MATCH(TRIM(C555),'02_REFERENTIEL_CLIENTS'!$A$2:$A$51,0)),"Non trouvé")</x:f>
        <x:v>France</x:v>
      </x:c>
      <x:c r="R555" t="str">
        <x:f>IF(OR(F555&lt;=0,G555&lt;0,G555&gt;F555,N555&lt;0,P555="Non trouvé"),"À vérifier","OK")</x:f>
        <x:v>OK</x:v>
      </x:c>
    </x:row>
    <x:row r="556">
      <x:c r="A556" t="str">
        <x:v>DV-2024-00555</x:v>
      </x:c>
      <x:c r="B556" s="16" t="n">
        <x:v>45475</x:v>
      </x:c>
      <x:c r="C556" t="str">
        <x:v>Client 34</x:v>
      </x:c>
      <x:c r="D556" t="str">
        <x:v>Logistique</x:v>
      </x:c>
      <x:c r="E556" t="str">
        <x:v>Pôle A</x:v>
      </x:c>
      <x:c r="F556" s="18" t="n">
        <x:v>10502.18</x:v>
      </x:c>
      <x:c r="G556" s="18" t="n">
        <x:v>10502.18</x:v>
      </x:c>
      <x:c r="H556" t="str">
        <x:v>Client 34</x:v>
      </x:c>
      <x:c r="I556" s="16" t="n">
        <x:v>45489</x:v>
      </x:c>
      <x:c r="J556" t="n">
        <x:f>YEAR(B556)</x:f>
        <x:v>2024</x:v>
      </x:c>
      <x:c r="K556" s="20" t="n">
        <x:f>DATE(YEAR(B556),MONTH(B556),1)</x:f>
        <x:v>45474</x:v>
      </x:c>
      <x:c r="L556" s="18" t="n">
        <x:f>F556-G556</x:f>
        <x:v>0</x:v>
      </x:c>
      <x:c r="M556" t="str">
        <x:f>IF(L556&lt;=0,"Payée",IF(G556=0,"Impayée","Partielle"))</x:f>
        <x:v>Payée</x:v>
      </x:c>
      <x:c r="N556" t="n">
        <x:f>IF(I556="","",I556-B556)</x:f>
        <x:v>14</x:v>
      </x:c>
      <x:c r="O556" t="str">
        <x:f>IF(TRIM(C556)&lt;&gt;TRIM(H556),"Oui","Non")</x:f>
        <x:v>Non</x:v>
      </x:c>
      <x:c r="P556" t="str">
        <x:f>IFERROR(INDEX('02_REFERENTIEL_CLIENTS'!$B$2:$B$51,MATCH(TRIM(C556),'02_REFERENTIEL_CLIENTS'!$A$2:$A$51,0)),"Non trouvé")</x:f>
        <x:v>Grands comptes</x:v>
      </x:c>
      <x:c r="Q556" t="str">
        <x:f>IFERROR(INDEX('02_REFERENTIEL_CLIENTS'!$C$2:$C$51,MATCH(TRIM(C556),'02_REFERENTIEL_CLIENTS'!$A$2:$A$51,0)),"Non trouvé")</x:f>
        <x:v>France</x:v>
      </x:c>
      <x:c r="R556" t="str">
        <x:f>IF(OR(F556&lt;=0,G556&lt;0,G556&gt;F556,N556&lt;0,P556="Non trouvé"),"À vérifier","OK")</x:f>
        <x:v>OK</x:v>
      </x:c>
    </x:row>
    <x:row r="557">
      <x:c r="A557" t="str">
        <x:v>DV-2026-00556</x:v>
      </x:c>
      <x:c r="B557" s="16" t="n">
        <x:v>46142</x:v>
      </x:c>
      <x:c r="C557" t="str">
        <x:v>Client 33</x:v>
      </x:c>
      <x:c r="D557" t="str">
        <x:v>Douane</x:v>
      </x:c>
      <x:c r="E557" t="str">
        <x:v>Pôle D</x:v>
      </x:c>
      <x:c r="F557" s="18" t="n">
        <x:v>22438.02</x:v>
      </x:c>
      <x:c r="G557" s="18" t="n">
        <x:v>22438.02</x:v>
      </x:c>
      <x:c r="H557" t="str">
        <x:v>Client 33</x:v>
      </x:c>
      <x:c r="I557" s="16" t="n">
        <x:v>46211</x:v>
      </x:c>
      <x:c r="J557" t="n">
        <x:f>YEAR(B557)</x:f>
        <x:v>2026</x:v>
      </x:c>
      <x:c r="K557" s="20" t="n">
        <x:f>DATE(YEAR(B557),MONTH(B557),1)</x:f>
        <x:v>46113</x:v>
      </x:c>
      <x:c r="L557" s="18" t="n">
        <x:f>F557-G557</x:f>
        <x:v>0</x:v>
      </x:c>
      <x:c r="M557" t="str">
        <x:f>IF(L557&lt;=0,"Payée",IF(G557=0,"Impayée","Partielle"))</x:f>
        <x:v>Payée</x:v>
      </x:c>
      <x:c r="N557" t="n">
        <x:f>IF(I557="","",I557-B557)</x:f>
        <x:v>69</x:v>
      </x:c>
      <x:c r="O557" t="str">
        <x:f>IF(TRIM(C557)&lt;&gt;TRIM(H557),"Oui","Non")</x:f>
        <x:v>Non</x:v>
      </x:c>
      <x:c r="P557" t="str">
        <x:f>IFERROR(INDEX('02_REFERENTIEL_CLIENTS'!$B$2:$B$51,MATCH(TRIM(C557),'02_REFERENTIEL_CLIENTS'!$A$2:$A$51,0)),"Non trouvé")</x:f>
        <x:v>Particuliers</x:v>
      </x:c>
      <x:c r="Q557" t="str">
        <x:f>IFERROR(INDEX('02_REFERENTIEL_CLIENTS'!$C$2:$C$51,MATCH(TRIM(C557),'02_REFERENTIEL_CLIENTS'!$A$2:$A$51,0)),"Non trouvé")</x:f>
        <x:v>International</x:v>
      </x:c>
      <x:c r="R557" t="str">
        <x:f>IF(OR(F557&lt;=0,G557&lt;0,G557&gt;F557,N557&lt;0,P557="Non trouvé"),"À vérifier","OK")</x:f>
        <x:v>OK</x:v>
      </x:c>
    </x:row>
    <x:row r="558">
      <x:c r="A558" t="str">
        <x:v>DV-2024-00557</x:v>
      </x:c>
      <x:c r="B558" s="16" t="n">
        <x:v>45566</x:v>
      </x:c>
      <x:c r="C558" t="str">
        <x:v>Client 41</x:v>
      </x:c>
      <x:c r="D558" t="str">
        <x:v>Fret maritime</x:v>
      </x:c>
      <x:c r="E558" t="str">
        <x:v>Pôle C</x:v>
      </x:c>
      <x:c r="F558" s="18" t="n">
        <x:v>9058.73</x:v>
      </x:c>
      <x:c r="G558" s="18" t="n">
        <x:v>9058.73</x:v>
      </x:c>
      <x:c r="H558" t="str">
        <x:v>Client 42</x:v>
      </x:c>
      <x:c r="I558" s="16" t="n">
        <x:v>45648</x:v>
      </x:c>
      <x:c r="J558" t="n">
        <x:f>YEAR(B558)</x:f>
        <x:v>2024</x:v>
      </x:c>
      <x:c r="K558" s="20" t="n">
        <x:f>DATE(YEAR(B558),MONTH(B558),1)</x:f>
        <x:v>45566</x:v>
      </x:c>
      <x:c r="L558" s="18" t="n">
        <x:f>F558-G558</x:f>
        <x:v>0</x:v>
      </x:c>
      <x:c r="M558" t="str">
        <x:f>IF(L558&lt;=0,"Payée",IF(G558=0,"Impayée","Partielle"))</x:f>
        <x:v>Payée</x:v>
      </x:c>
      <x:c r="N558" t="n">
        <x:f>IF(I558="","",I558-B558)</x:f>
        <x:v>82</x:v>
      </x:c>
      <x:c r="O558" t="str">
        <x:f>IF(TRIM(C558)&lt;&gt;TRIM(H558),"Oui","Non")</x:f>
        <x:v>Oui</x:v>
      </x:c>
      <x:c r="P558" t="str">
        <x:f>IFERROR(INDEX('02_REFERENTIEL_CLIENTS'!$B$2:$B$51,MATCH(TRIM(C558),'02_REFERENTIEL_CLIENTS'!$A$2:$A$51,0)),"Non trouvé")</x:f>
        <x:v>PME</x:v>
      </x:c>
      <x:c r="Q558" t="str">
        <x:f>IFERROR(INDEX('02_REFERENTIEL_CLIENTS'!$C$2:$C$51,MATCH(TRIM(C558),'02_REFERENTIEL_CLIENTS'!$A$2:$A$51,0)),"Non trouvé")</x:f>
        <x:v>Europe</x:v>
      </x:c>
      <x:c r="R558" t="str">
        <x:f>IF(OR(F558&lt;=0,G558&lt;0,G558&gt;F558,N558&lt;0,P558="Non trouvé"),"À vérifier","OK")</x:f>
        <x:v>OK</x:v>
      </x:c>
    </x:row>
    <x:row r="559">
      <x:c r="A559" t="str">
        <x:v>DV-2024-00558</x:v>
      </x:c>
      <x:c r="B559" s="16" t="n">
        <x:v>45521</x:v>
      </x:c>
      <x:c r="C559" t="str">
        <x:v>Client 28</x:v>
      </x:c>
      <x:c r="D559" t="str">
        <x:v>Fret maritime</x:v>
      </x:c>
      <x:c r="E559" t="str">
        <x:v>Pôle A</x:v>
      </x:c>
      <x:c r="F559" s="18" t="n">
        <x:v>11093.64</x:v>
      </x:c>
      <x:c r="G559" s="18" t="n">
        <x:v>11093.64</x:v>
      </x:c>
      <x:c r="H559" t="str">
        <x:v>Client 28</x:v>
      </x:c>
      <x:c r="I559" s="16" t="n">
        <x:v>45523</x:v>
      </x:c>
      <x:c r="J559" t="n">
        <x:f>YEAR(B559)</x:f>
        <x:v>2024</x:v>
      </x:c>
      <x:c r="K559" s="20" t="n">
        <x:f>DATE(YEAR(B559),MONTH(B559),1)</x:f>
        <x:v>45505</x:v>
      </x:c>
      <x:c r="L559" s="18" t="n">
        <x:f>F559-G559</x:f>
        <x:v>0</x:v>
      </x:c>
      <x:c r="M559" t="str">
        <x:f>IF(L559&lt;=0,"Payée",IF(G559=0,"Impayée","Partielle"))</x:f>
        <x:v>Payée</x:v>
      </x:c>
      <x:c r="N559" t="n">
        <x:f>IF(I559="","",I559-B559)</x:f>
        <x:v>2</x:v>
      </x:c>
      <x:c r="O559" t="str">
        <x:f>IF(TRIM(C559)&lt;&gt;TRIM(H559),"Oui","Non")</x:f>
        <x:v>Non</x:v>
      </x:c>
      <x:c r="P559" t="str">
        <x:f>IFERROR(INDEX('02_REFERENTIEL_CLIENTS'!$B$2:$B$51,MATCH(TRIM(C559),'02_REFERENTIEL_CLIENTS'!$A$2:$A$51,0)),"Non trouvé")</x:f>
        <x:v>Grands comptes</x:v>
      </x:c>
      <x:c r="Q559" t="str">
        <x:f>IFERROR(INDEX('02_REFERENTIEL_CLIENTS'!$C$2:$C$51,MATCH(TRIM(C559),'02_REFERENTIEL_CLIENTS'!$A$2:$A$51,0)),"Non trouvé")</x:f>
        <x:v>France</x:v>
      </x:c>
      <x:c r="R559" t="str">
        <x:f>IF(OR(F559&lt;=0,G559&lt;0,G559&gt;F559,N559&lt;0,P559="Non trouvé"),"À vérifier","OK")</x:f>
        <x:v>OK</x:v>
      </x:c>
    </x:row>
    <x:row r="560">
      <x:c r="A560" t="str">
        <x:v>DV-2024-00559</x:v>
      </x:c>
      <x:c r="B560" s="16" t="n">
        <x:v>45431</x:v>
      </x:c>
      <x:c r="C560" t="str">
        <x:v>Client 23</x:v>
      </x:c>
      <x:c r="D560" t="str">
        <x:v>Fret maritime</x:v>
      </x:c>
      <x:c r="E560" t="str">
        <x:v>Pôle B</x:v>
      </x:c>
      <x:c r="F560" s="18" t="n">
        <x:v>14227.3</x:v>
      </x:c>
      <x:c r="G560" s="18" t="n">
        <x:v>6422.58</x:v>
      </x:c>
      <x:c r="H560" t="str">
        <x:v>Client 23</x:v>
      </x:c>
      <x:c r="I560" s="16" t="n">
        <x:v>45504</x:v>
      </x:c>
      <x:c r="J560" t="n">
        <x:f>YEAR(B560)</x:f>
        <x:v>2024</x:v>
      </x:c>
      <x:c r="K560" s="20" t="n">
        <x:f>DATE(YEAR(B560),MONTH(B560),1)</x:f>
        <x:v>45413</x:v>
      </x:c>
      <x:c r="L560" s="18" t="n">
        <x:f>F560-G560</x:f>
        <x:v>7804.719999999999</x:v>
      </x:c>
      <x:c r="M560" t="str">
        <x:f>IF(L560&lt;=0,"Payée",IF(G560=0,"Impayée","Partielle"))</x:f>
        <x:v>Partielle</x:v>
      </x:c>
      <x:c r="N560" t="n">
        <x:f>IF(I560="","",I560-B560)</x:f>
        <x:v>73</x:v>
      </x:c>
      <x:c r="O560" t="str">
        <x:f>IF(TRIM(C560)&lt;&gt;TRIM(H560),"Oui","Non")</x:f>
        <x:v>Non</x:v>
      </x:c>
      <x:c r="P560" t="str">
        <x:f>IFERROR(INDEX('02_REFERENTIEL_CLIENTS'!$B$2:$B$51,MATCH(TRIM(C560),'02_REFERENTIEL_CLIENTS'!$A$2:$A$51,0)),"Non trouvé")</x:f>
        <x:v>PME</x:v>
      </x:c>
      <x:c r="Q560" t="str">
        <x:f>IFERROR(INDEX('02_REFERENTIEL_CLIENTS'!$C$2:$C$51,MATCH(TRIM(C560),'02_REFERENTIEL_CLIENTS'!$A$2:$A$51,0)),"Non trouvé")</x:f>
        <x:v>Europe</x:v>
      </x:c>
      <x:c r="R560" t="str">
        <x:f>IF(OR(F560&lt;=0,G560&lt;0,G560&gt;F560,N560&lt;0,P560="Non trouvé"),"À vérifier","OK")</x:f>
        <x:v>OK</x:v>
      </x:c>
    </x:row>
    <x:row r="561">
      <x:c r="A561" t="str">
        <x:v>DV-2024-00560</x:v>
      </x:c>
      <x:c r="B561" s="16" t="n">
        <x:v>45457</x:v>
      </x:c>
      <x:c r="C561" t="str">
        <x:v>Client 37</x:v>
      </x:c>
      <x:c r="D561" t="str">
        <x:v>Fret maritime</x:v>
      </x:c>
      <x:c r="E561" t="str">
        <x:v>Pôle C</x:v>
      </x:c>
      <x:c r="F561" s="18" t="n">
        <x:v>11013.55</x:v>
      </x:c>
      <x:c r="G561" s="18" t="n">
        <x:v>11013.55</x:v>
      </x:c>
      <x:c r="H561" t="str">
        <x:v>Client 37</x:v>
      </x:c>
      <x:c r="I561" s="16" t="n">
        <x:v>45536</x:v>
      </x:c>
      <x:c r="J561" t="n">
        <x:f>YEAR(B561)</x:f>
        <x:v>2024</x:v>
      </x:c>
      <x:c r="K561" s="20" t="n">
        <x:f>DATE(YEAR(B561),MONTH(B561),1)</x:f>
        <x:v>45444</x:v>
      </x:c>
      <x:c r="L561" s="18" t="n">
        <x:f>F561-G561</x:f>
        <x:v>0</x:v>
      </x:c>
      <x:c r="M561" t="str">
        <x:f>IF(L561&lt;=0,"Payée",IF(G561=0,"Impayée","Partielle"))</x:f>
        <x:v>Payée</x:v>
      </x:c>
      <x:c r="N561" t="n">
        <x:f>IF(I561="","",I561-B561)</x:f>
        <x:v>79</x:v>
      </x:c>
      <x:c r="O561" t="str">
        <x:f>IF(TRIM(C561)&lt;&gt;TRIM(H561),"Oui","Non")</x:f>
        <x:v>Non</x:v>
      </x:c>
      <x:c r="P561" t="str">
        <x:f>IFERROR(INDEX('02_REFERENTIEL_CLIENTS'!$B$2:$B$51,MATCH(TRIM(C561),'02_REFERENTIEL_CLIENTS'!$A$2:$A$51,0)),"Non trouvé")</x:f>
        <x:v>Grands comptes</x:v>
      </x:c>
      <x:c r="Q561" t="str">
        <x:f>IFERROR(INDEX('02_REFERENTIEL_CLIENTS'!$C$2:$C$51,MATCH(TRIM(C561),'02_REFERENTIEL_CLIENTS'!$A$2:$A$51,0)),"Non trouvé")</x:f>
        <x:v>France</x:v>
      </x:c>
      <x:c r="R561" t="str">
        <x:f>IF(OR(F561&lt;=0,G561&lt;0,G561&gt;F561,N561&lt;0,P561="Non trouvé"),"À vérifier","OK")</x:f>
        <x:v>OK</x:v>
      </x:c>
    </x:row>
    <x:row r="562">
      <x:c r="A562" t="str">
        <x:v>DV-2026-00561</x:v>
      </x:c>
      <x:c r="B562" s="16" t="n">
        <x:v>46072</x:v>
      </x:c>
      <x:c r="C562" t="str">
        <x:v>Client 10</x:v>
      </x:c>
      <x:c r="D562" t="str">
        <x:v>Douane</x:v>
      </x:c>
      <x:c r="E562" t="str">
        <x:v>Pôle A</x:v>
      </x:c>
      <x:c r="F562" s="18" t="n">
        <x:v>17653.91</x:v>
      </x:c>
      <x:c r="G562" s="18" t="n">
        <x:v>15275.56</x:v>
      </x:c>
      <x:c r="H562" t="str">
        <x:v>Client 10</x:v>
      </x:c>
      <x:c r="I562" s="16" t="n">
        <x:v>46121</x:v>
      </x:c>
      <x:c r="J562" t="n">
        <x:f>YEAR(B562)</x:f>
        <x:v>2026</x:v>
      </x:c>
      <x:c r="K562" s="20" t="n">
        <x:f>DATE(YEAR(B562),MONTH(B562),1)</x:f>
        <x:v>46054</x:v>
      </x:c>
      <x:c r="L562" s="18" t="n">
        <x:f>F562-G562</x:f>
        <x:v>2378.3500000000004</x:v>
      </x:c>
      <x:c r="M562" t="str">
        <x:f>IF(L562&lt;=0,"Payée",IF(G562=0,"Impayée","Partielle"))</x:f>
        <x:v>Partielle</x:v>
      </x:c>
      <x:c r="N562" t="n">
        <x:f>IF(I562="","",I562-B562)</x:f>
        <x:v>49</x:v>
      </x:c>
      <x:c r="O562" t="str">
        <x:f>IF(TRIM(C562)&lt;&gt;TRIM(H562),"Oui","Non")</x:f>
        <x:v>Non</x:v>
      </x:c>
      <x:c r="P562" t="str">
        <x:f>IFERROR(INDEX('02_REFERENTIEL_CLIENTS'!$B$2:$B$51,MATCH(TRIM(C562),'02_REFERENTIEL_CLIENTS'!$A$2:$A$51,0)),"Non trouvé")</x:f>
        <x:v>Grands comptes</x:v>
      </x:c>
      <x:c r="Q562" t="str">
        <x:f>IFERROR(INDEX('02_REFERENTIEL_CLIENTS'!$C$2:$C$51,MATCH(TRIM(C562),'02_REFERENTIEL_CLIENTS'!$A$2:$A$51,0)),"Non trouvé")</x:f>
        <x:v>France</x:v>
      </x:c>
      <x:c r="R562" t="str">
        <x:f>IF(OR(F562&lt;=0,G562&lt;0,G562&gt;F562,N562&lt;0,P562="Non trouvé"),"À vérifier","OK")</x:f>
        <x:v>OK</x:v>
      </x:c>
    </x:row>
    <x:row r="563">
      <x:c r="A563" t="str">
        <x:v>DV-2026-00562</x:v>
      </x:c>
      <x:c r="B563" s="16" t="n">
        <x:v>46148</x:v>
      </x:c>
      <x:c r="C563" t="str">
        <x:v>Client 12</x:v>
      </x:c>
      <x:c r="D563" t="str">
        <x:v>Express</x:v>
      </x:c>
      <x:c r="E563" t="str">
        <x:v>Pôle A</x:v>
      </x:c>
      <x:c r="F563" s="18" t="n">
        <x:v>23762.44</x:v>
      </x:c>
      <x:c r="G563" s="18" t="n">
        <x:v>23762.44</x:v>
      </x:c>
      <x:c r="H563" t="str">
        <x:v>Client 12</x:v>
      </x:c>
      <x:c r="I563" s="16" t="n">
        <x:v>46235</x:v>
      </x:c>
      <x:c r="J563" t="n">
        <x:f>YEAR(B563)</x:f>
        <x:v>2026</x:v>
      </x:c>
      <x:c r="K563" s="20" t="n">
        <x:f>DATE(YEAR(B563),MONTH(B563),1)</x:f>
        <x:v>46143</x:v>
      </x:c>
      <x:c r="L563" s="18" t="n">
        <x:f>F563-G563</x:f>
        <x:v>0</x:v>
      </x:c>
      <x:c r="M563" t="str">
        <x:f>IF(L563&lt;=0,"Payée",IF(G563=0,"Impayée","Partielle"))</x:f>
        <x:v>Payée</x:v>
      </x:c>
      <x:c r="N563" t="n">
        <x:f>IF(I563="","",I563-B563)</x:f>
        <x:v>87</x:v>
      </x:c>
      <x:c r="O563" t="str">
        <x:f>IF(TRIM(C563)&lt;&gt;TRIM(H563),"Oui","Non")</x:f>
        <x:v>Non</x:v>
      </x:c>
      <x:c r="P563" t="str">
        <x:f>IFERROR(INDEX('02_REFERENTIEL_CLIENTS'!$B$2:$B$51,MATCH(TRIM(C563),'02_REFERENTIEL_CLIENTS'!$A$2:$A$51,0)),"Non trouvé")</x:f>
        <x:v>Particuliers</x:v>
      </x:c>
      <x:c r="Q563" t="str">
        <x:f>IFERROR(INDEX('02_REFERENTIEL_CLIENTS'!$C$2:$C$51,MATCH(TRIM(C563),'02_REFERENTIEL_CLIENTS'!$A$2:$A$51,0)),"Non trouvé")</x:f>
        <x:v>International</x:v>
      </x:c>
      <x:c r="R563" t="str">
        <x:f>IF(OR(F563&lt;=0,G563&lt;0,G563&gt;F563,N563&lt;0,P563="Non trouvé"),"À vérifier","OK")</x:f>
        <x:v>OK</x:v>
      </x:c>
    </x:row>
    <x:row r="564">
      <x:c r="A564" t="str">
        <x:v>DV-2026-00563</x:v>
      </x:c>
      <x:c r="B564" s="16" t="n">
        <x:v>46219</x:v>
      </x:c>
      <x:c r="C564" t="str">
        <x:v>Client 32</x:v>
      </x:c>
      <x:c r="D564" t="str">
        <x:v>Fret aérien</x:v>
      </x:c>
      <x:c r="E564" t="str">
        <x:v>Pôle B</x:v>
      </x:c>
      <x:c r="F564" s="18" t="n">
        <x:v>10691.07</x:v>
      </x:c>
      <x:c r="G564" s="18" t="n">
        <x:v>10691.07</x:v>
      </x:c>
      <x:c r="H564" t="str">
        <x:v>Client 32</x:v>
      </x:c>
      <x:c r="I564" s="16" t="n">
        <x:v>46287</x:v>
      </x:c>
      <x:c r="J564" t="n">
        <x:f>YEAR(B564)</x:f>
        <x:v>2026</x:v>
      </x:c>
      <x:c r="K564" s="20" t="n">
        <x:f>DATE(YEAR(B564),MONTH(B564),1)</x:f>
        <x:v>46204</x:v>
      </x:c>
      <x:c r="L564" s="18" t="n">
        <x:f>F564-G564</x:f>
        <x:v>0</x:v>
      </x:c>
      <x:c r="M564" t="str">
        <x:f>IF(L564&lt;=0,"Payée",IF(G564=0,"Impayée","Partielle"))</x:f>
        <x:v>Payée</x:v>
      </x:c>
      <x:c r="N564" t="n">
        <x:f>IF(I564="","",I564-B564)</x:f>
        <x:v>68</x:v>
      </x:c>
      <x:c r="O564" t="str">
        <x:f>IF(TRIM(C564)&lt;&gt;TRIM(H564),"Oui","Non")</x:f>
        <x:v>Non</x:v>
      </x:c>
      <x:c r="P564" t="str">
        <x:f>IFERROR(INDEX('02_REFERENTIEL_CLIENTS'!$B$2:$B$51,MATCH(TRIM(C564),'02_REFERENTIEL_CLIENTS'!$A$2:$A$51,0)),"Non trouvé")</x:f>
        <x:v>PME</x:v>
      </x:c>
      <x:c r="Q564" t="str">
        <x:f>IFERROR(INDEX('02_REFERENTIEL_CLIENTS'!$C$2:$C$51,MATCH(TRIM(C564),'02_REFERENTIEL_CLIENTS'!$A$2:$A$51,0)),"Non trouvé")</x:f>
        <x:v>Europe</x:v>
      </x:c>
      <x:c r="R564" t="str">
        <x:f>IF(OR(F564&lt;=0,G564&lt;0,G564&gt;F564,N564&lt;0,P564="Non trouvé"),"À vérifier","OK")</x:f>
        <x:v>OK</x:v>
      </x:c>
    </x:row>
    <x:row r="565">
      <x:c r="A565" t="str">
        <x:v>DV-2026-00564</x:v>
      </x:c>
      <x:c r="B565" s="16" t="n">
        <x:v>46247</x:v>
      </x:c>
      <x:c r="C565" t="str">
        <x:v>Client 46</x:v>
      </x:c>
      <x:c r="D565" t="str">
        <x:v>Logistique</x:v>
      </x:c>
      <x:c r="E565" t="str">
        <x:v>Pôle B</x:v>
      </x:c>
      <x:c r="F565" s="18" t="n">
        <x:v>19534.62</x:v>
      </x:c>
      <x:c r="G565" s="18" t="n">
        <x:v>19534.62</x:v>
      </x:c>
      <x:c r="H565" t="str">
        <x:v>Client 46</x:v>
      </x:c>
      <x:c r="I565" s="16" t="n">
        <x:v>46303</x:v>
      </x:c>
      <x:c r="J565" t="n">
        <x:f>YEAR(B565)</x:f>
        <x:v>2026</x:v>
      </x:c>
      <x:c r="K565" s="20" t="n">
        <x:f>DATE(YEAR(B565),MONTH(B565),1)</x:f>
        <x:v>46235</x:v>
      </x:c>
      <x:c r="L565" s="18" t="n">
        <x:f>F565-G565</x:f>
        <x:v>0</x:v>
      </x:c>
      <x:c r="M565" t="str">
        <x:f>IF(L565&lt;=0,"Payée",IF(G565=0,"Impayée","Partielle"))</x:f>
        <x:v>Payée</x:v>
      </x:c>
      <x:c r="N565" t="n">
        <x:f>IF(I565="","",I565-B565)</x:f>
        <x:v>56</x:v>
      </x:c>
      <x:c r="O565" t="str">
        <x:f>IF(TRIM(C565)&lt;&gt;TRIM(H565),"Oui","Non")</x:f>
        <x:v>Non</x:v>
      </x:c>
      <x:c r="P565" t="str">
        <x:f>IFERROR(INDEX('02_REFERENTIEL_CLIENTS'!$B$2:$B$51,MATCH(TRIM(C565),'02_REFERENTIEL_CLIENTS'!$A$2:$A$51,0)),"Non trouvé")</x:f>
        <x:v>Grands comptes</x:v>
      </x:c>
      <x:c r="Q565" t="str">
        <x:f>IFERROR(INDEX('02_REFERENTIEL_CLIENTS'!$C$2:$C$51,MATCH(TRIM(C565),'02_REFERENTIEL_CLIENTS'!$A$2:$A$51,0)),"Non trouvé")</x:f>
        <x:v>France</x:v>
      </x:c>
      <x:c r="R565" t="str">
        <x:f>IF(OR(F565&lt;=0,G565&lt;0,G565&gt;F565,N565&lt;0,P565="Non trouvé"),"À vérifier","OK")</x:f>
        <x:v>OK</x:v>
      </x:c>
    </x:row>
    <x:row r="566">
      <x:c r="A566" t="str">
        <x:v>DV-2026-00565</x:v>
      </x:c>
      <x:c r="B566" s="16" t="n">
        <x:v>46213</x:v>
      </x:c>
      <x:c r="C566" t="str">
        <x:v>Client 26</x:v>
      </x:c>
      <x:c r="D566" t="str">
        <x:v>Fret maritime</x:v>
      </x:c>
      <x:c r="E566" t="str">
        <x:v>Pôle C</x:v>
      </x:c>
      <x:c r="F566" s="18" t="n">
        <x:v>3322.62</x:v>
      </x:c>
      <x:c r="G566" s="18" t="n">
        <x:v>2729.36</x:v>
      </x:c>
      <x:c r="H566" t="str">
        <x:v>Client 21</x:v>
      </x:c>
      <x:c r="I566" s="16" t="n">
        <x:v>46237</x:v>
      </x:c>
      <x:c r="J566" t="n">
        <x:f>YEAR(B566)</x:f>
        <x:v>2026</x:v>
      </x:c>
      <x:c r="K566" s="20" t="n">
        <x:f>DATE(YEAR(B566),MONTH(B566),1)</x:f>
        <x:v>46204</x:v>
      </x:c>
      <x:c r="L566" s="18" t="n">
        <x:f>F566-G566</x:f>
        <x:v>593.2599999999998</x:v>
      </x:c>
      <x:c r="M566" t="str">
        <x:f>IF(L566&lt;=0,"Payée",IF(G566=0,"Impayée","Partielle"))</x:f>
        <x:v>Partielle</x:v>
      </x:c>
      <x:c r="N566" t="n">
        <x:f>IF(I566="","",I566-B566)</x:f>
        <x:v>24</x:v>
      </x:c>
      <x:c r="O566" t="str">
        <x:f>IF(TRIM(C566)&lt;&gt;TRIM(H566),"Oui","Non")</x:f>
        <x:v>Oui</x:v>
      </x:c>
      <x:c r="P566" t="str">
        <x:f>IFERROR(INDEX('02_REFERENTIEL_CLIENTS'!$B$2:$B$51,MATCH(TRIM(C566),'02_REFERENTIEL_CLIENTS'!$A$2:$A$51,0)),"Non trouvé")</x:f>
        <x:v>PME</x:v>
      </x:c>
      <x:c r="Q566" t="str">
        <x:f>IFERROR(INDEX('02_REFERENTIEL_CLIENTS'!$C$2:$C$51,MATCH(TRIM(C566),'02_REFERENTIEL_CLIENTS'!$A$2:$A$51,0)),"Non trouvé")</x:f>
        <x:v>Europe</x:v>
      </x:c>
      <x:c r="R566" t="str">
        <x:f>IF(OR(F566&lt;=0,G566&lt;0,G566&gt;F566,N566&lt;0,P566="Non trouvé"),"À vérifier","OK")</x:f>
        <x:v>OK</x:v>
      </x:c>
    </x:row>
    <x:row r="567">
      <x:c r="A567" t="str">
        <x:v>DV-2024-00566</x:v>
      </x:c>
      <x:c r="B567" s="16" t="n">
        <x:v>45408</x:v>
      </x:c>
      <x:c r="C567" t="str">
        <x:v>Client 37</x:v>
      </x:c>
      <x:c r="D567" t="str">
        <x:v>Logistique</x:v>
      </x:c>
      <x:c r="E567" t="str">
        <x:v>Pôle A</x:v>
      </x:c>
      <x:c r="F567" s="18" t="n">
        <x:v>9475.54</x:v>
      </x:c>
      <x:c r="G567" s="18" t="n">
        <x:v>9475.54</x:v>
      </x:c>
      <x:c r="H567" t="str">
        <x:v>Client 37</x:v>
      </x:c>
      <x:c r="I567" s="16" t="n">
        <x:v>45428</x:v>
      </x:c>
      <x:c r="J567" t="n">
        <x:f>YEAR(B567)</x:f>
        <x:v>2024</x:v>
      </x:c>
      <x:c r="K567" s="20" t="n">
        <x:f>DATE(YEAR(B567),MONTH(B567),1)</x:f>
        <x:v>45383</x:v>
      </x:c>
      <x:c r="L567" s="18" t="n">
        <x:f>F567-G567</x:f>
        <x:v>0</x:v>
      </x:c>
      <x:c r="M567" t="str">
        <x:f>IF(L567&lt;=0,"Payée",IF(G567=0,"Impayée","Partielle"))</x:f>
        <x:v>Payée</x:v>
      </x:c>
      <x:c r="N567" t="n">
        <x:f>IF(I567="","",I567-B567)</x:f>
        <x:v>20</x:v>
      </x:c>
      <x:c r="O567" t="str">
        <x:f>IF(TRIM(C567)&lt;&gt;TRIM(H567),"Oui","Non")</x:f>
        <x:v>Non</x:v>
      </x:c>
      <x:c r="P567" t="str">
        <x:f>IFERROR(INDEX('02_REFERENTIEL_CLIENTS'!$B$2:$B$51,MATCH(TRIM(C567),'02_REFERENTIEL_CLIENTS'!$A$2:$A$51,0)),"Non trouvé")</x:f>
        <x:v>Grands comptes</x:v>
      </x:c>
      <x:c r="Q567" t="str">
        <x:f>IFERROR(INDEX('02_REFERENTIEL_CLIENTS'!$C$2:$C$51,MATCH(TRIM(C567),'02_REFERENTIEL_CLIENTS'!$A$2:$A$51,0)),"Non trouvé")</x:f>
        <x:v>France</x:v>
      </x:c>
      <x:c r="R567" t="str">
        <x:f>IF(OR(F567&lt;=0,G567&lt;0,G567&gt;F567,N567&lt;0,P567="Non trouvé"),"À vérifier","OK")</x:f>
        <x:v>OK</x:v>
      </x:c>
    </x:row>
    <x:row r="568">
      <x:c r="A568" t="str">
        <x:v>DV-2025-00567</x:v>
      </x:c>
      <x:c r="B568" s="16" t="n">
        <x:v>45864</x:v>
      </x:c>
      <x:c r="C568" t="str">
        <x:v>Client 04</x:v>
      </x:c>
      <x:c r="D568" t="str">
        <x:v>Express</x:v>
      </x:c>
      <x:c r="E568" t="str">
        <x:v>Pôle D</x:v>
      </x:c>
      <x:c r="F568" s="18" t="n">
        <x:v>4673.67</x:v>
      </x:c>
      <x:c r="G568" s="18" t="n">
        <x:v>4673.67</x:v>
      </x:c>
      <x:c r="H568" t="str">
        <x:v>Client 04</x:v>
      </x:c>
      <x:c r="I568" s="16" t="n">
        <x:v>45940</x:v>
      </x:c>
      <x:c r="J568" t="n">
        <x:f>YEAR(B568)</x:f>
        <x:v>2025</x:v>
      </x:c>
      <x:c r="K568" s="20" t="n">
        <x:f>DATE(YEAR(B568),MONTH(B568),1)</x:f>
        <x:v>45839</x:v>
      </x:c>
      <x:c r="L568" s="18" t="n">
        <x:f>F568-G568</x:f>
        <x:v>0</x:v>
      </x:c>
      <x:c r="M568" t="str">
        <x:f>IF(L568&lt;=0,"Payée",IF(G568=0,"Impayée","Partielle"))</x:f>
        <x:v>Payée</x:v>
      </x:c>
      <x:c r="N568" t="n">
        <x:f>IF(I568="","",I568-B568)</x:f>
        <x:v>76</x:v>
      </x:c>
      <x:c r="O568" t="str">
        <x:f>IF(TRIM(C568)&lt;&gt;TRIM(H568),"Oui","Non")</x:f>
        <x:v>Non</x:v>
      </x:c>
      <x:c r="P568" t="str">
        <x:f>IFERROR(INDEX('02_REFERENTIEL_CLIENTS'!$B$2:$B$51,MATCH(TRIM(C568),'02_REFERENTIEL_CLIENTS'!$A$2:$A$51,0)),"Non trouvé")</x:f>
        <x:v>Grands comptes</x:v>
      </x:c>
      <x:c r="Q568" t="str">
        <x:f>IFERROR(INDEX('02_REFERENTIEL_CLIENTS'!$C$2:$C$51,MATCH(TRIM(C568),'02_REFERENTIEL_CLIENTS'!$A$2:$A$51,0)),"Non trouvé")</x:f>
        <x:v>France</x:v>
      </x:c>
      <x:c r="R568" t="str">
        <x:f>IF(OR(F568&lt;=0,G568&lt;0,G568&gt;F568,N568&lt;0,P568="Non trouvé"),"À vérifier","OK")</x:f>
        <x:v>OK</x:v>
      </x:c>
    </x:row>
    <x:row r="569">
      <x:c r="A569" t="str">
        <x:v>DV-2024-00568</x:v>
      </x:c>
      <x:c r="B569" s="16" t="n">
        <x:v>45439</x:v>
      </x:c>
      <x:c r="C569" t="str">
        <x:v>Client 28</x:v>
      </x:c>
      <x:c r="D569" t="str">
        <x:v>Fret maritime</x:v>
      </x:c>
      <x:c r="E569" t="str">
        <x:v>Pôle B</x:v>
      </x:c>
      <x:c r="F569" s="18" t="n">
        <x:v>2852.9</x:v>
      </x:c>
      <x:c r="G569" s="18" t="n">
        <x:v>2852.9</x:v>
      </x:c>
      <x:c r="H569" t="str">
        <x:v>Client 28</x:v>
      </x:c>
      <x:c r="I569" s="16" t="n">
        <x:v>45494</x:v>
      </x:c>
      <x:c r="J569" t="n">
        <x:f>YEAR(B569)</x:f>
        <x:v>2024</x:v>
      </x:c>
      <x:c r="K569" s="20" t="n">
        <x:f>DATE(YEAR(B569),MONTH(B569),1)</x:f>
        <x:v>45413</x:v>
      </x:c>
      <x:c r="L569" s="18" t="n">
        <x:f>F569-G569</x:f>
        <x:v>0</x:v>
      </x:c>
      <x:c r="M569" t="str">
        <x:f>IF(L569&lt;=0,"Payée",IF(G569=0,"Impayée","Partielle"))</x:f>
        <x:v>Payée</x:v>
      </x:c>
      <x:c r="N569" t="n">
        <x:f>IF(I569="","",I569-B569)</x:f>
        <x:v>55</x:v>
      </x:c>
      <x:c r="O569" t="str">
        <x:f>IF(TRIM(C569)&lt;&gt;TRIM(H569),"Oui","Non")</x:f>
        <x:v>Non</x:v>
      </x:c>
      <x:c r="P569" t="str">
        <x:f>IFERROR(INDEX('02_REFERENTIEL_CLIENTS'!$B$2:$B$51,MATCH(TRIM(C569),'02_REFERENTIEL_CLIENTS'!$A$2:$A$51,0)),"Non trouvé")</x:f>
        <x:v>Grands comptes</x:v>
      </x:c>
      <x:c r="Q569" t="str">
        <x:f>IFERROR(INDEX('02_REFERENTIEL_CLIENTS'!$C$2:$C$51,MATCH(TRIM(C569),'02_REFERENTIEL_CLIENTS'!$A$2:$A$51,0)),"Non trouvé")</x:f>
        <x:v>France</x:v>
      </x:c>
      <x:c r="R569" t="str">
        <x:f>IF(OR(F569&lt;=0,G569&lt;0,G569&gt;F569,N569&lt;0,P569="Non trouvé"),"À vérifier","OK")</x:f>
        <x:v>OK</x:v>
      </x:c>
    </x:row>
    <x:row r="570">
      <x:c r="A570" t="str">
        <x:v>DV-2026-00569</x:v>
      </x:c>
      <x:c r="B570" s="16" t="n">
        <x:v>46129</x:v>
      </x:c>
      <x:c r="C570" t="str">
        <x:v>Client 41</x:v>
      </x:c>
      <x:c r="D570" t="str">
        <x:v>Logistique</x:v>
      </x:c>
      <x:c r="E570" t="str">
        <x:v>Pôle B</x:v>
      </x:c>
      <x:c r="F570" s="18" t="n">
        <x:v>12736.48</x:v>
      </x:c>
      <x:c r="G570" s="18" t="n">
        <x:v>12736.48</x:v>
      </x:c>
      <x:c r="H570" t="str">
        <x:v>Client 41</x:v>
      </x:c>
      <x:c r="I570" s="16" t="n">
        <x:v>46217</x:v>
      </x:c>
      <x:c r="J570" t="n">
        <x:f>YEAR(B570)</x:f>
        <x:v>2026</x:v>
      </x:c>
      <x:c r="K570" s="20" t="n">
        <x:f>DATE(YEAR(B570),MONTH(B570),1)</x:f>
        <x:v>46113</x:v>
      </x:c>
      <x:c r="L570" s="18" t="n">
        <x:f>F570-G570</x:f>
        <x:v>0</x:v>
      </x:c>
      <x:c r="M570" t="str">
        <x:f>IF(L570&lt;=0,"Payée",IF(G570=0,"Impayée","Partielle"))</x:f>
        <x:v>Payée</x:v>
      </x:c>
      <x:c r="N570" t="n">
        <x:f>IF(I570="","",I570-B570)</x:f>
        <x:v>88</x:v>
      </x:c>
      <x:c r="O570" t="str">
        <x:f>IF(TRIM(C570)&lt;&gt;TRIM(H570),"Oui","Non")</x:f>
        <x:v>Non</x:v>
      </x:c>
      <x:c r="P570" t="str">
        <x:f>IFERROR(INDEX('02_REFERENTIEL_CLIENTS'!$B$2:$B$51,MATCH(TRIM(C570),'02_REFERENTIEL_CLIENTS'!$A$2:$A$51,0)),"Non trouvé")</x:f>
        <x:v>PME</x:v>
      </x:c>
      <x:c r="Q570" t="str">
        <x:f>IFERROR(INDEX('02_REFERENTIEL_CLIENTS'!$C$2:$C$51,MATCH(TRIM(C570),'02_REFERENTIEL_CLIENTS'!$A$2:$A$51,0)),"Non trouvé")</x:f>
        <x:v>Europe</x:v>
      </x:c>
      <x:c r="R570" t="str">
        <x:f>IF(OR(F570&lt;=0,G570&lt;0,G570&gt;F570,N570&lt;0,P570="Non trouvé"),"À vérifier","OK")</x:f>
        <x:v>OK</x:v>
      </x:c>
    </x:row>
    <x:row r="571">
      <x:c r="A571" t="str">
        <x:v>DV-2026-00570</x:v>
      </x:c>
      <x:c r="B571" s="16" t="n">
        <x:v>46167</x:v>
      </x:c>
      <x:c r="C571" t="str">
        <x:v>Client 44</x:v>
      </x:c>
      <x:c r="D571" t="str">
        <x:v>Logistique</x:v>
      </x:c>
      <x:c r="E571" t="str">
        <x:v>Pôle B</x:v>
      </x:c>
      <x:c r="F571" s="18" t="n">
        <x:v>9002.43</x:v>
      </x:c>
      <x:c r="G571" s="18" t="n">
        <x:v>7479.32</x:v>
      </x:c>
      <x:c r="H571" t="str">
        <x:v>Client 44</x:v>
      </x:c>
      <x:c r="I571" s="16" t="n">
        <x:v>46194</x:v>
      </x:c>
      <x:c r="J571" t="n">
        <x:f>YEAR(B571)</x:f>
        <x:v>2026</x:v>
      </x:c>
      <x:c r="K571" s="20" t="n">
        <x:f>DATE(YEAR(B571),MONTH(B571),1)</x:f>
        <x:v>46143</x:v>
      </x:c>
      <x:c r="L571" s="18" t="n">
        <x:f>F571-G571</x:f>
        <x:v>1523.1100000000006</x:v>
      </x:c>
      <x:c r="M571" t="str">
        <x:f>IF(L571&lt;=0,"Payée",IF(G571=0,"Impayée","Partielle"))</x:f>
        <x:v>Partielle</x:v>
      </x:c>
      <x:c r="N571" t="n">
        <x:f>IF(I571="","",I571-B571)</x:f>
        <x:v>27</x:v>
      </x:c>
      <x:c r="O571" t="str">
        <x:f>IF(TRIM(C571)&lt;&gt;TRIM(H571),"Oui","Non")</x:f>
        <x:v>Non</x:v>
      </x:c>
      <x:c r="P571" t="str">
        <x:f>IFERROR(INDEX('02_REFERENTIEL_CLIENTS'!$B$2:$B$51,MATCH(TRIM(C571),'02_REFERENTIEL_CLIENTS'!$A$2:$A$51,0)),"Non trouvé")</x:f>
        <x:v>PME</x:v>
      </x:c>
      <x:c r="Q571" t="str">
        <x:f>IFERROR(INDEX('02_REFERENTIEL_CLIENTS'!$C$2:$C$51,MATCH(TRIM(C571),'02_REFERENTIEL_CLIENTS'!$A$2:$A$51,0)),"Non trouvé")</x:f>
        <x:v>Europe</x:v>
      </x:c>
      <x:c r="R571" t="str">
        <x:f>IF(OR(F571&lt;=0,G571&lt;0,G571&gt;F571,N571&lt;0,P571="Non trouvé"),"À vérifier","OK")</x:f>
        <x:v>OK</x:v>
      </x:c>
    </x:row>
    <x:row r="572">
      <x:c r="A572" t="str">
        <x:v>DV-2025-00571</x:v>
      </x:c>
      <x:c r="B572" s="16" t="n">
        <x:v>45684</x:v>
      </x:c>
      <x:c r="C572" t="str">
        <x:v>Client 23</x:v>
      </x:c>
      <x:c r="D572" t="str">
        <x:v>Express</x:v>
      </x:c>
      <x:c r="E572" t="str">
        <x:v>Pôle E</x:v>
      </x:c>
      <x:c r="F572" s="18" t="n">
        <x:v>24599.63</x:v>
      </x:c>
      <x:c r="G572" s="18" t="n">
        <x:v>0</x:v>
      </x:c>
      <x:c r="H572" t="str">
        <x:v>Client 23</x:v>
      </x:c>
      <x:c r="I572" s="16"/>
      <x:c r="J572" t="n">
        <x:f>YEAR(B572)</x:f>
        <x:v>2025</x:v>
      </x:c>
      <x:c r="K572" s="20" t="n">
        <x:f>DATE(YEAR(B572),MONTH(B572),1)</x:f>
        <x:v>45658</x:v>
      </x:c>
      <x:c r="L572" s="18" t="n">
        <x:f>F572-G572</x:f>
        <x:v>24599.63</x:v>
      </x:c>
      <x:c r="M572" t="str">
        <x:f>IF(L572&lt;=0,"Payée",IF(G572=0,"Impayée","Partielle"))</x:f>
        <x:v>Impayée</x:v>
      </x:c>
      <x:c r="N572" t="str">
        <x:f>IF(I572="","",I572-B572)</x:f>
      </x:c>
      <x:c r="O572" t="str">
        <x:f>IF(TRIM(C572)&lt;&gt;TRIM(H572),"Oui","Non")</x:f>
        <x:v>Non</x:v>
      </x:c>
      <x:c r="P572" t="str">
        <x:f>IFERROR(INDEX('02_REFERENTIEL_CLIENTS'!$B$2:$B$51,MATCH(TRIM(C572),'02_REFERENTIEL_CLIENTS'!$A$2:$A$51,0)),"Non trouvé")</x:f>
        <x:v>PME</x:v>
      </x:c>
      <x:c r="Q572" t="str">
        <x:f>IFERROR(INDEX('02_REFERENTIEL_CLIENTS'!$C$2:$C$51,MATCH(TRIM(C572),'02_REFERENTIEL_CLIENTS'!$A$2:$A$51,0)),"Non trouvé")</x:f>
        <x:v>Europe</x:v>
      </x:c>
      <x:c r="R572" t="str">
        <x:f>IF(OR(F572&lt;=0,G572&lt;0,G572&gt;F572,N572&lt;0,P572="Non trouvé"),"À vérifier","OK")</x:f>
        <x:v>OK</x:v>
      </x:c>
    </x:row>
    <x:row r="573">
      <x:c r="A573" t="str">
        <x:v>DV-2025-00572</x:v>
      </x:c>
      <x:c r="B573" s="16" t="n">
        <x:v>45795</x:v>
      </x:c>
      <x:c r="C573" t="str">
        <x:v>Client 28</x:v>
      </x:c>
      <x:c r="D573" t="str">
        <x:v>Express</x:v>
      </x:c>
      <x:c r="E573" t="str">
        <x:v>Pôle D</x:v>
      </x:c>
      <x:c r="F573" s="18" t="n">
        <x:v>23497.99</x:v>
      </x:c>
      <x:c r="G573" s="18" t="n">
        <x:v>23497.99</x:v>
      </x:c>
      <x:c r="H573" t="str">
        <x:v>Client 28</x:v>
      </x:c>
      <x:c r="I573" s="16" t="n">
        <x:v>45796</x:v>
      </x:c>
      <x:c r="J573" t="n">
        <x:f>YEAR(B573)</x:f>
        <x:v>2025</x:v>
      </x:c>
      <x:c r="K573" s="20" t="n">
        <x:f>DATE(YEAR(B573),MONTH(B573),1)</x:f>
        <x:v>45778</x:v>
      </x:c>
      <x:c r="L573" s="18" t="n">
        <x:f>F573-G573</x:f>
        <x:v>0</x:v>
      </x:c>
      <x:c r="M573" t="str">
        <x:f>IF(L573&lt;=0,"Payée",IF(G573=0,"Impayée","Partielle"))</x:f>
        <x:v>Payée</x:v>
      </x:c>
      <x:c r="N573" t="n">
        <x:f>IF(I573="","",I573-B573)</x:f>
        <x:v>1</x:v>
      </x:c>
      <x:c r="O573" t="str">
        <x:f>IF(TRIM(C573)&lt;&gt;TRIM(H573),"Oui","Non")</x:f>
        <x:v>Non</x:v>
      </x:c>
      <x:c r="P573" t="str">
        <x:f>IFERROR(INDEX('02_REFERENTIEL_CLIENTS'!$B$2:$B$51,MATCH(TRIM(C573),'02_REFERENTIEL_CLIENTS'!$A$2:$A$51,0)),"Non trouvé")</x:f>
        <x:v>Grands comptes</x:v>
      </x:c>
      <x:c r="Q573" t="str">
        <x:f>IFERROR(INDEX('02_REFERENTIEL_CLIENTS'!$C$2:$C$51,MATCH(TRIM(C573),'02_REFERENTIEL_CLIENTS'!$A$2:$A$51,0)),"Non trouvé")</x:f>
        <x:v>France</x:v>
      </x:c>
      <x:c r="R573" t="str">
        <x:f>IF(OR(F573&lt;=0,G573&lt;0,G573&gt;F573,N573&lt;0,P573="Non trouvé"),"À vérifier","OK")</x:f>
        <x:v>OK</x:v>
      </x:c>
    </x:row>
    <x:row r="574">
      <x:c r="A574" t="str">
        <x:v>DV-2026-00573</x:v>
      </x:c>
      <x:c r="B574" s="16" t="n">
        <x:v>46029</x:v>
      </x:c>
      <x:c r="C574" t="str">
        <x:v>Client 46</x:v>
      </x:c>
      <x:c r="D574" t="str">
        <x:v>Express</x:v>
      </x:c>
      <x:c r="E574" t="str">
        <x:v>Pôle A</x:v>
      </x:c>
      <x:c r="F574" s="18" t="n">
        <x:v>23771.23</x:v>
      </x:c>
      <x:c r="G574" s="18" t="n">
        <x:v>23771.23</x:v>
      </x:c>
      <x:c r="H574" t="str">
        <x:v>Client 46</x:v>
      </x:c>
      <x:c r="I574" s="16" t="n">
        <x:v>46054</x:v>
      </x:c>
      <x:c r="J574" t="n">
        <x:f>YEAR(B574)</x:f>
        <x:v>2026</x:v>
      </x:c>
      <x:c r="K574" s="20" t="n">
        <x:f>DATE(YEAR(B574),MONTH(B574),1)</x:f>
        <x:v>46023</x:v>
      </x:c>
      <x:c r="L574" s="18" t="n">
        <x:f>F574-G574</x:f>
        <x:v>0</x:v>
      </x:c>
      <x:c r="M574" t="str">
        <x:f>IF(L574&lt;=0,"Payée",IF(G574=0,"Impayée","Partielle"))</x:f>
        <x:v>Payée</x:v>
      </x:c>
      <x:c r="N574" t="n">
        <x:f>IF(I574="","",I574-B574)</x:f>
        <x:v>25</x:v>
      </x:c>
      <x:c r="O574" t="str">
        <x:f>IF(TRIM(C574)&lt;&gt;TRIM(H574),"Oui","Non")</x:f>
        <x:v>Non</x:v>
      </x:c>
      <x:c r="P574" t="str">
        <x:f>IFERROR(INDEX('02_REFERENTIEL_CLIENTS'!$B$2:$B$51,MATCH(TRIM(C574),'02_REFERENTIEL_CLIENTS'!$A$2:$A$51,0)),"Non trouvé")</x:f>
        <x:v>Grands comptes</x:v>
      </x:c>
      <x:c r="Q574" t="str">
        <x:f>IFERROR(INDEX('02_REFERENTIEL_CLIENTS'!$C$2:$C$51,MATCH(TRIM(C574),'02_REFERENTIEL_CLIENTS'!$A$2:$A$51,0)),"Non trouvé")</x:f>
        <x:v>France</x:v>
      </x:c>
      <x:c r="R574" t="str">
        <x:f>IF(OR(F574&lt;=0,G574&lt;0,G574&gt;F574,N574&lt;0,P574="Non trouvé"),"À vérifier","OK")</x:f>
        <x:v>OK</x:v>
      </x:c>
    </x:row>
    <x:row r="575">
      <x:c r="A575" t="str">
        <x:v>DV-2024-00574</x:v>
      </x:c>
      <x:c r="B575" s="16" t="n">
        <x:v>45355</x:v>
      </x:c>
      <x:c r="C575" t="str">
        <x:v>Client 10</x:v>
      </x:c>
      <x:c r="D575" t="str">
        <x:v>Fret maritime</x:v>
      </x:c>
      <x:c r="E575" t="str">
        <x:v>Pôle A</x:v>
      </x:c>
      <x:c r="F575" s="18" t="n">
        <x:v>5990.81</x:v>
      </x:c>
      <x:c r="G575" s="18" t="n">
        <x:v>5990.81</x:v>
      </x:c>
      <x:c r="H575" t="str">
        <x:v>Client 40</x:v>
      </x:c>
      <x:c r="I575" s="16" t="n">
        <x:v>45408</x:v>
      </x:c>
      <x:c r="J575" t="n">
        <x:f>YEAR(B575)</x:f>
        <x:v>2024</x:v>
      </x:c>
      <x:c r="K575" s="20" t="n">
        <x:f>DATE(YEAR(B575),MONTH(B575),1)</x:f>
        <x:v>45352</x:v>
      </x:c>
      <x:c r="L575" s="18" t="n">
        <x:f>F575-G575</x:f>
        <x:v>0</x:v>
      </x:c>
      <x:c r="M575" t="str">
        <x:f>IF(L575&lt;=0,"Payée",IF(G575=0,"Impayée","Partielle"))</x:f>
        <x:v>Payée</x:v>
      </x:c>
      <x:c r="N575" t="n">
        <x:f>IF(I575="","",I575-B575)</x:f>
        <x:v>53</x:v>
      </x:c>
      <x:c r="O575" t="str">
        <x:f>IF(TRIM(C575)&lt;&gt;TRIM(H575),"Oui","Non")</x:f>
        <x:v>Oui</x:v>
      </x:c>
      <x:c r="P575" t="str">
        <x:f>IFERROR(INDEX('02_REFERENTIEL_CLIENTS'!$B$2:$B$51,MATCH(TRIM(C575),'02_REFERENTIEL_CLIENTS'!$A$2:$A$51,0)),"Non trouvé")</x:f>
        <x:v>Grands comptes</x:v>
      </x:c>
      <x:c r="Q575" t="str">
        <x:f>IFERROR(INDEX('02_REFERENTIEL_CLIENTS'!$C$2:$C$51,MATCH(TRIM(C575),'02_REFERENTIEL_CLIENTS'!$A$2:$A$51,0)),"Non trouvé")</x:f>
        <x:v>France</x:v>
      </x:c>
      <x:c r="R575" t="str">
        <x:f>IF(OR(F575&lt;=0,G575&lt;0,G575&gt;F575,N575&lt;0,P575="Non trouvé"),"À vérifier","OK")</x:f>
        <x:v>OK</x:v>
      </x:c>
    </x:row>
    <x:row r="576">
      <x:c r="A576" t="str">
        <x:v>DV-2024-00575</x:v>
      </x:c>
      <x:c r="B576" s="16" t="n">
        <x:v>45398</x:v>
      </x:c>
      <x:c r="C576" t="str">
        <x:v>Client 28</x:v>
      </x:c>
      <x:c r="D576" t="str">
        <x:v>Logistique</x:v>
      </x:c>
      <x:c r="E576" t="str">
        <x:v>Pôle A</x:v>
      </x:c>
      <x:c r="F576" s="18" t="n">
        <x:v>6871.83</x:v>
      </x:c>
      <x:c r="G576" s="18" t="n">
        <x:v>6871.83</x:v>
      </x:c>
      <x:c r="H576" t="str">
        <x:v>Client 28</x:v>
      </x:c>
      <x:c r="I576" s="16" t="n">
        <x:v>45469</x:v>
      </x:c>
      <x:c r="J576" t="n">
        <x:f>YEAR(B576)</x:f>
        <x:v>2024</x:v>
      </x:c>
      <x:c r="K576" s="20" t="n">
        <x:f>DATE(YEAR(B576),MONTH(B576),1)</x:f>
        <x:v>45383</x:v>
      </x:c>
      <x:c r="L576" s="18" t="n">
        <x:f>F576-G576</x:f>
        <x:v>0</x:v>
      </x:c>
      <x:c r="M576" t="str">
        <x:f>IF(L576&lt;=0,"Payée",IF(G576=0,"Impayée","Partielle"))</x:f>
        <x:v>Payée</x:v>
      </x:c>
      <x:c r="N576" t="n">
        <x:f>IF(I576="","",I576-B576)</x:f>
        <x:v>71</x:v>
      </x:c>
      <x:c r="O576" t="str">
        <x:f>IF(TRIM(C576)&lt;&gt;TRIM(H576),"Oui","Non")</x:f>
        <x:v>Non</x:v>
      </x:c>
      <x:c r="P576" t="str">
        <x:f>IFERROR(INDEX('02_REFERENTIEL_CLIENTS'!$B$2:$B$51,MATCH(TRIM(C576),'02_REFERENTIEL_CLIENTS'!$A$2:$A$51,0)),"Non trouvé")</x:f>
        <x:v>Grands comptes</x:v>
      </x:c>
      <x:c r="Q576" t="str">
        <x:f>IFERROR(INDEX('02_REFERENTIEL_CLIENTS'!$C$2:$C$51,MATCH(TRIM(C576),'02_REFERENTIEL_CLIENTS'!$A$2:$A$51,0)),"Non trouvé")</x:f>
        <x:v>France</x:v>
      </x:c>
      <x:c r="R576" t="str">
        <x:f>IF(OR(F576&lt;=0,G576&lt;0,G576&gt;F576,N576&lt;0,P576="Non trouvé"),"À vérifier","OK")</x:f>
        <x:v>OK</x:v>
      </x:c>
    </x:row>
    <x:row r="577">
      <x:c r="A577" t="str">
        <x:v>DV-2024-00576</x:v>
      </x:c>
      <x:c r="B577" s="16" t="n">
        <x:v>45404</x:v>
      </x:c>
      <x:c r="C577" t="str">
        <x:v>Client 44</x:v>
      </x:c>
      <x:c r="D577" t="str">
        <x:v>Douane</x:v>
      </x:c>
      <x:c r="E577" t="str">
        <x:v>Pôle B</x:v>
      </x:c>
      <x:c r="F577" s="18" t="n">
        <x:v>13355.29</x:v>
      </x:c>
      <x:c r="G577" s="18" t="n">
        <x:v>0</x:v>
      </x:c>
      <x:c r="H577" t="str">
        <x:v>Client 44</x:v>
      </x:c>
      <x:c r="I577" s="16"/>
      <x:c r="J577" t="n">
        <x:f>YEAR(B577)</x:f>
        <x:v>2024</x:v>
      </x:c>
      <x:c r="K577" s="20" t="n">
        <x:f>DATE(YEAR(B577),MONTH(B577),1)</x:f>
        <x:v>45383</x:v>
      </x:c>
      <x:c r="L577" s="18" t="n">
        <x:f>F577-G577</x:f>
        <x:v>13355.29</x:v>
      </x:c>
      <x:c r="M577" t="str">
        <x:f>IF(L577&lt;=0,"Payée",IF(G577=0,"Impayée","Partielle"))</x:f>
        <x:v>Impayée</x:v>
      </x:c>
      <x:c r="N577" t="str">
        <x:f>IF(I577="","",I577-B577)</x:f>
      </x:c>
      <x:c r="O577" t="str">
        <x:f>IF(TRIM(C577)&lt;&gt;TRIM(H577),"Oui","Non")</x:f>
        <x:v>Non</x:v>
      </x:c>
      <x:c r="P577" t="str">
        <x:f>IFERROR(INDEX('02_REFERENTIEL_CLIENTS'!$B$2:$B$51,MATCH(TRIM(C577),'02_REFERENTIEL_CLIENTS'!$A$2:$A$51,0)),"Non trouvé")</x:f>
        <x:v>PME</x:v>
      </x:c>
      <x:c r="Q577" t="str">
        <x:f>IFERROR(INDEX('02_REFERENTIEL_CLIENTS'!$C$2:$C$51,MATCH(TRIM(C577),'02_REFERENTIEL_CLIENTS'!$A$2:$A$51,0)),"Non trouvé")</x:f>
        <x:v>Europe</x:v>
      </x:c>
      <x:c r="R577" t="str">
        <x:f>IF(OR(F577&lt;=0,G577&lt;0,G577&gt;F577,N577&lt;0,P577="Non trouvé"),"À vérifier","OK")</x:f>
        <x:v>OK</x:v>
      </x:c>
    </x:row>
    <x:row r="578">
      <x:c r="A578" t="str">
        <x:v>DV-2024-00577</x:v>
      </x:c>
      <x:c r="B578" s="16" t="n">
        <x:v>45494</x:v>
      </x:c>
      <x:c r="C578" t="str">
        <x:v>Client 49</x:v>
      </x:c>
      <x:c r="D578" t="str">
        <x:v>Express</x:v>
      </x:c>
      <x:c r="E578" t="str">
        <x:v>Pôle D</x:v>
      </x:c>
      <x:c r="F578" s="18" t="n">
        <x:v>24122.55</x:v>
      </x:c>
      <x:c r="G578" s="18" t="n">
        <x:v>24122.55</x:v>
      </x:c>
      <x:c r="H578" t="str">
        <x:v>Client 42</x:v>
      </x:c>
      <x:c r="I578" s="16" t="n">
        <x:v>45534</x:v>
      </x:c>
      <x:c r="J578" t="n">
        <x:f>YEAR(B578)</x:f>
        <x:v>2024</x:v>
      </x:c>
      <x:c r="K578" s="20" t="n">
        <x:f>DATE(YEAR(B578),MONTH(B578),1)</x:f>
        <x:v>45474</x:v>
      </x:c>
      <x:c r="L578" s="18" t="n">
        <x:f>F578-G578</x:f>
        <x:v>0</x:v>
      </x:c>
      <x:c r="M578" t="str">
        <x:f>IF(L578&lt;=0,"Payée",IF(G578=0,"Impayée","Partielle"))</x:f>
        <x:v>Payée</x:v>
      </x:c>
      <x:c r="N578" t="n">
        <x:f>IF(I578="","",I578-B578)</x:f>
        <x:v>40</x:v>
      </x:c>
      <x:c r="O578" t="str">
        <x:f>IF(TRIM(C578)&lt;&gt;TRIM(H578),"Oui","Non")</x:f>
        <x:v>Oui</x:v>
      </x:c>
      <x:c r="P578" t="str">
        <x:f>IFERROR(INDEX('02_REFERENTIEL_CLIENTS'!$B$2:$B$51,MATCH(TRIM(C578),'02_REFERENTIEL_CLIENTS'!$A$2:$A$51,0)),"Non trouvé")</x:f>
        <x:v>Grands comptes</x:v>
      </x:c>
      <x:c r="Q578" t="str">
        <x:f>IFERROR(INDEX('02_REFERENTIEL_CLIENTS'!$C$2:$C$51,MATCH(TRIM(C578),'02_REFERENTIEL_CLIENTS'!$A$2:$A$51,0)),"Non trouvé")</x:f>
        <x:v>France</x:v>
      </x:c>
      <x:c r="R578" t="str">
        <x:f>IF(OR(F578&lt;=0,G578&lt;0,G578&gt;F578,N578&lt;0,P578="Non trouvé"),"À vérifier","OK")</x:f>
        <x:v>OK</x:v>
      </x:c>
    </x:row>
    <x:row r="579">
      <x:c r="A579" t="str">
        <x:v>DV-2025-00578</x:v>
      </x:c>
      <x:c r="B579" s="16" t="n">
        <x:v>45694</x:v>
      </x:c>
      <x:c r="C579" t="str">
        <x:v>Client 42</x:v>
      </x:c>
      <x:c r="D579" t="str">
        <x:v>Fret aérien</x:v>
      </x:c>
      <x:c r="E579" t="str">
        <x:v>Pôle A</x:v>
      </x:c>
      <x:c r="F579" s="18" t="n">
        <x:v>4860.69</x:v>
      </x:c>
      <x:c r="G579" s="18" t="n">
        <x:v>2079.66</x:v>
      </x:c>
      <x:c r="H579" t="str">
        <x:v>Client 42</x:v>
      </x:c>
      <x:c r="I579" s="16" t="n">
        <x:v>45709</x:v>
      </x:c>
      <x:c r="J579" t="n">
        <x:f>YEAR(B579)</x:f>
        <x:v>2025</x:v>
      </x:c>
      <x:c r="K579" s="20" t="n">
        <x:f>DATE(YEAR(B579),MONTH(B579),1)</x:f>
        <x:v>45689</x:v>
      </x:c>
      <x:c r="L579" s="18" t="n">
        <x:f>F579-G579</x:f>
        <x:v>2781.0299999999997</x:v>
      </x:c>
      <x:c r="M579" t="str">
        <x:f>IF(L579&lt;=0,"Payée",IF(G579=0,"Impayée","Partielle"))</x:f>
        <x:v>Partielle</x:v>
      </x:c>
      <x:c r="N579" t="n">
        <x:f>IF(I579="","",I579-B579)</x:f>
        <x:v>15</x:v>
      </x:c>
      <x:c r="O579" t="str">
        <x:f>IF(TRIM(C579)&lt;&gt;TRIM(H579),"Oui","Non")</x:f>
        <x:v>Non</x:v>
      </x:c>
      <x:c r="P579" t="str">
        <x:f>IFERROR(INDEX('02_REFERENTIEL_CLIENTS'!$B$2:$B$51,MATCH(TRIM(C579),'02_REFERENTIEL_CLIENTS'!$A$2:$A$51,0)),"Non trouvé")</x:f>
        <x:v>Particuliers</x:v>
      </x:c>
      <x:c r="Q579" t="str">
        <x:f>IFERROR(INDEX('02_REFERENTIEL_CLIENTS'!$C$2:$C$51,MATCH(TRIM(C579),'02_REFERENTIEL_CLIENTS'!$A$2:$A$51,0)),"Non trouvé")</x:f>
        <x:v>International</x:v>
      </x:c>
      <x:c r="R579" t="str">
        <x:f>IF(OR(F579&lt;=0,G579&lt;0,G579&gt;F579,N579&lt;0,P579="Non trouvé"),"À vérifier","OK")</x:f>
        <x:v>OK</x:v>
      </x:c>
    </x:row>
    <x:row r="580">
      <x:c r="A580" t="str">
        <x:v>DV-2025-00579</x:v>
      </x:c>
      <x:c r="B580" s="16" t="n">
        <x:v>45973</x:v>
      </x:c>
      <x:c r="C580" t="str">
        <x:v>Client 50</x:v>
      </x:c>
      <x:c r="D580" t="str">
        <x:v>Fret aérien</x:v>
      </x:c>
      <x:c r="E580" t="str">
        <x:v>Pôle B</x:v>
      </x:c>
      <x:c r="F580" s="18" t="n">
        <x:v>12900.74</x:v>
      </x:c>
      <x:c r="G580" s="18" t="n">
        <x:v>12900.74</x:v>
      </x:c>
      <x:c r="H580" t="str">
        <x:v>Client 50</x:v>
      </x:c>
      <x:c r="I580" s="16" t="n">
        <x:v>45989</x:v>
      </x:c>
      <x:c r="J580" t="n">
        <x:f>YEAR(B580)</x:f>
        <x:v>2025</x:v>
      </x:c>
      <x:c r="K580" s="20" t="n">
        <x:f>DATE(YEAR(B580),MONTH(B580),1)</x:f>
        <x:v>45962</x:v>
      </x:c>
      <x:c r="L580" s="18" t="n">
        <x:f>F580-G580</x:f>
        <x:v>0</x:v>
      </x:c>
      <x:c r="M580" t="str">
        <x:f>IF(L580&lt;=0,"Payée",IF(G580=0,"Impayée","Partielle"))</x:f>
        <x:v>Payée</x:v>
      </x:c>
      <x:c r="N580" t="n">
        <x:f>IF(I580="","",I580-B580)</x:f>
        <x:v>16</x:v>
      </x:c>
      <x:c r="O580" t="str">
        <x:f>IF(TRIM(C580)&lt;&gt;TRIM(H580),"Oui","Non")</x:f>
        <x:v>Non</x:v>
      </x:c>
      <x:c r="P580" t="str">
        <x:f>IFERROR(INDEX('02_REFERENTIEL_CLIENTS'!$B$2:$B$51,MATCH(TRIM(C580),'02_REFERENTIEL_CLIENTS'!$A$2:$A$51,0)),"Non trouvé")</x:f>
        <x:v>PME</x:v>
      </x:c>
      <x:c r="Q580" t="str">
        <x:f>IFERROR(INDEX('02_REFERENTIEL_CLIENTS'!$C$2:$C$51,MATCH(TRIM(C580),'02_REFERENTIEL_CLIENTS'!$A$2:$A$51,0)),"Non trouvé")</x:f>
        <x:v>Europe</x:v>
      </x:c>
      <x:c r="R580" t="str">
        <x:f>IF(OR(F580&lt;=0,G580&lt;0,G580&gt;F580,N580&lt;0,P580="Non trouvé"),"À vérifier","OK")</x:f>
        <x:v>OK</x:v>
      </x:c>
    </x:row>
    <x:row r="581">
      <x:c r="A581" t="str">
        <x:v>DV-2024-00580</x:v>
      </x:c>
      <x:c r="B581" s="16" t="n">
        <x:v>45304</x:v>
      </x:c>
      <x:c r="C581" t="str">
        <x:v>Client 50</x:v>
      </x:c>
      <x:c r="D581" t="str">
        <x:v>Logistique</x:v>
      </x:c>
      <x:c r="E581" t="str">
        <x:v>Pôle D</x:v>
      </x:c>
      <x:c r="F581" s="18" t="n">
        <x:v>4012.6</x:v>
      </x:c>
      <x:c r="G581" s="18" t="n">
        <x:v>4012.6</x:v>
      </x:c>
      <x:c r="H581" t="str">
        <x:v>Client 50</x:v>
      </x:c>
      <x:c r="I581" s="16" t="n">
        <x:v>45353</x:v>
      </x:c>
      <x:c r="J581" t="n">
        <x:f>YEAR(B581)</x:f>
        <x:v>2024</x:v>
      </x:c>
      <x:c r="K581" s="20" t="n">
        <x:f>DATE(YEAR(B581),MONTH(B581),1)</x:f>
        <x:v>45292</x:v>
      </x:c>
      <x:c r="L581" s="18" t="n">
        <x:f>F581-G581</x:f>
        <x:v>0</x:v>
      </x:c>
      <x:c r="M581" t="str">
        <x:f>IF(L581&lt;=0,"Payée",IF(G581=0,"Impayée","Partielle"))</x:f>
        <x:v>Payée</x:v>
      </x:c>
      <x:c r="N581" t="n">
        <x:f>IF(I581="","",I581-B581)</x:f>
        <x:v>49</x:v>
      </x:c>
      <x:c r="O581" t="str">
        <x:f>IF(TRIM(C581)&lt;&gt;TRIM(H581),"Oui","Non")</x:f>
        <x:v>Non</x:v>
      </x:c>
      <x:c r="P581" t="str">
        <x:f>IFERROR(INDEX('02_REFERENTIEL_CLIENTS'!$B$2:$B$51,MATCH(TRIM(C581),'02_REFERENTIEL_CLIENTS'!$A$2:$A$51,0)),"Non trouvé")</x:f>
        <x:v>PME</x:v>
      </x:c>
      <x:c r="Q581" t="str">
        <x:f>IFERROR(INDEX('02_REFERENTIEL_CLIENTS'!$C$2:$C$51,MATCH(TRIM(C581),'02_REFERENTIEL_CLIENTS'!$A$2:$A$51,0)),"Non trouvé")</x:f>
        <x:v>Europe</x:v>
      </x:c>
      <x:c r="R581" t="str">
        <x:f>IF(OR(F581&lt;=0,G581&lt;0,G581&gt;F581,N581&lt;0,P581="Non trouvé"),"À vérifier","OK")</x:f>
        <x:v>OK</x:v>
      </x:c>
    </x:row>
    <x:row r="582">
      <x:c r="A582" t="str">
        <x:v>DV-2024-00581</x:v>
      </x:c>
      <x:c r="B582" s="16" t="n">
        <x:v>45585</x:v>
      </x:c>
      <x:c r="C582" t="str">
        <x:v>Client 13</x:v>
      </x:c>
      <x:c r="D582" t="str">
        <x:v>Fret aérien</x:v>
      </x:c>
      <x:c r="E582" t="str">
        <x:v>Pôle C</x:v>
      </x:c>
      <x:c r="F582" s="18" t="n">
        <x:v>10369.75</x:v>
      </x:c>
      <x:c r="G582" s="18" t="n">
        <x:v>10369.75</x:v>
      </x:c>
      <x:c r="H582" t="str">
        <x:v>Client 13</x:v>
      </x:c>
      <x:c r="I582" s="16" t="n">
        <x:v>45623</x:v>
      </x:c>
      <x:c r="J582" t="n">
        <x:f>YEAR(B582)</x:f>
        <x:v>2024</x:v>
      </x:c>
      <x:c r="K582" s="20" t="n">
        <x:f>DATE(YEAR(B582),MONTH(B582),1)</x:f>
        <x:v>45566</x:v>
      </x:c>
      <x:c r="L582" s="18" t="n">
        <x:f>F582-G582</x:f>
        <x:v>0</x:v>
      </x:c>
      <x:c r="M582" t="str">
        <x:f>IF(L582&lt;=0,"Payée",IF(G582=0,"Impayée","Partielle"))</x:f>
        <x:v>Payée</x:v>
      </x:c>
      <x:c r="N582" t="n">
        <x:f>IF(I582="","",I582-B582)</x:f>
        <x:v>38</x:v>
      </x:c>
      <x:c r="O582" t="str">
        <x:f>IF(TRIM(C582)&lt;&gt;TRIM(H582),"Oui","Non")</x:f>
        <x:v>Non</x:v>
      </x:c>
      <x:c r="P582" t="str">
        <x:f>IFERROR(INDEX('02_REFERENTIEL_CLIENTS'!$B$2:$B$51,MATCH(TRIM(C582),'02_REFERENTIEL_CLIENTS'!$A$2:$A$51,0)),"Non trouvé")</x:f>
        <x:v>Grands comptes</x:v>
      </x:c>
      <x:c r="Q582" t="str">
        <x:f>IFERROR(INDEX('02_REFERENTIEL_CLIENTS'!$C$2:$C$51,MATCH(TRIM(C582),'02_REFERENTIEL_CLIENTS'!$A$2:$A$51,0)),"Non trouvé")</x:f>
        <x:v>France</x:v>
      </x:c>
      <x:c r="R582" t="str">
        <x:f>IF(OR(F582&lt;=0,G582&lt;0,G582&gt;F582,N582&lt;0,P582="Non trouvé"),"À vérifier","OK")</x:f>
        <x:v>OK</x:v>
      </x:c>
    </x:row>
    <x:row r="583">
      <x:c r="A583" t="str">
        <x:v>DV-2024-00582</x:v>
      </x:c>
      <x:c r="B583" s="16" t="n">
        <x:v>45453</x:v>
      </x:c>
      <x:c r="C583" t="str">
        <x:v>Client 17</x:v>
      </x:c>
      <x:c r="D583" t="str">
        <x:v>Douane</x:v>
      </x:c>
      <x:c r="E583" t="str">
        <x:v>Pôle A</x:v>
      </x:c>
      <x:c r="F583" s="18" t="n">
        <x:v>24930.14</x:v>
      </x:c>
      <x:c r="G583" s="18" t="n">
        <x:v>24930.14</x:v>
      </x:c>
      <x:c r="H583" t="str">
        <x:v>Client 27</x:v>
      </x:c>
      <x:c r="I583" s="16" t="n">
        <x:v>45511</x:v>
      </x:c>
      <x:c r="J583" t="n">
        <x:f>YEAR(B583)</x:f>
        <x:v>2024</x:v>
      </x:c>
      <x:c r="K583" s="20" t="n">
        <x:f>DATE(YEAR(B583),MONTH(B583),1)</x:f>
        <x:v>45444</x:v>
      </x:c>
      <x:c r="L583" s="18" t="n">
        <x:f>F583-G583</x:f>
        <x:v>0</x:v>
      </x:c>
      <x:c r="M583" t="str">
        <x:f>IF(L583&lt;=0,"Payée",IF(G583=0,"Impayée","Partielle"))</x:f>
        <x:v>Payée</x:v>
      </x:c>
      <x:c r="N583" t="n">
        <x:f>IF(I583="","",I583-B583)</x:f>
        <x:v>58</x:v>
      </x:c>
      <x:c r="O583" t="str">
        <x:f>IF(TRIM(C583)&lt;&gt;TRIM(H583),"Oui","Non")</x:f>
        <x:v>Oui</x:v>
      </x:c>
      <x:c r="P583" t="str">
        <x:f>IFERROR(INDEX('02_REFERENTIEL_CLIENTS'!$B$2:$B$51,MATCH(TRIM(C583),'02_REFERENTIEL_CLIENTS'!$A$2:$A$51,0)),"Non trouvé")</x:f>
        <x:v>PME</x:v>
      </x:c>
      <x:c r="Q583" t="str">
        <x:f>IFERROR(INDEX('02_REFERENTIEL_CLIENTS'!$C$2:$C$51,MATCH(TRIM(C583),'02_REFERENTIEL_CLIENTS'!$A$2:$A$51,0)),"Non trouvé")</x:f>
        <x:v>Europe</x:v>
      </x:c>
      <x:c r="R583" t="str">
        <x:f>IF(OR(F583&lt;=0,G583&lt;0,G583&gt;F583,N583&lt;0,P583="Non trouvé"),"À vérifier","OK")</x:f>
        <x:v>OK</x:v>
      </x:c>
    </x:row>
    <x:row r="584">
      <x:c r="A584" t="str">
        <x:v>DV-2024-00583</x:v>
      </x:c>
      <x:c r="B584" s="16" t="n">
        <x:v>45598</x:v>
      </x:c>
      <x:c r="C584" t="str">
        <x:v>Client 47</x:v>
      </x:c>
      <x:c r="D584" t="str">
        <x:v>Fret maritime</x:v>
      </x:c>
      <x:c r="E584" t="str">
        <x:v>Pôle A</x:v>
      </x:c>
      <x:c r="F584" s="18" t="n">
        <x:v>21463.11</x:v>
      </x:c>
      <x:c r="G584" s="18" t="n">
        <x:v>21463.11</x:v>
      </x:c>
      <x:c r="H584" t="str">
        <x:v>Client 47</x:v>
      </x:c>
      <x:c r="I584" s="16" t="n">
        <x:v>45602</x:v>
      </x:c>
      <x:c r="J584" t="n">
        <x:f>YEAR(B584)</x:f>
        <x:v>2024</x:v>
      </x:c>
      <x:c r="K584" s="20" t="n">
        <x:f>DATE(YEAR(B584),MONTH(B584),1)</x:f>
        <x:v>45597</x:v>
      </x:c>
      <x:c r="L584" s="18" t="n">
        <x:f>F584-G584</x:f>
        <x:v>0</x:v>
      </x:c>
      <x:c r="M584" t="str">
        <x:f>IF(L584&lt;=0,"Payée",IF(G584=0,"Impayée","Partielle"))</x:f>
        <x:v>Payée</x:v>
      </x:c>
      <x:c r="N584" t="n">
        <x:f>IF(I584="","",I584-B584)</x:f>
        <x:v>4</x:v>
      </x:c>
      <x:c r="O584" t="str">
        <x:f>IF(TRIM(C584)&lt;&gt;TRIM(H584),"Oui","Non")</x:f>
        <x:v>Non</x:v>
      </x:c>
      <x:c r="P584" t="str">
        <x:f>IFERROR(INDEX('02_REFERENTIEL_CLIENTS'!$B$2:$B$51,MATCH(TRIM(C584),'02_REFERENTIEL_CLIENTS'!$A$2:$A$51,0)),"Non trouvé")</x:f>
        <x:v>PME</x:v>
      </x:c>
      <x:c r="Q584" t="str">
        <x:f>IFERROR(INDEX('02_REFERENTIEL_CLIENTS'!$C$2:$C$51,MATCH(TRIM(C584),'02_REFERENTIEL_CLIENTS'!$A$2:$A$51,0)),"Non trouvé")</x:f>
        <x:v>Europe</x:v>
      </x:c>
      <x:c r="R584" t="str">
        <x:f>IF(OR(F584&lt;=0,G584&lt;0,G584&gt;F584,N584&lt;0,P584="Non trouvé"),"À vérifier","OK")</x:f>
        <x:v>OK</x:v>
      </x:c>
    </x:row>
    <x:row r="585">
      <x:c r="A585" t="str">
        <x:v>DV-2025-00584</x:v>
      </x:c>
      <x:c r="B585" s="16" t="n">
        <x:v>45732</x:v>
      </x:c>
      <x:c r="C585" t="str">
        <x:v>Client 41</x:v>
      </x:c>
      <x:c r="D585" t="str">
        <x:v>Douane</x:v>
      </x:c>
      <x:c r="E585" t="str">
        <x:v>Pôle B</x:v>
      </x:c>
      <x:c r="F585" s="18" t="n">
        <x:v>4104.14</x:v>
      </x:c>
      <x:c r="G585" s="18" t="n">
        <x:v>0</x:v>
      </x:c>
      <x:c r="H585" t="str">
        <x:v>Client 41</x:v>
      </x:c>
      <x:c r="I585" s="16"/>
      <x:c r="J585" t="n">
        <x:f>YEAR(B585)</x:f>
        <x:v>2025</x:v>
      </x:c>
      <x:c r="K585" s="20" t="n">
        <x:f>DATE(YEAR(B585),MONTH(B585),1)</x:f>
        <x:v>45717</x:v>
      </x:c>
      <x:c r="L585" s="18" t="n">
        <x:f>F585-G585</x:f>
        <x:v>4104.14</x:v>
      </x:c>
      <x:c r="M585" t="str">
        <x:f>IF(L585&lt;=0,"Payée",IF(G585=0,"Impayée","Partielle"))</x:f>
        <x:v>Impayée</x:v>
      </x:c>
      <x:c r="N585" t="str">
        <x:f>IF(I585="","",I585-B585)</x:f>
      </x:c>
      <x:c r="O585" t="str">
        <x:f>IF(TRIM(C585)&lt;&gt;TRIM(H585),"Oui","Non")</x:f>
        <x:v>Non</x:v>
      </x:c>
      <x:c r="P585" t="str">
        <x:f>IFERROR(INDEX('02_REFERENTIEL_CLIENTS'!$B$2:$B$51,MATCH(TRIM(C585),'02_REFERENTIEL_CLIENTS'!$A$2:$A$51,0)),"Non trouvé")</x:f>
        <x:v>PME</x:v>
      </x:c>
      <x:c r="Q585" t="str">
        <x:f>IFERROR(INDEX('02_REFERENTIEL_CLIENTS'!$C$2:$C$51,MATCH(TRIM(C585),'02_REFERENTIEL_CLIENTS'!$A$2:$A$51,0)),"Non trouvé")</x:f>
        <x:v>Europe</x:v>
      </x:c>
      <x:c r="R585" t="str">
        <x:f>IF(OR(F585&lt;=0,G585&lt;0,G585&gt;F585,N585&lt;0,P585="Non trouvé"),"À vérifier","OK")</x:f>
        <x:v>OK</x:v>
      </x:c>
    </x:row>
    <x:row r="586">
      <x:c r="A586" t="str">
        <x:v>DV-2024-00585</x:v>
      </x:c>
      <x:c r="B586" s="16" t="n">
        <x:v>45462</x:v>
      </x:c>
      <x:c r="C586" t="str">
        <x:v>Client 07</x:v>
      </x:c>
      <x:c r="D586" t="str">
        <x:v>Logistique</x:v>
      </x:c>
      <x:c r="E586" t="str">
        <x:v>Pôle D</x:v>
      </x:c>
      <x:c r="F586" s="18" t="n">
        <x:v>6807.07</x:v>
      </x:c>
      <x:c r="G586" s="18" t="n">
        <x:v>6807.07</x:v>
      </x:c>
      <x:c r="H586" t="str">
        <x:v>Client 07</x:v>
      </x:c>
      <x:c r="I586" s="16" t="n">
        <x:v>45485</x:v>
      </x:c>
      <x:c r="J586" t="n">
        <x:f>YEAR(B586)</x:f>
        <x:v>2024</x:v>
      </x:c>
      <x:c r="K586" s="20" t="n">
        <x:f>DATE(YEAR(B586),MONTH(B586),1)</x:f>
        <x:v>45444</x:v>
      </x:c>
      <x:c r="L586" s="18" t="n">
        <x:f>F586-G586</x:f>
        <x:v>0</x:v>
      </x:c>
      <x:c r="M586" t="str">
        <x:f>IF(L586&lt;=0,"Payée",IF(G586=0,"Impayée","Partielle"))</x:f>
        <x:v>Payée</x:v>
      </x:c>
      <x:c r="N586" t="n">
        <x:f>IF(I586="","",I586-B586)</x:f>
        <x:v>23</x:v>
      </x:c>
      <x:c r="O586" t="str">
        <x:f>IF(TRIM(C586)&lt;&gt;TRIM(H586),"Oui","Non")</x:f>
        <x:v>Non</x:v>
      </x:c>
      <x:c r="P586" t="str">
        <x:f>IFERROR(INDEX('02_REFERENTIEL_CLIENTS'!$B$2:$B$51,MATCH(TRIM(C586),'02_REFERENTIEL_CLIENTS'!$A$2:$A$51,0)),"Non trouvé")</x:f>
        <x:v>Grands comptes</x:v>
      </x:c>
      <x:c r="Q586" t="str">
        <x:f>IFERROR(INDEX('02_REFERENTIEL_CLIENTS'!$C$2:$C$51,MATCH(TRIM(C586),'02_REFERENTIEL_CLIENTS'!$A$2:$A$51,0)),"Non trouvé")</x:f>
        <x:v>France</x:v>
      </x:c>
      <x:c r="R586" t="str">
        <x:f>IF(OR(F586&lt;=0,G586&lt;0,G586&gt;F586,N586&lt;0,P586="Non trouvé"),"À vérifier","OK")</x:f>
        <x:v>OK</x:v>
      </x:c>
    </x:row>
    <x:row r="587">
      <x:c r="A587" t="str">
        <x:v>DV-2024-00586</x:v>
      </x:c>
      <x:c r="B587" s="16" t="n">
        <x:v>45365</x:v>
      </x:c>
      <x:c r="C587" t="str">
        <x:v>Client 14</x:v>
      </x:c>
      <x:c r="D587" t="str">
        <x:v>Express</x:v>
      </x:c>
      <x:c r="E587" t="str">
        <x:v>Pôle A</x:v>
      </x:c>
      <x:c r="F587" s="18" t="n">
        <x:v>11116.65</x:v>
      </x:c>
      <x:c r="G587" s="18" t="n">
        <x:v>11116.65</x:v>
      </x:c>
      <x:c r="H587" t="str">
        <x:v>Client 14</x:v>
      </x:c>
      <x:c r="I587" s="16" t="n">
        <x:v>45454</x:v>
      </x:c>
      <x:c r="J587" t="n">
        <x:f>YEAR(B587)</x:f>
        <x:v>2024</x:v>
      </x:c>
      <x:c r="K587" s="20" t="n">
        <x:f>DATE(YEAR(B587),MONTH(B587),1)</x:f>
        <x:v>45352</x:v>
      </x:c>
      <x:c r="L587" s="18" t="n">
        <x:f>F587-G587</x:f>
        <x:v>0</x:v>
      </x:c>
      <x:c r="M587" t="str">
        <x:f>IF(L587&lt;=0,"Payée",IF(G587=0,"Impayée","Partielle"))</x:f>
        <x:v>Payée</x:v>
      </x:c>
      <x:c r="N587" t="n">
        <x:f>IF(I587="","",I587-B587)</x:f>
        <x:v>89</x:v>
      </x:c>
      <x:c r="O587" t="str">
        <x:f>IF(TRIM(C587)&lt;&gt;TRIM(H587),"Oui","Non")</x:f>
        <x:v>Non</x:v>
      </x:c>
      <x:c r="P587" t="str">
        <x:f>IFERROR(INDEX('02_REFERENTIEL_CLIENTS'!$B$2:$B$51,MATCH(TRIM(C587),'02_REFERENTIEL_CLIENTS'!$A$2:$A$51,0)),"Non trouvé")</x:f>
        <x:v>PME</x:v>
      </x:c>
      <x:c r="Q587" t="str">
        <x:f>IFERROR(INDEX('02_REFERENTIEL_CLIENTS'!$C$2:$C$51,MATCH(TRIM(C587),'02_REFERENTIEL_CLIENTS'!$A$2:$A$51,0)),"Non trouvé")</x:f>
        <x:v>Europe</x:v>
      </x:c>
      <x:c r="R587" t="str">
        <x:f>IF(OR(F587&lt;=0,G587&lt;0,G587&gt;F587,N587&lt;0,P587="Non trouvé"),"À vérifier","OK")</x:f>
        <x:v>OK</x:v>
      </x:c>
    </x:row>
    <x:row r="588">
      <x:c r="A588" t="str">
        <x:v>DV-2026-00587</x:v>
      </x:c>
      <x:c r="B588" s="16" t="n">
        <x:v>46214</x:v>
      </x:c>
      <x:c r="C588" t="str">
        <x:v>Client 07</x:v>
      </x:c>
      <x:c r="D588" t="str">
        <x:v>Fret aérien</x:v>
      </x:c>
      <x:c r="E588" t="str">
        <x:v>Pôle A</x:v>
      </x:c>
      <x:c r="F588" s="18" t="n">
        <x:v>16990.85</x:v>
      </x:c>
      <x:c r="G588" s="18" t="n">
        <x:v>16990.85</x:v>
      </x:c>
      <x:c r="H588" t="str">
        <x:v>Client 07</x:v>
      </x:c>
      <x:c r="I588" s="16" t="n">
        <x:v>46217</x:v>
      </x:c>
      <x:c r="J588" t="n">
        <x:f>YEAR(B588)</x:f>
        <x:v>2026</x:v>
      </x:c>
      <x:c r="K588" s="20" t="n">
        <x:f>DATE(YEAR(B588),MONTH(B588),1)</x:f>
        <x:v>46204</x:v>
      </x:c>
      <x:c r="L588" s="18" t="n">
        <x:f>F588-G588</x:f>
        <x:v>0</x:v>
      </x:c>
      <x:c r="M588" t="str">
        <x:f>IF(L588&lt;=0,"Payée",IF(G588=0,"Impayée","Partielle"))</x:f>
        <x:v>Payée</x:v>
      </x:c>
      <x:c r="N588" t="n">
        <x:f>IF(I588="","",I588-B588)</x:f>
        <x:v>3</x:v>
      </x:c>
      <x:c r="O588" t="str">
        <x:f>IF(TRIM(C588)&lt;&gt;TRIM(H588),"Oui","Non")</x:f>
        <x:v>Non</x:v>
      </x:c>
      <x:c r="P588" t="str">
        <x:f>IFERROR(INDEX('02_REFERENTIEL_CLIENTS'!$B$2:$B$51,MATCH(TRIM(C588),'02_REFERENTIEL_CLIENTS'!$A$2:$A$51,0)),"Non trouvé")</x:f>
        <x:v>Grands comptes</x:v>
      </x:c>
      <x:c r="Q588" t="str">
        <x:f>IFERROR(INDEX('02_REFERENTIEL_CLIENTS'!$C$2:$C$51,MATCH(TRIM(C588),'02_REFERENTIEL_CLIENTS'!$A$2:$A$51,0)),"Non trouvé")</x:f>
        <x:v>France</x:v>
      </x:c>
      <x:c r="R588" t="str">
        <x:f>IF(OR(F588&lt;=0,G588&lt;0,G588&gt;F588,N588&lt;0,P588="Non trouvé"),"À vérifier","OK")</x:f>
        <x:v>OK</x:v>
      </x:c>
    </x:row>
    <x:row r="589">
      <x:c r="A589" t="str">
        <x:v>DV-2024-00588</x:v>
      </x:c>
      <x:c r="B589" s="16" t="n">
        <x:v>45627</x:v>
      </x:c>
      <x:c r="C589" t="str">
        <x:v>Client 30</x:v>
      </x:c>
      <x:c r="D589" t="str">
        <x:v>Logistique</x:v>
      </x:c>
      <x:c r="E589" t="str">
        <x:v>Pôle B</x:v>
      </x:c>
      <x:c r="F589" s="18" t="n">
        <x:v>22159.16</x:v>
      </x:c>
      <x:c r="G589" s="18" t="n">
        <x:v>22159.16</x:v>
      </x:c>
      <x:c r="H589" t="str">
        <x:v>Client 30</x:v>
      </x:c>
      <x:c r="I589" s="16" t="n">
        <x:v>45713</x:v>
      </x:c>
      <x:c r="J589" t="n">
        <x:f>YEAR(B589)</x:f>
        <x:v>2024</x:v>
      </x:c>
      <x:c r="K589" s="20" t="n">
        <x:f>DATE(YEAR(B589),MONTH(B589),1)</x:f>
        <x:v>45627</x:v>
      </x:c>
      <x:c r="L589" s="18" t="n">
        <x:f>F589-G589</x:f>
        <x:v>0</x:v>
      </x:c>
      <x:c r="M589" t="str">
        <x:f>IF(L589&lt;=0,"Payée",IF(G589=0,"Impayée","Partielle"))</x:f>
        <x:v>Payée</x:v>
      </x:c>
      <x:c r="N589" t="n">
        <x:f>IF(I589="","",I589-B589)</x:f>
        <x:v>86</x:v>
      </x:c>
      <x:c r="O589" t="str">
        <x:f>IF(TRIM(C589)&lt;&gt;TRIM(H589),"Oui","Non")</x:f>
        <x:v>Non</x:v>
      </x:c>
      <x:c r="P589" t="str">
        <x:f>IFERROR(INDEX('02_REFERENTIEL_CLIENTS'!$B$2:$B$51,MATCH(TRIM(C589),'02_REFERENTIEL_CLIENTS'!$A$2:$A$51,0)),"Non trouvé")</x:f>
        <x:v>Particuliers</x:v>
      </x:c>
      <x:c r="Q589" t="str">
        <x:f>IFERROR(INDEX('02_REFERENTIEL_CLIENTS'!$C$2:$C$51,MATCH(TRIM(C589),'02_REFERENTIEL_CLIENTS'!$A$2:$A$51,0)),"Non trouvé")</x:f>
        <x:v>International</x:v>
      </x:c>
      <x:c r="R589" t="str">
        <x:f>IF(OR(F589&lt;=0,G589&lt;0,G589&gt;F589,N589&lt;0,P589="Non trouvé"),"À vérifier","OK")</x:f>
        <x:v>OK</x:v>
      </x:c>
    </x:row>
    <x:row r="590">
      <x:c r="A590" t="str">
        <x:v>DV-2025-00589</x:v>
      </x:c>
      <x:c r="B590" s="16" t="n">
        <x:v>45898</x:v>
      </x:c>
      <x:c r="C590" t="str">
        <x:v>Client 16</x:v>
      </x:c>
      <x:c r="D590" t="str">
        <x:v>Express</x:v>
      </x:c>
      <x:c r="E590" t="str">
        <x:v>Pôle D</x:v>
      </x:c>
      <x:c r="F590" s="18" t="n">
        <x:v>22887.16</x:v>
      </x:c>
      <x:c r="G590" s="18" t="n">
        <x:v>22887.16</x:v>
      </x:c>
      <x:c r="H590" t="str">
        <x:v>Client 16</x:v>
      </x:c>
      <x:c r="I590" s="16" t="n">
        <x:v>45949</x:v>
      </x:c>
      <x:c r="J590" t="n">
        <x:f>YEAR(B590)</x:f>
        <x:v>2025</x:v>
      </x:c>
      <x:c r="K590" s="20" t="n">
        <x:f>DATE(YEAR(B590),MONTH(B590),1)</x:f>
        <x:v>45870</x:v>
      </x:c>
      <x:c r="L590" s="18" t="n">
        <x:f>F590-G590</x:f>
        <x:v>0</x:v>
      </x:c>
      <x:c r="M590" t="str">
        <x:f>IF(L590&lt;=0,"Payée",IF(G590=0,"Impayée","Partielle"))</x:f>
        <x:v>Payée</x:v>
      </x:c>
      <x:c r="N590" t="n">
        <x:f>IF(I590="","",I590-B590)</x:f>
        <x:v>51</x:v>
      </x:c>
      <x:c r="O590" t="str">
        <x:f>IF(TRIM(C590)&lt;&gt;TRIM(H590),"Oui","Non")</x:f>
        <x:v>Non</x:v>
      </x:c>
      <x:c r="P590" t="str">
        <x:f>IFERROR(INDEX('02_REFERENTIEL_CLIENTS'!$B$2:$B$51,MATCH(TRIM(C590),'02_REFERENTIEL_CLIENTS'!$A$2:$A$51,0)),"Non trouvé")</x:f>
        <x:v>Grands comptes</x:v>
      </x:c>
      <x:c r="Q590" t="str">
        <x:f>IFERROR(INDEX('02_REFERENTIEL_CLIENTS'!$C$2:$C$51,MATCH(TRIM(C590),'02_REFERENTIEL_CLIENTS'!$A$2:$A$51,0)),"Non trouvé")</x:f>
        <x:v>France</x:v>
      </x:c>
      <x:c r="R590" t="str">
        <x:f>IF(OR(F590&lt;=0,G590&lt;0,G590&gt;F590,N590&lt;0,P590="Non trouvé"),"À vérifier","OK")</x:f>
        <x:v>OK</x:v>
      </x:c>
    </x:row>
    <x:row r="591">
      <x:c r="A591" t="str">
        <x:v>DV-2025-00590</x:v>
      </x:c>
      <x:c r="B591" s="16" t="n">
        <x:v>45790</x:v>
      </x:c>
      <x:c r="C591" t="str">
        <x:v>Client 40</x:v>
      </x:c>
      <x:c r="D591" t="str">
        <x:v>Logistique</x:v>
      </x:c>
      <x:c r="E591" t="str">
        <x:v>Pôle D</x:v>
      </x:c>
      <x:c r="F591" s="18" t="n">
        <x:v>8468.58</x:v>
      </x:c>
      <x:c r="G591" s="18" t="n">
        <x:v>6957.54</x:v>
      </x:c>
      <x:c r="H591" t="str">
        <x:v>Client 40</x:v>
      </x:c>
      <x:c r="I591" s="16" t="n">
        <x:v>45842</x:v>
      </x:c>
      <x:c r="J591" t="n">
        <x:f>YEAR(B591)</x:f>
        <x:v>2025</x:v>
      </x:c>
      <x:c r="K591" s="20" t="n">
        <x:f>DATE(YEAR(B591),MONTH(B591),1)</x:f>
        <x:v>45778</x:v>
      </x:c>
      <x:c r="L591" s="18" t="n">
        <x:f>F591-G591</x:f>
        <x:v>1511.04</x:v>
      </x:c>
      <x:c r="M591" t="str">
        <x:f>IF(L591&lt;=0,"Payée",IF(G591=0,"Impayée","Partielle"))</x:f>
        <x:v>Partielle</x:v>
      </x:c>
      <x:c r="N591" t="n">
        <x:f>IF(I591="","",I591-B591)</x:f>
        <x:v>52</x:v>
      </x:c>
      <x:c r="O591" t="str">
        <x:f>IF(TRIM(C591)&lt;&gt;TRIM(H591),"Oui","Non")</x:f>
        <x:v>Non</x:v>
      </x:c>
      <x:c r="P591" t="str">
        <x:f>IFERROR(INDEX('02_REFERENTIEL_CLIENTS'!$B$2:$B$51,MATCH(TRIM(C591),'02_REFERENTIEL_CLIENTS'!$A$2:$A$51,0)),"Non trouvé")</x:f>
        <x:v>Grands comptes</x:v>
      </x:c>
      <x:c r="Q591" t="str">
        <x:f>IFERROR(INDEX('02_REFERENTIEL_CLIENTS'!$C$2:$C$51,MATCH(TRIM(C591),'02_REFERENTIEL_CLIENTS'!$A$2:$A$51,0)),"Non trouvé")</x:f>
        <x:v>France</x:v>
      </x:c>
      <x:c r="R591" t="str">
        <x:f>IF(OR(F591&lt;=0,G591&lt;0,G591&gt;F591,N591&lt;0,P591="Non trouvé"),"À vérifier","OK")</x:f>
        <x:v>OK</x:v>
      </x:c>
    </x:row>
    <x:row r="592">
      <x:c r="A592" t="str">
        <x:v>DV-2025-00591</x:v>
      </x:c>
      <x:c r="B592" s="16" t="n">
        <x:v>45724</x:v>
      </x:c>
      <x:c r="C592" t="str">
        <x:v>Client 50</x:v>
      </x:c>
      <x:c r="D592" t="str">
        <x:v>Logistique</x:v>
      </x:c>
      <x:c r="E592" t="str">
        <x:v>Pôle C</x:v>
      </x:c>
      <x:c r="F592" s="18" t="n">
        <x:v>9529.83</x:v>
      </x:c>
      <x:c r="G592" s="18" t="n">
        <x:v>9529.83</x:v>
      </x:c>
      <x:c r="H592" t="str">
        <x:v>Client 50</x:v>
      </x:c>
      <x:c r="I592" s="16" t="n">
        <x:v>45727</x:v>
      </x:c>
      <x:c r="J592" t="n">
        <x:f>YEAR(B592)</x:f>
        <x:v>2025</x:v>
      </x:c>
      <x:c r="K592" s="20" t="n">
        <x:f>DATE(YEAR(B592),MONTH(B592),1)</x:f>
        <x:v>45717</x:v>
      </x:c>
      <x:c r="L592" s="18" t="n">
        <x:f>F592-G592</x:f>
        <x:v>0</x:v>
      </x:c>
      <x:c r="M592" t="str">
        <x:f>IF(L592&lt;=0,"Payée",IF(G592=0,"Impayée","Partielle"))</x:f>
        <x:v>Payée</x:v>
      </x:c>
      <x:c r="N592" t="n">
        <x:f>IF(I592="","",I592-B592)</x:f>
        <x:v>3</x:v>
      </x:c>
      <x:c r="O592" t="str">
        <x:f>IF(TRIM(C592)&lt;&gt;TRIM(H592),"Oui","Non")</x:f>
        <x:v>Non</x:v>
      </x:c>
      <x:c r="P592" t="str">
        <x:f>IFERROR(INDEX('02_REFERENTIEL_CLIENTS'!$B$2:$B$51,MATCH(TRIM(C592),'02_REFERENTIEL_CLIENTS'!$A$2:$A$51,0)),"Non trouvé")</x:f>
        <x:v>PME</x:v>
      </x:c>
      <x:c r="Q592" t="str">
        <x:f>IFERROR(INDEX('02_REFERENTIEL_CLIENTS'!$C$2:$C$51,MATCH(TRIM(C592),'02_REFERENTIEL_CLIENTS'!$A$2:$A$51,0)),"Non trouvé")</x:f>
        <x:v>Europe</x:v>
      </x:c>
      <x:c r="R592" t="str">
        <x:f>IF(OR(F592&lt;=0,G592&lt;0,G592&gt;F592,N592&lt;0,P592="Non trouvé"),"À vérifier","OK")</x:f>
        <x:v>OK</x:v>
      </x:c>
    </x:row>
    <x:row r="593">
      <x:c r="A593" t="str">
        <x:v>DV-2025-00592</x:v>
      </x:c>
      <x:c r="B593" s="16" t="n">
        <x:v>45769</x:v>
      </x:c>
      <x:c r="C593" t="str">
        <x:v>Client 48</x:v>
      </x:c>
      <x:c r="D593" t="str">
        <x:v>Fret maritime</x:v>
      </x:c>
      <x:c r="E593" t="str">
        <x:v>Pôle A</x:v>
      </x:c>
      <x:c r="F593" s="18" t="n">
        <x:v>23494.64</x:v>
      </x:c>
      <x:c r="G593" s="18" t="n">
        <x:v>23494.64</x:v>
      </x:c>
      <x:c r="H593" t="str">
        <x:v>Client 48</x:v>
      </x:c>
      <x:c r="I593" s="16" t="n">
        <x:v>45808</x:v>
      </x:c>
      <x:c r="J593" t="n">
        <x:f>YEAR(B593)</x:f>
        <x:v>2025</x:v>
      </x:c>
      <x:c r="K593" s="20" t="n">
        <x:f>DATE(YEAR(B593),MONTH(B593),1)</x:f>
        <x:v>45748</x:v>
      </x:c>
      <x:c r="L593" s="18" t="n">
        <x:f>F593-G593</x:f>
        <x:v>0</x:v>
      </x:c>
      <x:c r="M593" t="str">
        <x:f>IF(L593&lt;=0,"Payée",IF(G593=0,"Impayée","Partielle"))</x:f>
        <x:v>Payée</x:v>
      </x:c>
      <x:c r="N593" t="n">
        <x:f>IF(I593="","",I593-B593)</x:f>
        <x:v>39</x:v>
      </x:c>
      <x:c r="O593" t="str">
        <x:f>IF(TRIM(C593)&lt;&gt;TRIM(H593),"Oui","Non")</x:f>
        <x:v>Non</x:v>
      </x:c>
      <x:c r="P593" t="str">
        <x:f>IFERROR(INDEX('02_REFERENTIEL_CLIENTS'!$B$2:$B$51,MATCH(TRIM(C593),'02_REFERENTIEL_CLIENTS'!$A$2:$A$51,0)),"Non trouvé")</x:f>
        <x:v>Particuliers</x:v>
      </x:c>
      <x:c r="Q593" t="str">
        <x:f>IFERROR(INDEX('02_REFERENTIEL_CLIENTS'!$C$2:$C$51,MATCH(TRIM(C593),'02_REFERENTIEL_CLIENTS'!$A$2:$A$51,0)),"Non trouvé")</x:f>
        <x:v>International</x:v>
      </x:c>
      <x:c r="R593" t="str">
        <x:f>IF(OR(F593&lt;=0,G593&lt;0,G593&gt;F593,N593&lt;0,P593="Non trouvé"),"À vérifier","OK")</x:f>
        <x:v>OK</x:v>
      </x:c>
    </x:row>
    <x:row r="594">
      <x:c r="A594" t="str">
        <x:v>DV-2024-00593</x:v>
      </x:c>
      <x:c r="B594" s="16" t="n">
        <x:v>45562</x:v>
      </x:c>
      <x:c r="C594" t="str">
        <x:v>Client 48</x:v>
      </x:c>
      <x:c r="D594" t="str">
        <x:v>Logistique</x:v>
      </x:c>
      <x:c r="E594" t="str">
        <x:v>Pôle C</x:v>
      </x:c>
      <x:c r="F594" s="18" t="n">
        <x:v>7027.38</x:v>
      </x:c>
      <x:c r="G594" s="18" t="n">
        <x:v>7027.38</x:v>
      </x:c>
      <x:c r="H594" t="str">
        <x:v>Client 48</x:v>
      </x:c>
      <x:c r="I594" s="16" t="n">
        <x:v>45620</x:v>
      </x:c>
      <x:c r="J594" t="n">
        <x:f>YEAR(B594)</x:f>
        <x:v>2024</x:v>
      </x:c>
      <x:c r="K594" s="20" t="n">
        <x:f>DATE(YEAR(B594),MONTH(B594),1)</x:f>
        <x:v>45536</x:v>
      </x:c>
      <x:c r="L594" s="18" t="n">
        <x:f>F594-G594</x:f>
        <x:v>0</x:v>
      </x:c>
      <x:c r="M594" t="str">
        <x:f>IF(L594&lt;=0,"Payée",IF(G594=0,"Impayée","Partielle"))</x:f>
        <x:v>Payée</x:v>
      </x:c>
      <x:c r="N594" t="n">
        <x:f>IF(I594="","",I594-B594)</x:f>
        <x:v>58</x:v>
      </x:c>
      <x:c r="O594" t="str">
        <x:f>IF(TRIM(C594)&lt;&gt;TRIM(H594),"Oui","Non")</x:f>
        <x:v>Non</x:v>
      </x:c>
      <x:c r="P594" t="str">
        <x:f>IFERROR(INDEX('02_REFERENTIEL_CLIENTS'!$B$2:$B$51,MATCH(TRIM(C594),'02_REFERENTIEL_CLIENTS'!$A$2:$A$51,0)),"Non trouvé")</x:f>
        <x:v>Particuliers</x:v>
      </x:c>
      <x:c r="Q594" t="str">
        <x:f>IFERROR(INDEX('02_REFERENTIEL_CLIENTS'!$C$2:$C$51,MATCH(TRIM(C594),'02_REFERENTIEL_CLIENTS'!$A$2:$A$51,0)),"Non trouvé")</x:f>
        <x:v>International</x:v>
      </x:c>
      <x:c r="R594" t="str">
        <x:f>IF(OR(F594&lt;=0,G594&lt;0,G594&gt;F594,N594&lt;0,P594="Non trouvé"),"À vérifier","OK")</x:f>
        <x:v>OK</x:v>
      </x:c>
    </x:row>
    <x:row r="595">
      <x:c r="A595" t="str">
        <x:v>DV-2024-00594</x:v>
      </x:c>
      <x:c r="B595" s="16" t="n">
        <x:v>45415</x:v>
      </x:c>
      <x:c r="C595" t="str">
        <x:v>Client 47</x:v>
      </x:c>
      <x:c r="D595" t="str">
        <x:v>Express</x:v>
      </x:c>
      <x:c r="E595" t="str">
        <x:v>Pôle B</x:v>
      </x:c>
      <x:c r="F595" s="18" t="n">
        <x:v>11928.08</x:v>
      </x:c>
      <x:c r="G595" s="18" t="n">
        <x:v>3867.21</x:v>
      </x:c>
      <x:c r="H595" t="str">
        <x:v>Client 17</x:v>
      </x:c>
      <x:c r="I595" s="16" t="n">
        <x:v>45500</x:v>
      </x:c>
      <x:c r="J595" t="n">
        <x:f>YEAR(B595)</x:f>
        <x:v>2024</x:v>
      </x:c>
      <x:c r="K595" s="20" t="n">
        <x:f>DATE(YEAR(B595),MONTH(B595),1)</x:f>
        <x:v>45413</x:v>
      </x:c>
      <x:c r="L595" s="18" t="n">
        <x:f>F595-G595</x:f>
        <x:v>8060.87</x:v>
      </x:c>
      <x:c r="M595" t="str">
        <x:f>IF(L595&lt;=0,"Payée",IF(G595=0,"Impayée","Partielle"))</x:f>
        <x:v>Partielle</x:v>
      </x:c>
      <x:c r="N595" t="n">
        <x:f>IF(I595="","",I595-B595)</x:f>
        <x:v>85</x:v>
      </x:c>
      <x:c r="O595" t="str">
        <x:f>IF(TRIM(C595)&lt;&gt;TRIM(H595),"Oui","Non")</x:f>
        <x:v>Oui</x:v>
      </x:c>
      <x:c r="P595" t="str">
        <x:f>IFERROR(INDEX('02_REFERENTIEL_CLIENTS'!$B$2:$B$51,MATCH(TRIM(C595),'02_REFERENTIEL_CLIENTS'!$A$2:$A$51,0)),"Non trouvé")</x:f>
        <x:v>PME</x:v>
      </x:c>
      <x:c r="Q595" t="str">
        <x:f>IFERROR(INDEX('02_REFERENTIEL_CLIENTS'!$C$2:$C$51,MATCH(TRIM(C595),'02_REFERENTIEL_CLIENTS'!$A$2:$A$51,0)),"Non trouvé")</x:f>
        <x:v>Europe</x:v>
      </x:c>
      <x:c r="R595" t="str">
        <x:f>IF(OR(F595&lt;=0,G595&lt;0,G595&gt;F595,N595&lt;0,P595="Non trouvé"),"À vérifier","OK")</x:f>
        <x:v>OK</x:v>
      </x:c>
    </x:row>
    <x:row r="596">
      <x:c r="A596" t="str">
        <x:v>DV-2025-00595</x:v>
      </x:c>
      <x:c r="B596" s="16" t="n">
        <x:v>45964</x:v>
      </x:c>
      <x:c r="C596" t="str">
        <x:v>Client 26</x:v>
      </x:c>
      <x:c r="D596" t="str">
        <x:v>Douane</x:v>
      </x:c>
      <x:c r="E596" t="str">
        <x:v>Pôle B</x:v>
      </x:c>
      <x:c r="F596" s="18" t="n">
        <x:v>20364.52</x:v>
      </x:c>
      <x:c r="G596" s="18" t="n">
        <x:v>20364.52</x:v>
      </x:c>
      <x:c r="H596" t="str">
        <x:v>Client 26</x:v>
      </x:c>
      <x:c r="I596" s="16" t="n">
        <x:v>46004</x:v>
      </x:c>
      <x:c r="J596" t="n">
        <x:f>YEAR(B596)</x:f>
        <x:v>2025</x:v>
      </x:c>
      <x:c r="K596" s="20" t="n">
        <x:f>DATE(YEAR(B596),MONTH(B596),1)</x:f>
        <x:v>45962</x:v>
      </x:c>
      <x:c r="L596" s="18" t="n">
        <x:f>F596-G596</x:f>
        <x:v>0</x:v>
      </x:c>
      <x:c r="M596" t="str">
        <x:f>IF(L596&lt;=0,"Payée",IF(G596=0,"Impayée","Partielle"))</x:f>
        <x:v>Payée</x:v>
      </x:c>
      <x:c r="N596" t="n">
        <x:f>IF(I596="","",I596-B596)</x:f>
        <x:v>40</x:v>
      </x:c>
      <x:c r="O596" t="str">
        <x:f>IF(TRIM(C596)&lt;&gt;TRIM(H596),"Oui","Non")</x:f>
        <x:v>Non</x:v>
      </x:c>
      <x:c r="P596" t="str">
        <x:f>IFERROR(INDEX('02_REFERENTIEL_CLIENTS'!$B$2:$B$51,MATCH(TRIM(C596),'02_REFERENTIEL_CLIENTS'!$A$2:$A$51,0)),"Non trouvé")</x:f>
        <x:v>PME</x:v>
      </x:c>
      <x:c r="Q596" t="str">
        <x:f>IFERROR(INDEX('02_REFERENTIEL_CLIENTS'!$C$2:$C$51,MATCH(TRIM(C596),'02_REFERENTIEL_CLIENTS'!$A$2:$A$51,0)),"Non trouvé")</x:f>
        <x:v>Europe</x:v>
      </x:c>
      <x:c r="R596" t="str">
        <x:f>IF(OR(F596&lt;=0,G596&lt;0,G596&gt;F596,N596&lt;0,P596="Non trouvé"),"À vérifier","OK")</x:f>
        <x:v>OK</x:v>
      </x:c>
    </x:row>
    <x:row r="597">
      <x:c r="A597" t="str">
        <x:v>DV-2025-00596</x:v>
      </x:c>
      <x:c r="B597" s="16" t="n">
        <x:v>45848</x:v>
      </x:c>
      <x:c r="C597" t="str">
        <x:v>Client 19</x:v>
      </x:c>
      <x:c r="D597" t="str">
        <x:v>Fret maritime</x:v>
      </x:c>
      <x:c r="E597" t="str">
        <x:v>Pôle A</x:v>
      </x:c>
      <x:c r="F597" s="18" t="n">
        <x:v>5597.59</x:v>
      </x:c>
      <x:c r="G597" s="18" t="n">
        <x:v>936.35</x:v>
      </x:c>
      <x:c r="H597" t="str">
        <x:v>Client 19</x:v>
      </x:c>
      <x:c r="I597" s="16" t="n">
        <x:v>45924</x:v>
      </x:c>
      <x:c r="J597" t="n">
        <x:f>YEAR(B597)</x:f>
        <x:v>2025</x:v>
      </x:c>
      <x:c r="K597" s="20" t="n">
        <x:f>DATE(YEAR(B597),MONTH(B597),1)</x:f>
        <x:v>45839</x:v>
      </x:c>
      <x:c r="L597" s="18" t="n">
        <x:f>F597-G597</x:f>
        <x:v>4661.24</x:v>
      </x:c>
      <x:c r="M597" t="str">
        <x:f>IF(L597&lt;=0,"Payée",IF(G597=0,"Impayée","Partielle"))</x:f>
        <x:v>Partielle</x:v>
      </x:c>
      <x:c r="N597" t="n">
        <x:f>IF(I597="","",I597-B597)</x:f>
        <x:v>76</x:v>
      </x:c>
      <x:c r="O597" t="str">
        <x:f>IF(TRIM(C597)&lt;&gt;TRIM(H597),"Oui","Non")</x:f>
        <x:v>Non</x:v>
      </x:c>
      <x:c r="P597" t="str">
        <x:f>IFERROR(INDEX('02_REFERENTIEL_CLIENTS'!$B$2:$B$51,MATCH(TRIM(C597),'02_REFERENTIEL_CLIENTS'!$A$2:$A$51,0)),"Non trouvé")</x:f>
        <x:v>Grands comptes</x:v>
      </x:c>
      <x:c r="Q597" t="str">
        <x:f>IFERROR(INDEX('02_REFERENTIEL_CLIENTS'!$C$2:$C$51,MATCH(TRIM(C597),'02_REFERENTIEL_CLIENTS'!$A$2:$A$51,0)),"Non trouvé")</x:f>
        <x:v>France</x:v>
      </x:c>
      <x:c r="R597" t="str">
        <x:f>IF(OR(F597&lt;=0,G597&lt;0,G597&gt;F597,N597&lt;0,P597="Non trouvé"),"À vérifier","OK")</x:f>
        <x:v>OK</x:v>
      </x:c>
    </x:row>
    <x:row r="598">
      <x:c r="A598" t="str">
        <x:v>DV-2026-00597</x:v>
      </x:c>
      <x:c r="B598" s="16" t="n">
        <x:v>46269</x:v>
      </x:c>
      <x:c r="C598" t="str">
        <x:v>Client 21</x:v>
      </x:c>
      <x:c r="D598" t="str">
        <x:v>Express</x:v>
      </x:c>
      <x:c r="E598" t="str">
        <x:v>Pôle E</x:v>
      </x:c>
      <x:c r="F598" s="18" t="n">
        <x:v>2798.81</x:v>
      </x:c>
      <x:c r="G598" s="18" t="n">
        <x:v>2798.81</x:v>
      </x:c>
      <x:c r="H598" t="str">
        <x:v>Client 21</x:v>
      </x:c>
      <x:c r="I598" s="16" t="n">
        <x:v>46344</x:v>
      </x:c>
      <x:c r="J598" t="n">
        <x:f>YEAR(B598)</x:f>
        <x:v>2026</x:v>
      </x:c>
      <x:c r="K598" s="20" t="n">
        <x:f>DATE(YEAR(B598),MONTH(B598),1)</x:f>
        <x:v>46266</x:v>
      </x:c>
      <x:c r="L598" s="18" t="n">
        <x:f>F598-G598</x:f>
        <x:v>0</x:v>
      </x:c>
      <x:c r="M598" t="str">
        <x:f>IF(L598&lt;=0,"Payée",IF(G598=0,"Impayée","Partielle"))</x:f>
        <x:v>Payée</x:v>
      </x:c>
      <x:c r="N598" t="n">
        <x:f>IF(I598="","",I598-B598)</x:f>
        <x:v>75</x:v>
      </x:c>
      <x:c r="O598" t="str">
        <x:f>IF(TRIM(C598)&lt;&gt;TRIM(H598),"Oui","Non")</x:f>
        <x:v>Non</x:v>
      </x:c>
      <x:c r="P598" t="str">
        <x:f>IFERROR(INDEX('02_REFERENTIEL_CLIENTS'!$B$2:$B$51,MATCH(TRIM(C598),'02_REFERENTIEL_CLIENTS'!$A$2:$A$51,0)),"Non trouvé")</x:f>
        <x:v>Particuliers</x:v>
      </x:c>
      <x:c r="Q598" t="str">
        <x:f>IFERROR(INDEX('02_REFERENTIEL_CLIENTS'!$C$2:$C$51,MATCH(TRIM(C598),'02_REFERENTIEL_CLIENTS'!$A$2:$A$51,0)),"Non trouvé")</x:f>
        <x:v>International</x:v>
      </x:c>
      <x:c r="R598" t="str">
        <x:f>IF(OR(F598&lt;=0,G598&lt;0,G598&gt;F598,N598&lt;0,P598="Non trouvé"),"À vérifier","OK")</x:f>
        <x:v>OK</x:v>
      </x:c>
    </x:row>
    <x:row r="599">
      <x:c r="A599" t="str">
        <x:v>DV-2024-00598</x:v>
      </x:c>
      <x:c r="B599" s="16" t="n">
        <x:v>45436</x:v>
      </x:c>
      <x:c r="C599" t="str">
        <x:v>Client 50</x:v>
      </x:c>
      <x:c r="D599" t="str">
        <x:v>Logistique</x:v>
      </x:c>
      <x:c r="E599" t="str">
        <x:v>Pôle A</x:v>
      </x:c>
      <x:c r="F599" s="18" t="n">
        <x:v>14392.78</x:v>
      </x:c>
      <x:c r="G599" s="18" t="n">
        <x:v>14392.78</x:v>
      </x:c>
      <x:c r="H599" t="str">
        <x:v>Client 50</x:v>
      </x:c>
      <x:c r="I599" s="16" t="n">
        <x:v>45485</x:v>
      </x:c>
      <x:c r="J599" t="n">
        <x:f>YEAR(B599)</x:f>
        <x:v>2024</x:v>
      </x:c>
      <x:c r="K599" s="20" t="n">
        <x:f>DATE(YEAR(B599),MONTH(B599),1)</x:f>
        <x:v>45413</x:v>
      </x:c>
      <x:c r="L599" s="18" t="n">
        <x:f>F599-G599</x:f>
        <x:v>0</x:v>
      </x:c>
      <x:c r="M599" t="str">
        <x:f>IF(L599&lt;=0,"Payée",IF(G599=0,"Impayée","Partielle"))</x:f>
        <x:v>Payée</x:v>
      </x:c>
      <x:c r="N599" t="n">
        <x:f>IF(I599="","",I599-B599)</x:f>
        <x:v>49</x:v>
      </x:c>
      <x:c r="O599" t="str">
        <x:f>IF(TRIM(C599)&lt;&gt;TRIM(H599),"Oui","Non")</x:f>
        <x:v>Non</x:v>
      </x:c>
      <x:c r="P599" t="str">
        <x:f>IFERROR(INDEX('02_REFERENTIEL_CLIENTS'!$B$2:$B$51,MATCH(TRIM(C599),'02_REFERENTIEL_CLIENTS'!$A$2:$A$51,0)),"Non trouvé")</x:f>
        <x:v>PME</x:v>
      </x:c>
      <x:c r="Q599" t="str">
        <x:f>IFERROR(INDEX('02_REFERENTIEL_CLIENTS'!$C$2:$C$51,MATCH(TRIM(C599),'02_REFERENTIEL_CLIENTS'!$A$2:$A$51,0)),"Non trouvé")</x:f>
        <x:v>Europe</x:v>
      </x:c>
      <x:c r="R599" t="str">
        <x:f>IF(OR(F599&lt;=0,G599&lt;0,G599&gt;F599,N599&lt;0,P599="Non trouvé"),"À vérifier","OK")</x:f>
        <x:v>OK</x:v>
      </x:c>
    </x:row>
    <x:row r="600">
      <x:c r="A600" t="str">
        <x:v>DV-2026-00599</x:v>
      </x:c>
      <x:c r="B600" s="16" t="n">
        <x:v>46055</x:v>
      </x:c>
      <x:c r="C600" t="str">
        <x:v>Client 14</x:v>
      </x:c>
      <x:c r="D600" t="str">
        <x:v>Fret maritime</x:v>
      </x:c>
      <x:c r="E600" t="str">
        <x:v>Pôle A</x:v>
      </x:c>
      <x:c r="F600" s="18" t="n">
        <x:v>6293.75</x:v>
      </x:c>
      <x:c r="G600" s="18" t="n">
        <x:v>6293.75</x:v>
      </x:c>
      <x:c r="H600" t="str">
        <x:v>Client 14</x:v>
      </x:c>
      <x:c r="I600" s="16" t="n">
        <x:v>46096</x:v>
      </x:c>
      <x:c r="J600" t="n">
        <x:f>YEAR(B600)</x:f>
        <x:v>2026</x:v>
      </x:c>
      <x:c r="K600" s="20" t="n">
        <x:f>DATE(YEAR(B600),MONTH(B600),1)</x:f>
        <x:v>46054</x:v>
      </x:c>
      <x:c r="L600" s="18" t="n">
        <x:f>F600-G600</x:f>
        <x:v>0</x:v>
      </x:c>
      <x:c r="M600" t="str">
        <x:f>IF(L600&lt;=0,"Payée",IF(G600=0,"Impayée","Partielle"))</x:f>
        <x:v>Payée</x:v>
      </x:c>
      <x:c r="N600" t="n">
        <x:f>IF(I600="","",I600-B600)</x:f>
        <x:v>41</x:v>
      </x:c>
      <x:c r="O600" t="str">
        <x:f>IF(TRIM(C600)&lt;&gt;TRIM(H600),"Oui","Non")</x:f>
        <x:v>Non</x:v>
      </x:c>
      <x:c r="P600" t="str">
        <x:f>IFERROR(INDEX('02_REFERENTIEL_CLIENTS'!$B$2:$B$51,MATCH(TRIM(C600),'02_REFERENTIEL_CLIENTS'!$A$2:$A$51,0)),"Non trouvé")</x:f>
        <x:v>PME</x:v>
      </x:c>
      <x:c r="Q600" t="str">
        <x:f>IFERROR(INDEX('02_REFERENTIEL_CLIENTS'!$C$2:$C$51,MATCH(TRIM(C600),'02_REFERENTIEL_CLIENTS'!$A$2:$A$51,0)),"Non trouvé")</x:f>
        <x:v>Europe</x:v>
      </x:c>
      <x:c r="R600" t="str">
        <x:f>IF(OR(F600&lt;=0,G600&lt;0,G600&gt;F600,N600&lt;0,P600="Non trouvé"),"À vérifier","OK")</x:f>
        <x:v>OK</x:v>
      </x:c>
    </x:row>
    <x:row r="601">
      <x:c r="A601" t="str">
        <x:v>DV-2026-00600</x:v>
      </x:c>
      <x:c r="B601" s="16" t="n">
        <x:v>46055</x:v>
      </x:c>
      <x:c r="C601" t="str">
        <x:v>Client 48</x:v>
      </x:c>
      <x:c r="D601" t="str">
        <x:v>Fret maritime</x:v>
      </x:c>
      <x:c r="E601" t="str">
        <x:v>Pôle A</x:v>
      </x:c>
      <x:c r="F601" s="18" t="n">
        <x:v>24077.8</x:v>
      </x:c>
      <x:c r="G601" s="18" t="n">
        <x:v>24077.8</x:v>
      </x:c>
      <x:c r="H601" t="str">
        <x:v>Client 48</x:v>
      </x:c>
      <x:c r="I601" s="16" t="n">
        <x:v>46099</x:v>
      </x:c>
      <x:c r="J601" t="n">
        <x:f>YEAR(B601)</x:f>
        <x:v>2026</x:v>
      </x:c>
      <x:c r="K601" s="20" t="n">
        <x:f>DATE(YEAR(B601),MONTH(B601),1)</x:f>
        <x:v>46054</x:v>
      </x:c>
      <x:c r="L601" s="18" t="n">
        <x:f>F601-G601</x:f>
        <x:v>0</x:v>
      </x:c>
      <x:c r="M601" t="str">
        <x:f>IF(L601&lt;=0,"Payée",IF(G601=0,"Impayée","Partielle"))</x:f>
        <x:v>Payée</x:v>
      </x:c>
      <x:c r="N601" t="n">
        <x:f>IF(I601="","",I601-B601)</x:f>
        <x:v>44</x:v>
      </x:c>
      <x:c r="O601" t="str">
        <x:f>IF(TRIM(C601)&lt;&gt;TRIM(H601),"Oui","Non")</x:f>
        <x:v>Non</x:v>
      </x:c>
      <x:c r="P601" t="str">
        <x:f>IFERROR(INDEX('02_REFERENTIEL_CLIENTS'!$B$2:$B$51,MATCH(TRIM(C601),'02_REFERENTIEL_CLIENTS'!$A$2:$A$51,0)),"Non trouvé")</x:f>
        <x:v>Particuliers</x:v>
      </x:c>
      <x:c r="Q601" t="str">
        <x:f>IFERROR(INDEX('02_REFERENTIEL_CLIENTS'!$C$2:$C$51,MATCH(TRIM(C601),'02_REFERENTIEL_CLIENTS'!$A$2:$A$51,0)),"Non trouvé")</x:f>
        <x:v>International</x:v>
      </x:c>
      <x:c r="R601" t="str">
        <x:f>IF(OR(F601&lt;=0,G601&lt;0,G601&gt;F601,N601&lt;0,P601="Non trouvé"),"À vérifier","OK")</x:f>
        <x:v>OK</x:v>
      </x:c>
    </x:row>
    <x:row r="602">
      <x:c r="A602" t="str">
        <x:v>DV-2024-00601</x:v>
      </x:c>
      <x:c r="B602" s="16" t="n">
        <x:v>45442</x:v>
      </x:c>
      <x:c r="C602" t="str">
        <x:v>Client 36</x:v>
      </x:c>
      <x:c r="D602" t="str">
        <x:v>Douane</x:v>
      </x:c>
      <x:c r="E602" t="str">
        <x:v>Pôle C</x:v>
      </x:c>
      <x:c r="F602" s="18" t="n">
        <x:v>24840.59</x:v>
      </x:c>
      <x:c r="G602" s="18" t="n">
        <x:v>24840.59</x:v>
      </x:c>
      <x:c r="H602" t="str">
        <x:v>Client 36</x:v>
      </x:c>
      <x:c r="I602" s="16" t="n">
        <x:v>45472</x:v>
      </x:c>
      <x:c r="J602" t="n">
        <x:f>YEAR(B602)</x:f>
        <x:v>2024</x:v>
      </x:c>
      <x:c r="K602" s="20" t="n">
        <x:f>DATE(YEAR(B602),MONTH(B602),1)</x:f>
        <x:v>45413</x:v>
      </x:c>
      <x:c r="L602" s="18" t="n">
        <x:f>F602-G602</x:f>
        <x:v>0</x:v>
      </x:c>
      <x:c r="M602" t="str">
        <x:f>IF(L602&lt;=0,"Payée",IF(G602=0,"Impayée","Partielle"))</x:f>
        <x:v>Payée</x:v>
      </x:c>
      <x:c r="N602" t="n">
        <x:f>IF(I602="","",I602-B602)</x:f>
        <x:v>30</x:v>
      </x:c>
      <x:c r="O602" t="str">
        <x:f>IF(TRIM(C602)&lt;&gt;TRIM(H602),"Oui","Non")</x:f>
        <x:v>Non</x:v>
      </x:c>
      <x:c r="P602" t="str">
        <x:f>IFERROR(INDEX('02_REFERENTIEL_CLIENTS'!$B$2:$B$51,MATCH(TRIM(C602),'02_REFERENTIEL_CLIENTS'!$A$2:$A$51,0)),"Non trouvé")</x:f>
        <x:v>Particuliers</x:v>
      </x:c>
      <x:c r="Q602" t="str">
        <x:f>IFERROR(INDEX('02_REFERENTIEL_CLIENTS'!$C$2:$C$51,MATCH(TRIM(C602),'02_REFERENTIEL_CLIENTS'!$A$2:$A$51,0)),"Non trouvé")</x:f>
        <x:v>International</x:v>
      </x:c>
      <x:c r="R602" t="str">
        <x:f>IF(OR(F602&lt;=0,G602&lt;0,G602&gt;F602,N602&lt;0,P602="Non trouvé"),"À vérifier","OK")</x:f>
        <x:v>OK</x:v>
      </x:c>
    </x:row>
    <x:row r="603">
      <x:c r="A603" t="str">
        <x:v>DV-2024-00602</x:v>
      </x:c>
      <x:c r="B603" s="16" t="n">
        <x:v>45351</x:v>
      </x:c>
      <x:c r="C603" t="str">
        <x:v>Client 39</x:v>
      </x:c>
      <x:c r="D603" t="str">
        <x:v>Douane</x:v>
      </x:c>
      <x:c r="E603" t="str">
        <x:v>Pôle B</x:v>
      </x:c>
      <x:c r="F603" s="18" t="n">
        <x:v>22582.49</x:v>
      </x:c>
      <x:c r="G603" s="18" t="n">
        <x:v>22582.49</x:v>
      </x:c>
      <x:c r="H603" t="str">
        <x:v>Client 46</x:v>
      </x:c>
      <x:c r="I603" s="16" t="n">
        <x:v>45424</x:v>
      </x:c>
      <x:c r="J603" t="n">
        <x:f>YEAR(B603)</x:f>
        <x:v>2024</x:v>
      </x:c>
      <x:c r="K603" s="20" t="n">
        <x:f>DATE(YEAR(B603),MONTH(B603),1)</x:f>
        <x:v>45323</x:v>
      </x:c>
      <x:c r="L603" s="18" t="n">
        <x:f>F603-G603</x:f>
        <x:v>0</x:v>
      </x:c>
      <x:c r="M603" t="str">
        <x:f>IF(L603&lt;=0,"Payée",IF(G603=0,"Impayée","Partielle"))</x:f>
        <x:v>Payée</x:v>
      </x:c>
      <x:c r="N603" t="n">
        <x:f>IF(I603="","",I603-B603)</x:f>
        <x:v>73</x:v>
      </x:c>
      <x:c r="O603" t="str">
        <x:f>IF(TRIM(C603)&lt;&gt;TRIM(H603),"Oui","Non")</x:f>
        <x:v>Oui</x:v>
      </x:c>
      <x:c r="P603" t="str">
        <x:f>IFERROR(INDEX('02_REFERENTIEL_CLIENTS'!$B$2:$B$51,MATCH(TRIM(C603),'02_REFERENTIEL_CLIENTS'!$A$2:$A$51,0)),"Non trouvé")</x:f>
        <x:v>Particuliers</x:v>
      </x:c>
      <x:c r="Q603" t="str">
        <x:f>IFERROR(INDEX('02_REFERENTIEL_CLIENTS'!$C$2:$C$51,MATCH(TRIM(C603),'02_REFERENTIEL_CLIENTS'!$A$2:$A$51,0)),"Non trouvé")</x:f>
        <x:v>International</x:v>
      </x:c>
      <x:c r="R603" t="str">
        <x:f>IF(OR(F603&lt;=0,G603&lt;0,G603&gt;F603,N603&lt;0,P603="Non trouvé"),"À vérifier","OK")</x:f>
        <x:v>OK</x:v>
      </x:c>
    </x:row>
    <x:row r="604">
      <x:c r="A604" t="str">
        <x:v>DV-2024-00603</x:v>
      </x:c>
      <x:c r="B604" s="16" t="n">
        <x:v>45513</x:v>
      </x:c>
      <x:c r="C604" t="str">
        <x:v>Client 05</x:v>
      </x:c>
      <x:c r="D604" t="str">
        <x:v>Logistique</x:v>
      </x:c>
      <x:c r="E604" t="str">
        <x:v>Pôle D</x:v>
      </x:c>
      <x:c r="F604" s="18" t="n">
        <x:v>4893.66</x:v>
      </x:c>
      <x:c r="G604" s="18" t="n">
        <x:v>4893.66</x:v>
      </x:c>
      <x:c r="H604" t="str">
        <x:v>Client 05</x:v>
      </x:c>
      <x:c r="I604" s="16" t="n">
        <x:v>45600</x:v>
      </x:c>
      <x:c r="J604" t="n">
        <x:f>YEAR(B604)</x:f>
        <x:v>2024</x:v>
      </x:c>
      <x:c r="K604" s="20" t="n">
        <x:f>DATE(YEAR(B604),MONTH(B604),1)</x:f>
        <x:v>45505</x:v>
      </x:c>
      <x:c r="L604" s="18" t="n">
        <x:f>F604-G604</x:f>
        <x:v>0</x:v>
      </x:c>
      <x:c r="M604" t="str">
        <x:f>IF(L604&lt;=0,"Payée",IF(G604=0,"Impayée","Partielle"))</x:f>
        <x:v>Payée</x:v>
      </x:c>
      <x:c r="N604" t="n">
        <x:f>IF(I604="","",I604-B604)</x:f>
        <x:v>87</x:v>
      </x:c>
      <x:c r="O604" t="str">
        <x:f>IF(TRIM(C604)&lt;&gt;TRIM(H604),"Oui","Non")</x:f>
        <x:v>Non</x:v>
      </x:c>
      <x:c r="P604" t="str">
        <x:f>IFERROR(INDEX('02_REFERENTIEL_CLIENTS'!$B$2:$B$51,MATCH(TRIM(C604),'02_REFERENTIEL_CLIENTS'!$A$2:$A$51,0)),"Non trouvé")</x:f>
        <x:v>PME</x:v>
      </x:c>
      <x:c r="Q604" t="str">
        <x:f>IFERROR(INDEX('02_REFERENTIEL_CLIENTS'!$C$2:$C$51,MATCH(TRIM(C604),'02_REFERENTIEL_CLIENTS'!$A$2:$A$51,0)),"Non trouvé")</x:f>
        <x:v>Europe</x:v>
      </x:c>
      <x:c r="R604" t="str">
        <x:f>IF(OR(F604&lt;=0,G604&lt;0,G604&gt;F604,N604&lt;0,P604="Non trouvé"),"À vérifier","OK")</x:f>
        <x:v>OK</x:v>
      </x:c>
    </x:row>
    <x:row r="605">
      <x:c r="A605" t="str">
        <x:v>DV-2024-00604</x:v>
      </x:c>
      <x:c r="B605" s="16" t="n">
        <x:v>45607</x:v>
      </x:c>
      <x:c r="C605" t="str">
        <x:v>Client 20</x:v>
      </x:c>
      <x:c r="D605" t="str">
        <x:v>Logistique</x:v>
      </x:c>
      <x:c r="E605" t="str">
        <x:v>Pôle A</x:v>
      </x:c>
      <x:c r="F605" s="18" t="n">
        <x:v>7233.66</x:v>
      </x:c>
      <x:c r="G605" s="18" t="n">
        <x:v>7233.66</x:v>
      </x:c>
      <x:c r="H605" t="str">
        <x:v>Client 20</x:v>
      </x:c>
      <x:c r="I605" s="16" t="n">
        <x:v>45622</x:v>
      </x:c>
      <x:c r="J605" t="n">
        <x:f>YEAR(B605)</x:f>
        <x:v>2024</x:v>
      </x:c>
      <x:c r="K605" s="20" t="n">
        <x:f>DATE(YEAR(B605),MONTH(B605),1)</x:f>
        <x:v>45597</x:v>
      </x:c>
      <x:c r="L605" s="18" t="n">
        <x:f>F605-G605</x:f>
        <x:v>0</x:v>
      </x:c>
      <x:c r="M605" t="str">
        <x:f>IF(L605&lt;=0,"Payée",IF(G605=0,"Impayée","Partielle"))</x:f>
        <x:v>Payée</x:v>
      </x:c>
      <x:c r="N605" t="n">
        <x:f>IF(I605="","",I605-B605)</x:f>
        <x:v>15</x:v>
      </x:c>
      <x:c r="O605" t="str">
        <x:f>IF(TRIM(C605)&lt;&gt;TRIM(H605),"Oui","Non")</x:f>
        <x:v>Non</x:v>
      </x:c>
      <x:c r="P605" t="str">
        <x:f>IFERROR(INDEX('02_REFERENTIEL_CLIENTS'!$B$2:$B$51,MATCH(TRIM(C605),'02_REFERENTIEL_CLIENTS'!$A$2:$A$51,0)),"Non trouvé")</x:f>
        <x:v>PME</x:v>
      </x:c>
      <x:c r="Q605" t="str">
        <x:f>IFERROR(INDEX('02_REFERENTIEL_CLIENTS'!$C$2:$C$51,MATCH(TRIM(C605),'02_REFERENTIEL_CLIENTS'!$A$2:$A$51,0)),"Non trouvé")</x:f>
        <x:v>Europe</x:v>
      </x:c>
      <x:c r="R605" t="str">
        <x:f>IF(OR(F605&lt;=0,G605&lt;0,G605&gt;F605,N605&lt;0,P605="Non trouvé"),"À vérifier","OK")</x:f>
        <x:v>OK</x:v>
      </x:c>
    </x:row>
    <x:row r="606">
      <x:c r="A606" t="str">
        <x:v>DV-2024-00605</x:v>
      </x:c>
      <x:c r="B606" s="16" t="n">
        <x:v>45603</x:v>
      </x:c>
      <x:c r="C606" t="str">
        <x:v>Client 16</x:v>
      </x:c>
      <x:c r="D606" t="str">
        <x:v>Fret maritime</x:v>
      </x:c>
      <x:c r="E606" t="str">
        <x:v>Pôle B</x:v>
      </x:c>
      <x:c r="F606" s="18" t="n">
        <x:v>8528.73</x:v>
      </x:c>
      <x:c r="G606" s="18" t="n">
        <x:v>8528.73</x:v>
      </x:c>
      <x:c r="H606" t="str">
        <x:v>Client 16</x:v>
      </x:c>
      <x:c r="I606" s="16" t="n">
        <x:v>45630</x:v>
      </x:c>
      <x:c r="J606" t="n">
        <x:f>YEAR(B606)</x:f>
        <x:v>2024</x:v>
      </x:c>
      <x:c r="K606" s="20" t="n">
        <x:f>DATE(YEAR(B606),MONTH(B606),1)</x:f>
        <x:v>45597</x:v>
      </x:c>
      <x:c r="L606" s="18" t="n">
        <x:f>F606-G606</x:f>
        <x:v>0</x:v>
      </x:c>
      <x:c r="M606" t="str">
        <x:f>IF(L606&lt;=0,"Payée",IF(G606=0,"Impayée","Partielle"))</x:f>
        <x:v>Payée</x:v>
      </x:c>
      <x:c r="N606" t="n">
        <x:f>IF(I606="","",I606-B606)</x:f>
        <x:v>27</x:v>
      </x:c>
      <x:c r="O606" t="str">
        <x:f>IF(TRIM(C606)&lt;&gt;TRIM(H606),"Oui","Non")</x:f>
        <x:v>Non</x:v>
      </x:c>
      <x:c r="P606" t="str">
        <x:f>IFERROR(INDEX('02_REFERENTIEL_CLIENTS'!$B$2:$B$51,MATCH(TRIM(C606),'02_REFERENTIEL_CLIENTS'!$A$2:$A$51,0)),"Non trouvé")</x:f>
        <x:v>Grands comptes</x:v>
      </x:c>
      <x:c r="Q606" t="str">
        <x:f>IFERROR(INDEX('02_REFERENTIEL_CLIENTS'!$C$2:$C$51,MATCH(TRIM(C606),'02_REFERENTIEL_CLIENTS'!$A$2:$A$51,0)),"Non trouvé")</x:f>
        <x:v>France</x:v>
      </x:c>
      <x:c r="R606" t="str">
        <x:f>IF(OR(F606&lt;=0,G606&lt;0,G606&gt;F606,N606&lt;0,P606="Non trouvé"),"À vérifier","OK")</x:f>
        <x:v>OK</x:v>
      </x:c>
    </x:row>
    <x:row r="607">
      <x:c r="A607" t="str">
        <x:v>DV-2026-00606</x:v>
      </x:c>
      <x:c r="B607" s="16" t="n">
        <x:v>46075</x:v>
      </x:c>
      <x:c r="C607" t="str">
        <x:v>Client 50</x:v>
      </x:c>
      <x:c r="D607" t="str">
        <x:v>Fret aérien</x:v>
      </x:c>
      <x:c r="E607" t="str">
        <x:v>Pôle D</x:v>
      </x:c>
      <x:c r="F607" s="18" t="n">
        <x:v>3970.25</x:v>
      </x:c>
      <x:c r="G607" s="18" t="n">
        <x:v>3970.25</x:v>
      </x:c>
      <x:c r="H607" t="str">
        <x:v>Client 50</x:v>
      </x:c>
      <x:c r="I607" s="16" t="n">
        <x:v>46091</x:v>
      </x:c>
      <x:c r="J607" t="n">
        <x:f>YEAR(B607)</x:f>
        <x:v>2026</x:v>
      </x:c>
      <x:c r="K607" s="20" t="n">
        <x:f>DATE(YEAR(B607),MONTH(B607),1)</x:f>
        <x:v>46054</x:v>
      </x:c>
      <x:c r="L607" s="18" t="n">
        <x:f>F607-G607</x:f>
        <x:v>0</x:v>
      </x:c>
      <x:c r="M607" t="str">
        <x:f>IF(L607&lt;=0,"Payée",IF(G607=0,"Impayée","Partielle"))</x:f>
        <x:v>Payée</x:v>
      </x:c>
      <x:c r="N607" t="n">
        <x:f>IF(I607="","",I607-B607)</x:f>
        <x:v>16</x:v>
      </x:c>
      <x:c r="O607" t="str">
        <x:f>IF(TRIM(C607)&lt;&gt;TRIM(H607),"Oui","Non")</x:f>
        <x:v>Non</x:v>
      </x:c>
      <x:c r="P607" t="str">
        <x:f>IFERROR(INDEX('02_REFERENTIEL_CLIENTS'!$B$2:$B$51,MATCH(TRIM(C607),'02_REFERENTIEL_CLIENTS'!$A$2:$A$51,0)),"Non trouvé")</x:f>
        <x:v>PME</x:v>
      </x:c>
      <x:c r="Q607" t="str">
        <x:f>IFERROR(INDEX('02_REFERENTIEL_CLIENTS'!$C$2:$C$51,MATCH(TRIM(C607),'02_REFERENTIEL_CLIENTS'!$A$2:$A$51,0)),"Non trouvé")</x:f>
        <x:v>Europe</x:v>
      </x:c>
      <x:c r="R607" t="str">
        <x:f>IF(OR(F607&lt;=0,G607&lt;0,G607&gt;F607,N607&lt;0,P607="Non trouvé"),"À vérifier","OK")</x:f>
        <x:v>OK</x:v>
      </x:c>
    </x:row>
    <x:row r="608">
      <x:c r="A608" t="str">
        <x:v>DV-2026-00607</x:v>
      </x:c>
      <x:c r="B608" s="16" t="n">
        <x:v>46218</x:v>
      </x:c>
      <x:c r="C608" t="str">
        <x:v>Client 27</x:v>
      </x:c>
      <x:c r="D608" t="str">
        <x:v>Fret maritime</x:v>
      </x:c>
      <x:c r="E608" t="str">
        <x:v>Pôle A</x:v>
      </x:c>
      <x:c r="F608" s="18" t="n">
        <x:v>16645.63</x:v>
      </x:c>
      <x:c r="G608" s="18" t="n">
        <x:v>16645.63</x:v>
      </x:c>
      <x:c r="H608" t="str">
        <x:v>Client 07</x:v>
      </x:c>
      <x:c r="I608" s="16" t="n">
        <x:v>46280</x:v>
      </x:c>
      <x:c r="J608" t="n">
        <x:f>YEAR(B608)</x:f>
        <x:v>2026</x:v>
      </x:c>
      <x:c r="K608" s="20" t="n">
        <x:f>DATE(YEAR(B608),MONTH(B608),1)</x:f>
        <x:v>46204</x:v>
      </x:c>
      <x:c r="L608" s="18" t="n">
        <x:f>F608-G608</x:f>
        <x:v>0</x:v>
      </x:c>
      <x:c r="M608" t="str">
        <x:f>IF(L608&lt;=0,"Payée",IF(G608=0,"Impayée","Partielle"))</x:f>
        <x:v>Payée</x:v>
      </x:c>
      <x:c r="N608" t="n">
        <x:f>IF(I608="","",I608-B608)</x:f>
        <x:v>62</x:v>
      </x:c>
      <x:c r="O608" t="str">
        <x:f>IF(TRIM(C608)&lt;&gt;TRIM(H608),"Oui","Non")</x:f>
        <x:v>Oui</x:v>
      </x:c>
      <x:c r="P608" t="str">
        <x:f>IFERROR(INDEX('02_REFERENTIEL_CLIENTS'!$B$2:$B$51,MATCH(TRIM(C608),'02_REFERENTIEL_CLIENTS'!$A$2:$A$51,0)),"Non trouvé")</x:f>
        <x:v>Particuliers</x:v>
      </x:c>
      <x:c r="Q608" t="str">
        <x:f>IFERROR(INDEX('02_REFERENTIEL_CLIENTS'!$C$2:$C$51,MATCH(TRIM(C608),'02_REFERENTIEL_CLIENTS'!$A$2:$A$51,0)),"Non trouvé")</x:f>
        <x:v>International</x:v>
      </x:c>
      <x:c r="R608" t="str">
        <x:f>IF(OR(F608&lt;=0,G608&lt;0,G608&gt;F608,N608&lt;0,P608="Non trouvé"),"À vérifier","OK")</x:f>
        <x:v>OK</x:v>
      </x:c>
    </x:row>
    <x:row r="609">
      <x:c r="A609" t="str">
        <x:v>DV-2024-00608</x:v>
      </x:c>
      <x:c r="B609" s="16" t="n">
        <x:v>45444</x:v>
      </x:c>
      <x:c r="C609" t="str">
        <x:v>Client 17</x:v>
      </x:c>
      <x:c r="D609" t="str">
        <x:v>Logistique</x:v>
      </x:c>
      <x:c r="E609" t="str">
        <x:v>Pôle B</x:v>
      </x:c>
      <x:c r="F609" s="18" t="n">
        <x:v>6717.1</x:v>
      </x:c>
      <x:c r="G609" s="18" t="n">
        <x:v>0</x:v>
      </x:c>
      <x:c r="H609" t="str">
        <x:v>Client 17</x:v>
      </x:c>
      <x:c r="I609" s="16"/>
      <x:c r="J609" t="n">
        <x:f>YEAR(B609)</x:f>
        <x:v>2024</x:v>
      </x:c>
      <x:c r="K609" s="20" t="n">
        <x:f>DATE(YEAR(B609),MONTH(B609),1)</x:f>
        <x:v>45444</x:v>
      </x:c>
      <x:c r="L609" s="18" t="n">
        <x:f>F609-G609</x:f>
        <x:v>6717.1</x:v>
      </x:c>
      <x:c r="M609" t="str">
        <x:f>IF(L609&lt;=0,"Payée",IF(G609=0,"Impayée","Partielle"))</x:f>
        <x:v>Impayée</x:v>
      </x:c>
      <x:c r="N609" t="str">
        <x:f>IF(I609="","",I609-B609)</x:f>
      </x:c>
      <x:c r="O609" t="str">
        <x:f>IF(TRIM(C609)&lt;&gt;TRIM(H609),"Oui","Non")</x:f>
        <x:v>Non</x:v>
      </x:c>
      <x:c r="P609" t="str">
        <x:f>IFERROR(INDEX('02_REFERENTIEL_CLIENTS'!$B$2:$B$51,MATCH(TRIM(C609),'02_REFERENTIEL_CLIENTS'!$A$2:$A$51,0)),"Non trouvé")</x:f>
        <x:v>PME</x:v>
      </x:c>
      <x:c r="Q609" t="str">
        <x:f>IFERROR(INDEX('02_REFERENTIEL_CLIENTS'!$C$2:$C$51,MATCH(TRIM(C609),'02_REFERENTIEL_CLIENTS'!$A$2:$A$51,0)),"Non trouvé")</x:f>
        <x:v>Europe</x:v>
      </x:c>
      <x:c r="R609" t="str">
        <x:f>IF(OR(F609&lt;=0,G609&lt;0,G609&gt;F609,N609&lt;0,P609="Non trouvé"),"À vérifier","OK")</x:f>
        <x:v>OK</x:v>
      </x:c>
    </x:row>
    <x:row r="610">
      <x:c r="A610" t="str">
        <x:v>DV-2024-00609</x:v>
      </x:c>
      <x:c r="B610" s="16" t="n">
        <x:v>45564</x:v>
      </x:c>
      <x:c r="C610" t="str">
        <x:v>Client 27</x:v>
      </x:c>
      <x:c r="D610" t="str">
        <x:v>Douane</x:v>
      </x:c>
      <x:c r="E610" t="str">
        <x:v>Pôle B</x:v>
      </x:c>
      <x:c r="F610" s="18" t="n">
        <x:v>15045.16</x:v>
      </x:c>
      <x:c r="G610" s="18" t="n">
        <x:v>15045.16</x:v>
      </x:c>
      <x:c r="H610" t="str">
        <x:v>Client 27</x:v>
      </x:c>
      <x:c r="I610" s="16" t="n">
        <x:v>45595</x:v>
      </x:c>
      <x:c r="J610" t="n">
        <x:f>YEAR(B610)</x:f>
        <x:v>2024</x:v>
      </x:c>
      <x:c r="K610" s="20" t="n">
        <x:f>DATE(YEAR(B610),MONTH(B610),1)</x:f>
        <x:v>45536</x:v>
      </x:c>
      <x:c r="L610" s="18" t="n">
        <x:f>F610-G610</x:f>
        <x:v>0</x:v>
      </x:c>
      <x:c r="M610" t="str">
        <x:f>IF(L610&lt;=0,"Payée",IF(G610=0,"Impayée","Partielle"))</x:f>
        <x:v>Payée</x:v>
      </x:c>
      <x:c r="N610" t="n">
        <x:f>IF(I610="","",I610-B610)</x:f>
        <x:v>31</x:v>
      </x:c>
      <x:c r="O610" t="str">
        <x:f>IF(TRIM(C610)&lt;&gt;TRIM(H610),"Oui","Non")</x:f>
        <x:v>Non</x:v>
      </x:c>
      <x:c r="P610" t="str">
        <x:f>IFERROR(INDEX('02_REFERENTIEL_CLIENTS'!$B$2:$B$51,MATCH(TRIM(C610),'02_REFERENTIEL_CLIENTS'!$A$2:$A$51,0)),"Non trouvé")</x:f>
        <x:v>Particuliers</x:v>
      </x:c>
      <x:c r="Q610" t="str">
        <x:f>IFERROR(INDEX('02_REFERENTIEL_CLIENTS'!$C$2:$C$51,MATCH(TRIM(C610),'02_REFERENTIEL_CLIENTS'!$A$2:$A$51,0)),"Non trouvé")</x:f>
        <x:v>International</x:v>
      </x:c>
      <x:c r="R610" t="str">
        <x:f>IF(OR(F610&lt;=0,G610&lt;0,G610&gt;F610,N610&lt;0,P610="Non trouvé"),"À vérifier","OK")</x:f>
        <x:v>OK</x:v>
      </x:c>
    </x:row>
    <x:row r="611">
      <x:c r="A611" t="str">
        <x:v>DV-2026-00610</x:v>
      </x:c>
      <x:c r="B611" s="16" t="n">
        <x:v>46261</x:v>
      </x:c>
      <x:c r="C611" t="str">
        <x:v>Client 45</x:v>
      </x:c>
      <x:c r="D611" t="str">
        <x:v>Express</x:v>
      </x:c>
      <x:c r="E611" t="str">
        <x:v>Pôle E</x:v>
      </x:c>
      <x:c r="F611" s="18" t="n">
        <x:v>13875.28</x:v>
      </x:c>
      <x:c r="G611" s="18" t="n">
        <x:v>13875.28</x:v>
      </x:c>
      <x:c r="H611" t="str">
        <x:v>Client 45</x:v>
      </x:c>
      <x:c r="I611" s="16" t="n">
        <x:v>46322</x:v>
      </x:c>
      <x:c r="J611" t="n">
        <x:f>YEAR(B611)</x:f>
        <x:v>2026</x:v>
      </x:c>
      <x:c r="K611" s="20" t="n">
        <x:f>DATE(YEAR(B611),MONTH(B611),1)</x:f>
        <x:v>46235</x:v>
      </x:c>
      <x:c r="L611" s="18" t="n">
        <x:f>F611-G611</x:f>
        <x:v>0</x:v>
      </x:c>
      <x:c r="M611" t="str">
        <x:f>IF(L611&lt;=0,"Payée",IF(G611=0,"Impayée","Partielle"))</x:f>
        <x:v>Payée</x:v>
      </x:c>
      <x:c r="N611" t="n">
        <x:f>IF(I611="","",I611-B611)</x:f>
        <x:v>61</x:v>
      </x:c>
      <x:c r="O611" t="str">
        <x:f>IF(TRIM(C611)&lt;&gt;TRIM(H611),"Oui","Non")</x:f>
        <x:v>Non</x:v>
      </x:c>
      <x:c r="P611" t="str">
        <x:f>IFERROR(INDEX('02_REFERENTIEL_CLIENTS'!$B$2:$B$51,MATCH(TRIM(C611),'02_REFERENTIEL_CLIENTS'!$A$2:$A$51,0)),"Non trouvé")</x:f>
        <x:v>Particuliers</x:v>
      </x:c>
      <x:c r="Q611" t="str">
        <x:f>IFERROR(INDEX('02_REFERENTIEL_CLIENTS'!$C$2:$C$51,MATCH(TRIM(C611),'02_REFERENTIEL_CLIENTS'!$A$2:$A$51,0)),"Non trouvé")</x:f>
        <x:v>International</x:v>
      </x:c>
      <x:c r="R611" t="str">
        <x:f>IF(OR(F611&lt;=0,G611&lt;0,G611&gt;F611,N611&lt;0,P611="Non trouvé"),"À vérifier","OK")</x:f>
        <x:v>OK</x:v>
      </x:c>
    </x:row>
    <x:row r="612">
      <x:c r="A612" t="str">
        <x:v>DV-2026-00611</x:v>
      </x:c>
      <x:c r="B612" s="16" t="n">
        <x:v>46274</x:v>
      </x:c>
      <x:c r="C612" t="str">
        <x:v>Client 11</x:v>
      </x:c>
      <x:c r="D612" t="str">
        <x:v>Fret maritime</x:v>
      </x:c>
      <x:c r="E612" t="str">
        <x:v>Pôle D</x:v>
      </x:c>
      <x:c r="F612" s="18" t="n">
        <x:v>19142.2</x:v>
      </x:c>
      <x:c r="G612" s="18" t="n">
        <x:v>19142.2</x:v>
      </x:c>
      <x:c r="H612" t="str">
        <x:v>Client 11</x:v>
      </x:c>
      <x:c r="I612" s="16" t="n">
        <x:v>46327</x:v>
      </x:c>
      <x:c r="J612" t="n">
        <x:f>YEAR(B612)</x:f>
        <x:v>2026</x:v>
      </x:c>
      <x:c r="K612" s="20" t="n">
        <x:f>DATE(YEAR(B612),MONTH(B612),1)</x:f>
        <x:v>46266</x:v>
      </x:c>
      <x:c r="L612" s="18" t="n">
        <x:f>F612-G612</x:f>
        <x:v>0</x:v>
      </x:c>
      <x:c r="M612" t="str">
        <x:f>IF(L612&lt;=0,"Payée",IF(G612=0,"Impayée","Partielle"))</x:f>
        <x:v>Payée</x:v>
      </x:c>
      <x:c r="N612" t="n">
        <x:f>IF(I612="","",I612-B612)</x:f>
        <x:v>53</x:v>
      </x:c>
      <x:c r="O612" t="str">
        <x:f>IF(TRIM(C612)&lt;&gt;TRIM(H612),"Oui","Non")</x:f>
        <x:v>Non</x:v>
      </x:c>
      <x:c r="P612" t="str">
        <x:f>IFERROR(INDEX('02_REFERENTIEL_CLIENTS'!$B$2:$B$51,MATCH(TRIM(C612),'02_REFERENTIEL_CLIENTS'!$A$2:$A$51,0)),"Non trouvé")</x:f>
        <x:v>PME</x:v>
      </x:c>
      <x:c r="Q612" t="str">
        <x:f>IFERROR(INDEX('02_REFERENTIEL_CLIENTS'!$C$2:$C$51,MATCH(TRIM(C612),'02_REFERENTIEL_CLIENTS'!$A$2:$A$51,0)),"Non trouvé")</x:f>
        <x:v>Europe</x:v>
      </x:c>
      <x:c r="R612" t="str">
        <x:f>IF(OR(F612&lt;=0,G612&lt;0,G612&gt;F612,N612&lt;0,P612="Non trouvé"),"À vérifier","OK")</x:f>
        <x:v>OK</x:v>
      </x:c>
    </x:row>
    <x:row r="613">
      <x:c r="A613" t="str">
        <x:v>DV-2026-00612</x:v>
      </x:c>
      <x:c r="B613" s="16" t="n">
        <x:v>46093</x:v>
      </x:c>
      <x:c r="C613" t="str">
        <x:v>Client 45</x:v>
      </x:c>
      <x:c r="D613" t="str">
        <x:v>Express</x:v>
      </x:c>
      <x:c r="E613" t="str">
        <x:v>Pôle D</x:v>
      </x:c>
      <x:c r="F613" s="18" t="n">
        <x:v>3373.78</x:v>
      </x:c>
      <x:c r="G613" s="18" t="n">
        <x:v>3373.78</x:v>
      </x:c>
      <x:c r="H613" t="str">
        <x:v>Client 45</x:v>
      </x:c>
      <x:c r="I613" s="16" t="n">
        <x:v>46149</x:v>
      </x:c>
      <x:c r="J613" t="n">
        <x:f>YEAR(B613)</x:f>
        <x:v>2026</x:v>
      </x:c>
      <x:c r="K613" s="20" t="n">
        <x:f>DATE(YEAR(B613),MONTH(B613),1)</x:f>
        <x:v>46082</x:v>
      </x:c>
      <x:c r="L613" s="18" t="n">
        <x:f>F613-G613</x:f>
        <x:v>0</x:v>
      </x:c>
      <x:c r="M613" t="str">
        <x:f>IF(L613&lt;=0,"Payée",IF(G613=0,"Impayée","Partielle"))</x:f>
        <x:v>Payée</x:v>
      </x:c>
      <x:c r="N613" t="n">
        <x:f>IF(I613="","",I613-B613)</x:f>
        <x:v>56</x:v>
      </x:c>
      <x:c r="O613" t="str">
        <x:f>IF(TRIM(C613)&lt;&gt;TRIM(H613),"Oui","Non")</x:f>
        <x:v>Non</x:v>
      </x:c>
      <x:c r="P613" t="str">
        <x:f>IFERROR(INDEX('02_REFERENTIEL_CLIENTS'!$B$2:$B$51,MATCH(TRIM(C613),'02_REFERENTIEL_CLIENTS'!$A$2:$A$51,0)),"Non trouvé")</x:f>
        <x:v>Particuliers</x:v>
      </x:c>
      <x:c r="Q613" t="str">
        <x:f>IFERROR(INDEX('02_REFERENTIEL_CLIENTS'!$C$2:$C$51,MATCH(TRIM(C613),'02_REFERENTIEL_CLIENTS'!$A$2:$A$51,0)),"Non trouvé")</x:f>
        <x:v>International</x:v>
      </x:c>
      <x:c r="R613" t="str">
        <x:f>IF(OR(F613&lt;=0,G613&lt;0,G613&gt;F613,N613&lt;0,P613="Non trouvé"),"À vérifier","OK")</x:f>
        <x:v>OK</x:v>
      </x:c>
    </x:row>
    <x:row r="614">
      <x:c r="A614" t="str">
        <x:v>DV-2024-00613</x:v>
      </x:c>
      <x:c r="B614" s="16" t="n">
        <x:v>45454</x:v>
      </x:c>
      <x:c r="C614" t="str">
        <x:v>Client 20</x:v>
      </x:c>
      <x:c r="D614" t="str">
        <x:v>Logistique</x:v>
      </x:c>
      <x:c r="E614" t="str">
        <x:v>Pôle C</x:v>
      </x:c>
      <x:c r="F614" s="18" t="n">
        <x:v>10272.44</x:v>
      </x:c>
      <x:c r="G614" s="18" t="n">
        <x:v>10272.44</x:v>
      </x:c>
      <x:c r="H614" t="str">
        <x:v>Client 20</x:v>
      </x:c>
      <x:c r="I614" s="16" t="n">
        <x:v>45530</x:v>
      </x:c>
      <x:c r="J614" t="n">
        <x:f>YEAR(B614)</x:f>
        <x:v>2024</x:v>
      </x:c>
      <x:c r="K614" s="20" t="n">
        <x:f>DATE(YEAR(B614),MONTH(B614),1)</x:f>
        <x:v>45444</x:v>
      </x:c>
      <x:c r="L614" s="18" t="n">
        <x:f>F614-G614</x:f>
        <x:v>0</x:v>
      </x:c>
      <x:c r="M614" t="str">
        <x:f>IF(L614&lt;=0,"Payée",IF(G614=0,"Impayée","Partielle"))</x:f>
        <x:v>Payée</x:v>
      </x:c>
      <x:c r="N614" t="n">
        <x:f>IF(I614="","",I614-B614)</x:f>
        <x:v>76</x:v>
      </x:c>
      <x:c r="O614" t="str">
        <x:f>IF(TRIM(C614)&lt;&gt;TRIM(H614),"Oui","Non")</x:f>
        <x:v>Non</x:v>
      </x:c>
      <x:c r="P614" t="str">
        <x:f>IFERROR(INDEX('02_REFERENTIEL_CLIENTS'!$B$2:$B$51,MATCH(TRIM(C614),'02_REFERENTIEL_CLIENTS'!$A$2:$A$51,0)),"Non trouvé")</x:f>
        <x:v>PME</x:v>
      </x:c>
      <x:c r="Q614" t="str">
        <x:f>IFERROR(INDEX('02_REFERENTIEL_CLIENTS'!$C$2:$C$51,MATCH(TRIM(C614),'02_REFERENTIEL_CLIENTS'!$A$2:$A$51,0)),"Non trouvé")</x:f>
        <x:v>Europe</x:v>
      </x:c>
      <x:c r="R614" t="str">
        <x:f>IF(OR(F614&lt;=0,G614&lt;0,G614&gt;F614,N614&lt;0,P614="Non trouvé"),"À vérifier","OK")</x:f>
        <x:v>OK</x:v>
      </x:c>
    </x:row>
    <x:row r="615">
      <x:c r="A615" t="str">
        <x:v>DV-2024-00614</x:v>
      </x:c>
      <x:c r="B615" s="16" t="n">
        <x:v>45605</x:v>
      </x:c>
      <x:c r="C615" t="str">
        <x:v>Client 33</x:v>
      </x:c>
      <x:c r="D615" t="str">
        <x:v>Fret maritime</x:v>
      </x:c>
      <x:c r="E615" t="str">
        <x:v>Pôle C</x:v>
      </x:c>
      <x:c r="F615" s="18" t="n">
        <x:v>13122.05</x:v>
      </x:c>
      <x:c r="G615" s="18" t="n">
        <x:v>13122.05</x:v>
      </x:c>
      <x:c r="H615" t="str">
        <x:v>Client 33</x:v>
      </x:c>
      <x:c r="I615" s="16" t="n">
        <x:v>45682</x:v>
      </x:c>
      <x:c r="J615" t="n">
        <x:f>YEAR(B615)</x:f>
        <x:v>2024</x:v>
      </x:c>
      <x:c r="K615" s="20" t="n">
        <x:f>DATE(YEAR(B615),MONTH(B615),1)</x:f>
        <x:v>45597</x:v>
      </x:c>
      <x:c r="L615" s="18" t="n">
        <x:f>F615-G615</x:f>
        <x:v>0</x:v>
      </x:c>
      <x:c r="M615" t="str">
        <x:f>IF(L615&lt;=0,"Payée",IF(G615=0,"Impayée","Partielle"))</x:f>
        <x:v>Payée</x:v>
      </x:c>
      <x:c r="N615" t="n">
        <x:f>IF(I615="","",I615-B615)</x:f>
        <x:v>77</x:v>
      </x:c>
      <x:c r="O615" t="str">
        <x:f>IF(TRIM(C615)&lt;&gt;TRIM(H615),"Oui","Non")</x:f>
        <x:v>Non</x:v>
      </x:c>
      <x:c r="P615" t="str">
        <x:f>IFERROR(INDEX('02_REFERENTIEL_CLIENTS'!$B$2:$B$51,MATCH(TRIM(C615),'02_REFERENTIEL_CLIENTS'!$A$2:$A$51,0)),"Non trouvé")</x:f>
        <x:v>Particuliers</x:v>
      </x:c>
      <x:c r="Q615" t="str">
        <x:f>IFERROR(INDEX('02_REFERENTIEL_CLIENTS'!$C$2:$C$51,MATCH(TRIM(C615),'02_REFERENTIEL_CLIENTS'!$A$2:$A$51,0)),"Non trouvé")</x:f>
        <x:v>International</x:v>
      </x:c>
      <x:c r="R615" t="str">
        <x:f>IF(OR(F615&lt;=0,G615&lt;0,G615&gt;F615,N615&lt;0,P615="Non trouvé"),"À vérifier","OK")</x:f>
        <x:v>OK</x:v>
      </x:c>
    </x:row>
    <x:row r="616">
      <x:c r="A616" t="str">
        <x:v>DV-2026-00615</x:v>
      </x:c>
      <x:c r="B616" s="16" t="n">
        <x:v>46146</x:v>
      </x:c>
      <x:c r="C616" t="str">
        <x:v>Client 31</x:v>
      </x:c>
      <x:c r="D616" t="str">
        <x:v>Fret aérien</x:v>
      </x:c>
      <x:c r="E616" t="str">
        <x:v>Pôle B</x:v>
      </x:c>
      <x:c r="F616" s="18" t="n">
        <x:v>21287.27</x:v>
      </x:c>
      <x:c r="G616" s="18" t="n">
        <x:v>16082.88</x:v>
      </x:c>
      <x:c r="H616" t="str">
        <x:v>Client 31</x:v>
      </x:c>
      <x:c r="I616" s="16" t="n">
        <x:v>46229</x:v>
      </x:c>
      <x:c r="J616" t="n">
        <x:f>YEAR(B616)</x:f>
        <x:v>2026</x:v>
      </x:c>
      <x:c r="K616" s="20" t="n">
        <x:f>DATE(YEAR(B616),MONTH(B616),1)</x:f>
        <x:v>46143</x:v>
      </x:c>
      <x:c r="L616" s="18" t="n">
        <x:f>F616-G616</x:f>
        <x:v>5204.390000000001</x:v>
      </x:c>
      <x:c r="M616" t="str">
        <x:f>IF(L616&lt;=0,"Payée",IF(G616=0,"Impayée","Partielle"))</x:f>
        <x:v>Partielle</x:v>
      </x:c>
      <x:c r="N616" t="n">
        <x:f>IF(I616="","",I616-B616)</x:f>
        <x:v>83</x:v>
      </x:c>
      <x:c r="O616" t="str">
        <x:f>IF(TRIM(C616)&lt;&gt;TRIM(H616),"Oui","Non")</x:f>
        <x:v>Non</x:v>
      </x:c>
      <x:c r="P616" t="str">
        <x:f>IFERROR(INDEX('02_REFERENTIEL_CLIENTS'!$B$2:$B$51,MATCH(TRIM(C616),'02_REFERENTIEL_CLIENTS'!$A$2:$A$51,0)),"Non trouvé")</x:f>
        <x:v>Grands comptes</x:v>
      </x:c>
      <x:c r="Q616" t="str">
        <x:f>IFERROR(INDEX('02_REFERENTIEL_CLIENTS'!$C$2:$C$51,MATCH(TRIM(C616),'02_REFERENTIEL_CLIENTS'!$A$2:$A$51,0)),"Non trouvé")</x:f>
        <x:v>France</x:v>
      </x:c>
      <x:c r="R616" t="str">
        <x:f>IF(OR(F616&lt;=0,G616&lt;0,G616&gt;F616,N616&lt;0,P616="Non trouvé"),"À vérifier","OK")</x:f>
        <x:v>OK</x:v>
      </x:c>
    </x:row>
    <x:row r="617">
      <x:c r="A617" t="str">
        <x:v>DV-2024-00616</x:v>
      </x:c>
      <x:c r="B617" s="16" t="n">
        <x:v>45481</x:v>
      </x:c>
      <x:c r="C617" t="str">
        <x:v>Client 22</x:v>
      </x:c>
      <x:c r="D617" t="str">
        <x:v>Logistique</x:v>
      </x:c>
      <x:c r="E617" t="str">
        <x:v>Pôle E</x:v>
      </x:c>
      <x:c r="F617" s="18" t="n">
        <x:v>523.42</x:v>
      </x:c>
      <x:c r="G617" s="18" t="n">
        <x:v>523.42</x:v>
      </x:c>
      <x:c r="H617" t="str">
        <x:v>Client 22</x:v>
      </x:c>
      <x:c r="I617" s="16" t="n">
        <x:v>45558</x:v>
      </x:c>
      <x:c r="J617" t="n">
        <x:f>YEAR(B617)</x:f>
        <x:v>2024</x:v>
      </x:c>
      <x:c r="K617" s="20" t="n">
        <x:f>DATE(YEAR(B617),MONTH(B617),1)</x:f>
        <x:v>45474</x:v>
      </x:c>
      <x:c r="L617" s="18" t="n">
        <x:f>F617-G617</x:f>
        <x:v>0</x:v>
      </x:c>
      <x:c r="M617" t="str">
        <x:f>IF(L617&lt;=0,"Payée",IF(G617=0,"Impayée","Partielle"))</x:f>
        <x:v>Payée</x:v>
      </x:c>
      <x:c r="N617" t="n">
        <x:f>IF(I617="","",I617-B617)</x:f>
        <x:v>77</x:v>
      </x:c>
      <x:c r="O617" t="str">
        <x:f>IF(TRIM(C617)&lt;&gt;TRIM(H617),"Oui","Non")</x:f>
        <x:v>Non</x:v>
      </x:c>
      <x:c r="P617" t="str">
        <x:f>IFERROR(INDEX('02_REFERENTIEL_CLIENTS'!$B$2:$B$51,MATCH(TRIM(C617),'02_REFERENTIEL_CLIENTS'!$A$2:$A$51,0)),"Non trouvé")</x:f>
        <x:v>Grands comptes</x:v>
      </x:c>
      <x:c r="Q617" t="str">
        <x:f>IFERROR(INDEX('02_REFERENTIEL_CLIENTS'!$C$2:$C$51,MATCH(TRIM(C617),'02_REFERENTIEL_CLIENTS'!$A$2:$A$51,0)),"Non trouvé")</x:f>
        <x:v>France</x:v>
      </x:c>
      <x:c r="R617" t="str">
        <x:f>IF(OR(F617&lt;=0,G617&lt;0,G617&gt;F617,N617&lt;0,P617="Non trouvé"),"À vérifier","OK")</x:f>
        <x:v>OK</x:v>
      </x:c>
    </x:row>
    <x:row r="618">
      <x:c r="A618" t="str">
        <x:v>DV-2024-00617</x:v>
      </x:c>
      <x:c r="B618" s="16" t="n">
        <x:v>45408</x:v>
      </x:c>
      <x:c r="C618" t="str">
        <x:v>Client 26</x:v>
      </x:c>
      <x:c r="D618" t="str">
        <x:v>Douane</x:v>
      </x:c>
      <x:c r="E618" t="str">
        <x:v>Pôle E</x:v>
      </x:c>
      <x:c r="F618" s="18" t="n">
        <x:v>6021.28</x:v>
      </x:c>
      <x:c r="G618" s="18" t="n">
        <x:v>6021.28</x:v>
      </x:c>
      <x:c r="H618" t="str">
        <x:v>Client 46</x:v>
      </x:c>
      <x:c r="I618" s="16" t="n">
        <x:v>45439</x:v>
      </x:c>
      <x:c r="J618" t="n">
        <x:f>YEAR(B618)</x:f>
        <x:v>2024</x:v>
      </x:c>
      <x:c r="K618" s="20" t="n">
        <x:f>DATE(YEAR(B618),MONTH(B618),1)</x:f>
        <x:v>45383</x:v>
      </x:c>
      <x:c r="L618" s="18" t="n">
        <x:f>F618-G618</x:f>
        <x:v>0</x:v>
      </x:c>
      <x:c r="M618" t="str">
        <x:f>IF(L618&lt;=0,"Payée",IF(G618=0,"Impayée","Partielle"))</x:f>
        <x:v>Payée</x:v>
      </x:c>
      <x:c r="N618" t="n">
        <x:f>IF(I618="","",I618-B618)</x:f>
        <x:v>31</x:v>
      </x:c>
      <x:c r="O618" t="str">
        <x:f>IF(TRIM(C618)&lt;&gt;TRIM(H618),"Oui","Non")</x:f>
        <x:v>Oui</x:v>
      </x:c>
      <x:c r="P618" t="str">
        <x:f>IFERROR(INDEX('02_REFERENTIEL_CLIENTS'!$B$2:$B$51,MATCH(TRIM(C618),'02_REFERENTIEL_CLIENTS'!$A$2:$A$51,0)),"Non trouvé")</x:f>
        <x:v>PME</x:v>
      </x:c>
      <x:c r="Q618" t="str">
        <x:f>IFERROR(INDEX('02_REFERENTIEL_CLIENTS'!$C$2:$C$51,MATCH(TRIM(C618),'02_REFERENTIEL_CLIENTS'!$A$2:$A$51,0)),"Non trouvé")</x:f>
        <x:v>Europe</x:v>
      </x:c>
      <x:c r="R618" t="str">
        <x:f>IF(OR(F618&lt;=0,G618&lt;0,G618&gt;F618,N618&lt;0,P618="Non trouvé"),"À vérifier","OK")</x:f>
        <x:v>OK</x:v>
      </x:c>
    </x:row>
    <x:row r="619">
      <x:c r="A619" t="str">
        <x:v>DV-2024-00618</x:v>
      </x:c>
      <x:c r="B619" s="16" t="n">
        <x:v>45297</x:v>
      </x:c>
      <x:c r="C619" t="str">
        <x:v>Client 31</x:v>
      </x:c>
      <x:c r="D619" t="str">
        <x:v>Logistique</x:v>
      </x:c>
      <x:c r="E619" t="str">
        <x:v>Pôle E</x:v>
      </x:c>
      <x:c r="F619" s="18" t="n">
        <x:v>3547.96</x:v>
      </x:c>
      <x:c r="G619" s="18" t="n">
        <x:v>645.16</x:v>
      </x:c>
      <x:c r="H619" t="str">
        <x:v>Client 31</x:v>
      </x:c>
      <x:c r="I619" s="16" t="n">
        <x:v>45331</x:v>
      </x:c>
      <x:c r="J619" t="n">
        <x:f>YEAR(B619)</x:f>
        <x:v>2024</x:v>
      </x:c>
      <x:c r="K619" s="20" t="n">
        <x:f>DATE(YEAR(B619),MONTH(B619),1)</x:f>
        <x:v>45292</x:v>
      </x:c>
      <x:c r="L619" s="18" t="n">
        <x:f>F619-G619</x:f>
        <x:v>2902.8</x:v>
      </x:c>
      <x:c r="M619" t="str">
        <x:f>IF(L619&lt;=0,"Payée",IF(G619=0,"Impayée","Partielle"))</x:f>
        <x:v>Partielle</x:v>
      </x:c>
      <x:c r="N619" t="n">
        <x:f>IF(I619="","",I619-B619)</x:f>
        <x:v>34</x:v>
      </x:c>
      <x:c r="O619" t="str">
        <x:f>IF(TRIM(C619)&lt;&gt;TRIM(H619),"Oui","Non")</x:f>
        <x:v>Non</x:v>
      </x:c>
      <x:c r="P619" t="str">
        <x:f>IFERROR(INDEX('02_REFERENTIEL_CLIENTS'!$B$2:$B$51,MATCH(TRIM(C619),'02_REFERENTIEL_CLIENTS'!$A$2:$A$51,0)),"Non trouvé")</x:f>
        <x:v>Grands comptes</x:v>
      </x:c>
      <x:c r="Q619" t="str">
        <x:f>IFERROR(INDEX('02_REFERENTIEL_CLIENTS'!$C$2:$C$51,MATCH(TRIM(C619),'02_REFERENTIEL_CLIENTS'!$A$2:$A$51,0)),"Non trouvé")</x:f>
        <x:v>France</x:v>
      </x:c>
      <x:c r="R619" t="str">
        <x:f>IF(OR(F619&lt;=0,G619&lt;0,G619&gt;F619,N619&lt;0,P619="Non trouvé"),"À vérifier","OK")</x:f>
        <x:v>OK</x:v>
      </x:c>
    </x:row>
    <x:row r="620">
      <x:c r="A620" t="str">
        <x:v>DV-2025-00619</x:v>
      </x:c>
      <x:c r="B620" s="16" t="n">
        <x:v>45835</x:v>
      </x:c>
      <x:c r="C620" t="str">
        <x:v>Client 05</x:v>
      </x:c>
      <x:c r="D620" t="str">
        <x:v>Fret maritime</x:v>
      </x:c>
      <x:c r="E620" t="str">
        <x:v>Pôle A</x:v>
      </x:c>
      <x:c r="F620" s="18" t="n">
        <x:v>5731.17</x:v>
      </x:c>
      <x:c r="G620" s="18" t="n">
        <x:v>0</x:v>
      </x:c>
      <x:c r="H620" t="str">
        <x:v>Client 05</x:v>
      </x:c>
      <x:c r="I620" s="16"/>
      <x:c r="J620" t="n">
        <x:f>YEAR(B620)</x:f>
        <x:v>2025</x:v>
      </x:c>
      <x:c r="K620" s="20" t="n">
        <x:f>DATE(YEAR(B620),MONTH(B620),1)</x:f>
        <x:v>45809</x:v>
      </x:c>
      <x:c r="L620" s="18" t="n">
        <x:f>F620-G620</x:f>
        <x:v>5731.17</x:v>
      </x:c>
      <x:c r="M620" t="str">
        <x:f>IF(L620&lt;=0,"Payée",IF(G620=0,"Impayée","Partielle"))</x:f>
        <x:v>Impayée</x:v>
      </x:c>
      <x:c r="N620" t="str">
        <x:f>IF(I620="","",I620-B620)</x:f>
      </x:c>
      <x:c r="O620" t="str">
        <x:f>IF(TRIM(C620)&lt;&gt;TRIM(H620),"Oui","Non")</x:f>
        <x:v>Non</x:v>
      </x:c>
      <x:c r="P620" t="str">
        <x:f>IFERROR(INDEX('02_REFERENTIEL_CLIENTS'!$B$2:$B$51,MATCH(TRIM(C620),'02_REFERENTIEL_CLIENTS'!$A$2:$A$51,0)),"Non trouvé")</x:f>
        <x:v>PME</x:v>
      </x:c>
      <x:c r="Q620" t="str">
        <x:f>IFERROR(INDEX('02_REFERENTIEL_CLIENTS'!$C$2:$C$51,MATCH(TRIM(C620),'02_REFERENTIEL_CLIENTS'!$A$2:$A$51,0)),"Non trouvé")</x:f>
        <x:v>Europe</x:v>
      </x:c>
      <x:c r="R620" t="str">
        <x:f>IF(OR(F620&lt;=0,G620&lt;0,G620&gt;F620,N620&lt;0,P620="Non trouvé"),"À vérifier","OK")</x:f>
        <x:v>OK</x:v>
      </x:c>
    </x:row>
    <x:row r="621">
      <x:c r="A621" t="str">
        <x:v>DV-2025-00620</x:v>
      </x:c>
      <x:c r="B621" s="16" t="n">
        <x:v>45742</x:v>
      </x:c>
      <x:c r="C621" t="str">
        <x:v>Client 03</x:v>
      </x:c>
      <x:c r="D621" t="str">
        <x:v>Express</x:v>
      </x:c>
      <x:c r="E621" t="str">
        <x:v>Pôle A</x:v>
      </x:c>
      <x:c r="F621" s="18" t="n">
        <x:v>10962.73</x:v>
      </x:c>
      <x:c r="G621" s="18" t="n">
        <x:v>1833.25</x:v>
      </x:c>
      <x:c r="H621" t="str">
        <x:v>Client 03</x:v>
      </x:c>
      <x:c r="I621" s="16" t="n">
        <x:v>45787</x:v>
      </x:c>
      <x:c r="J621" t="n">
        <x:f>YEAR(B621)</x:f>
        <x:v>2025</x:v>
      </x:c>
      <x:c r="K621" s="20" t="n">
        <x:f>DATE(YEAR(B621),MONTH(B621),1)</x:f>
        <x:v>45717</x:v>
      </x:c>
      <x:c r="L621" s="18" t="n">
        <x:f>F621-G621</x:f>
        <x:v>9129.48</x:v>
      </x:c>
      <x:c r="M621" t="str">
        <x:f>IF(L621&lt;=0,"Payée",IF(G621=0,"Impayée","Partielle"))</x:f>
        <x:v>Partielle</x:v>
      </x:c>
      <x:c r="N621" t="n">
        <x:f>IF(I621="","",I621-B621)</x:f>
        <x:v>45</x:v>
      </x:c>
      <x:c r="O621" t="str">
        <x:f>IF(TRIM(C621)&lt;&gt;TRIM(H621),"Oui","Non")</x:f>
        <x:v>Non</x:v>
      </x:c>
      <x:c r="P621" t="str">
        <x:f>IFERROR(INDEX('02_REFERENTIEL_CLIENTS'!$B$2:$B$51,MATCH(TRIM(C621),'02_REFERENTIEL_CLIENTS'!$A$2:$A$51,0)),"Non trouvé")</x:f>
        <x:v>Particuliers</x:v>
      </x:c>
      <x:c r="Q621" t="str">
        <x:f>IFERROR(INDEX('02_REFERENTIEL_CLIENTS'!$C$2:$C$51,MATCH(TRIM(C621),'02_REFERENTIEL_CLIENTS'!$A$2:$A$51,0)),"Non trouvé")</x:f>
        <x:v>International</x:v>
      </x:c>
      <x:c r="R621" t="str">
        <x:f>IF(OR(F621&lt;=0,G621&lt;0,G621&gt;F621,N621&lt;0,P621="Non trouvé"),"À vérifier","OK")</x:f>
        <x:v>OK</x:v>
      </x:c>
    </x:row>
    <x:row r="622">
      <x:c r="A622" t="str">
        <x:v>DV-2025-00621</x:v>
      </x:c>
      <x:c r="B622" s="16" t="n">
        <x:v>45989</x:v>
      </x:c>
      <x:c r="C622" t="str">
        <x:v>Client 07</x:v>
      </x:c>
      <x:c r="D622" t="str">
        <x:v>Express</x:v>
      </x:c>
      <x:c r="E622" t="str">
        <x:v>Pôle A</x:v>
      </x:c>
      <x:c r="F622" s="18" t="n">
        <x:v>20171.31</x:v>
      </x:c>
      <x:c r="G622" s="18" t="n">
        <x:v>20171.31</x:v>
      </x:c>
      <x:c r="H622" t="str">
        <x:v>Client 07</x:v>
      </x:c>
      <x:c r="I622" s="16" t="n">
        <x:v>46016</x:v>
      </x:c>
      <x:c r="J622" t="n">
        <x:f>YEAR(B622)</x:f>
        <x:v>2025</x:v>
      </x:c>
      <x:c r="K622" s="20" t="n">
        <x:f>DATE(YEAR(B622),MONTH(B622),1)</x:f>
        <x:v>45962</x:v>
      </x:c>
      <x:c r="L622" s="18" t="n">
        <x:f>F622-G622</x:f>
        <x:v>0</x:v>
      </x:c>
      <x:c r="M622" t="str">
        <x:f>IF(L622&lt;=0,"Payée",IF(G622=0,"Impayée","Partielle"))</x:f>
        <x:v>Payée</x:v>
      </x:c>
      <x:c r="N622" t="n">
        <x:f>IF(I622="","",I622-B622)</x:f>
        <x:v>27</x:v>
      </x:c>
      <x:c r="O622" t="str">
        <x:f>IF(TRIM(C622)&lt;&gt;TRIM(H622),"Oui","Non")</x:f>
        <x:v>Non</x:v>
      </x:c>
      <x:c r="P622" t="str">
        <x:f>IFERROR(INDEX('02_REFERENTIEL_CLIENTS'!$B$2:$B$51,MATCH(TRIM(C622),'02_REFERENTIEL_CLIENTS'!$A$2:$A$51,0)),"Non trouvé")</x:f>
        <x:v>Grands comptes</x:v>
      </x:c>
      <x:c r="Q622" t="str">
        <x:f>IFERROR(INDEX('02_REFERENTIEL_CLIENTS'!$C$2:$C$51,MATCH(TRIM(C622),'02_REFERENTIEL_CLIENTS'!$A$2:$A$51,0)),"Non trouvé")</x:f>
        <x:v>France</x:v>
      </x:c>
      <x:c r="R622" t="str">
        <x:f>IF(OR(F622&lt;=0,G622&lt;0,G622&gt;F622,N622&lt;0,P622="Non trouvé"),"À vérifier","OK")</x:f>
        <x:v>OK</x:v>
      </x:c>
    </x:row>
    <x:row r="623">
      <x:c r="A623" t="str">
        <x:v>DV-2025-00622</x:v>
      </x:c>
      <x:c r="B623" s="16" t="n">
        <x:v>45839</x:v>
      </x:c>
      <x:c r="C623" t="str">
        <x:v>Client 14</x:v>
      </x:c>
      <x:c r="D623" t="str">
        <x:v>Fret aérien</x:v>
      </x:c>
      <x:c r="E623" t="str">
        <x:v>Pôle C</x:v>
      </x:c>
      <x:c r="F623" s="18" t="n">
        <x:v>23621.32</x:v>
      </x:c>
      <x:c r="G623" s="18" t="n">
        <x:v>23621.32</x:v>
      </x:c>
      <x:c r="H623" t="str">
        <x:v>Client 14</x:v>
      </x:c>
      <x:c r="I623" s="16" t="n">
        <x:v>45934</x:v>
      </x:c>
      <x:c r="J623" t="n">
        <x:f>YEAR(B623)</x:f>
        <x:v>2025</x:v>
      </x:c>
      <x:c r="K623" s="20" t="n">
        <x:f>DATE(YEAR(B623),MONTH(B623),1)</x:f>
        <x:v>45839</x:v>
      </x:c>
      <x:c r="L623" s="18" t="n">
        <x:f>F623-G623</x:f>
        <x:v>0</x:v>
      </x:c>
      <x:c r="M623" t="str">
        <x:f>IF(L623&lt;=0,"Payée",IF(G623=0,"Impayée","Partielle"))</x:f>
        <x:v>Payée</x:v>
      </x:c>
      <x:c r="N623" t="n">
        <x:f>IF(I623="","",I623-B623)</x:f>
        <x:v>95</x:v>
      </x:c>
      <x:c r="O623" t="str">
        <x:f>IF(TRIM(C623)&lt;&gt;TRIM(H623),"Oui","Non")</x:f>
        <x:v>Non</x:v>
      </x:c>
      <x:c r="P623" t="str">
        <x:f>IFERROR(INDEX('02_REFERENTIEL_CLIENTS'!$B$2:$B$51,MATCH(TRIM(C623),'02_REFERENTIEL_CLIENTS'!$A$2:$A$51,0)),"Non trouvé")</x:f>
        <x:v>PME</x:v>
      </x:c>
      <x:c r="Q623" t="str">
        <x:f>IFERROR(INDEX('02_REFERENTIEL_CLIENTS'!$C$2:$C$51,MATCH(TRIM(C623),'02_REFERENTIEL_CLIENTS'!$A$2:$A$51,0)),"Non trouvé")</x:f>
        <x:v>Europe</x:v>
      </x:c>
      <x:c r="R623" t="str">
        <x:f>IF(OR(F623&lt;=0,G623&lt;0,G623&gt;F623,N623&lt;0,P623="Non trouvé"),"À vérifier","OK")</x:f>
        <x:v>OK</x:v>
      </x:c>
    </x:row>
    <x:row r="624">
      <x:c r="A624" t="str">
        <x:v>DV-2025-00623</x:v>
      </x:c>
      <x:c r="B624" s="16" t="n">
        <x:v>45774</x:v>
      </x:c>
      <x:c r="C624" t="str">
        <x:v>Client 46</x:v>
      </x:c>
      <x:c r="D624" t="str">
        <x:v>Logistique</x:v>
      </x:c>
      <x:c r="E624" t="str">
        <x:v>Pôle B</x:v>
      </x:c>
      <x:c r="F624" s="18" t="n">
        <x:v>17387.76</x:v>
      </x:c>
      <x:c r="G624" s="18" t="n">
        <x:v>0</x:v>
      </x:c>
      <x:c r="H624" t="str">
        <x:v>Client 46</x:v>
      </x:c>
      <x:c r="I624" s="16"/>
      <x:c r="J624" t="n">
        <x:f>YEAR(B624)</x:f>
        <x:v>2025</x:v>
      </x:c>
      <x:c r="K624" s="20" t="n">
        <x:f>DATE(YEAR(B624),MONTH(B624),1)</x:f>
        <x:v>45748</x:v>
      </x:c>
      <x:c r="L624" s="18" t="n">
        <x:f>F624-G624</x:f>
        <x:v>17387.76</x:v>
      </x:c>
      <x:c r="M624" t="str">
        <x:f>IF(L624&lt;=0,"Payée",IF(G624=0,"Impayée","Partielle"))</x:f>
        <x:v>Impayée</x:v>
      </x:c>
      <x:c r="N624" t="str">
        <x:f>IF(I624="","",I624-B624)</x:f>
      </x:c>
      <x:c r="O624" t="str">
        <x:f>IF(TRIM(C624)&lt;&gt;TRIM(H624),"Oui","Non")</x:f>
        <x:v>Non</x:v>
      </x:c>
      <x:c r="P624" t="str">
        <x:f>IFERROR(INDEX('02_REFERENTIEL_CLIENTS'!$B$2:$B$51,MATCH(TRIM(C624),'02_REFERENTIEL_CLIENTS'!$A$2:$A$51,0)),"Non trouvé")</x:f>
        <x:v>Grands comptes</x:v>
      </x:c>
      <x:c r="Q624" t="str">
        <x:f>IFERROR(INDEX('02_REFERENTIEL_CLIENTS'!$C$2:$C$51,MATCH(TRIM(C624),'02_REFERENTIEL_CLIENTS'!$A$2:$A$51,0)),"Non trouvé")</x:f>
        <x:v>France</x:v>
      </x:c>
      <x:c r="R624" t="str">
        <x:f>IF(OR(F624&lt;=0,G624&lt;0,G624&gt;F624,N624&lt;0,P624="Non trouvé"),"À vérifier","OK")</x:f>
        <x:v>OK</x:v>
      </x:c>
    </x:row>
    <x:row r="625">
      <x:c r="A625" t="str">
        <x:v>DV-2024-00624</x:v>
      </x:c>
      <x:c r="B625" s="16" t="n">
        <x:v>45510</x:v>
      </x:c>
      <x:c r="C625" t="str">
        <x:v>Client 03</x:v>
      </x:c>
      <x:c r="D625" t="str">
        <x:v>Douane</x:v>
      </x:c>
      <x:c r="E625" t="str">
        <x:v>Pôle A</x:v>
      </x:c>
      <x:c r="F625" s="18" t="n">
        <x:v>20274.76</x:v>
      </x:c>
      <x:c r="G625" s="18" t="n">
        <x:v>20274.76</x:v>
      </x:c>
      <x:c r="H625" t="str">
        <x:v>Client 03</x:v>
      </x:c>
      <x:c r="I625" s="16" t="n">
        <x:v>45518</x:v>
      </x:c>
      <x:c r="J625" t="n">
        <x:f>YEAR(B625)</x:f>
        <x:v>2024</x:v>
      </x:c>
      <x:c r="K625" s="20" t="n">
        <x:f>DATE(YEAR(B625),MONTH(B625),1)</x:f>
        <x:v>45505</x:v>
      </x:c>
      <x:c r="L625" s="18" t="n">
        <x:f>F625-G625</x:f>
        <x:v>0</x:v>
      </x:c>
      <x:c r="M625" t="str">
        <x:f>IF(L625&lt;=0,"Payée",IF(G625=0,"Impayée","Partielle"))</x:f>
        <x:v>Payée</x:v>
      </x:c>
      <x:c r="N625" t="n">
        <x:f>IF(I625="","",I625-B625)</x:f>
        <x:v>8</x:v>
      </x:c>
      <x:c r="O625" t="str">
        <x:f>IF(TRIM(C625)&lt;&gt;TRIM(H625),"Oui","Non")</x:f>
        <x:v>Non</x:v>
      </x:c>
      <x:c r="P625" t="str">
        <x:f>IFERROR(INDEX('02_REFERENTIEL_CLIENTS'!$B$2:$B$51,MATCH(TRIM(C625),'02_REFERENTIEL_CLIENTS'!$A$2:$A$51,0)),"Non trouvé")</x:f>
        <x:v>Particuliers</x:v>
      </x:c>
      <x:c r="Q625" t="str">
        <x:f>IFERROR(INDEX('02_REFERENTIEL_CLIENTS'!$C$2:$C$51,MATCH(TRIM(C625),'02_REFERENTIEL_CLIENTS'!$A$2:$A$51,0)),"Non trouvé")</x:f>
        <x:v>International</x:v>
      </x:c>
      <x:c r="R625" t="str">
        <x:f>IF(OR(F625&lt;=0,G625&lt;0,G625&gt;F625,N625&lt;0,P625="Non trouvé"),"À vérifier","OK")</x:f>
        <x:v>OK</x:v>
      </x:c>
    </x:row>
    <x:row r="626">
      <x:c r="A626" t="str">
        <x:v>DV-2025-00625</x:v>
      </x:c>
      <x:c r="B626" s="16" t="n">
        <x:v>46005</x:v>
      </x:c>
      <x:c r="C626" t="str">
        <x:v>Client 09</x:v>
      </x:c>
      <x:c r="D626" t="str">
        <x:v>Logistique</x:v>
      </x:c>
      <x:c r="E626" t="str">
        <x:v>Pôle A</x:v>
      </x:c>
      <x:c r="F626" s="18" t="n">
        <x:v>19498.98</x:v>
      </x:c>
      <x:c r="G626" s="18" t="n">
        <x:v>0</x:v>
      </x:c>
      <x:c r="H626" t="str">
        <x:v>Client 09</x:v>
      </x:c>
      <x:c r="I626" s="16"/>
      <x:c r="J626" t="n">
        <x:f>YEAR(B626)</x:f>
        <x:v>2025</x:v>
      </x:c>
      <x:c r="K626" s="20" t="n">
        <x:f>DATE(YEAR(B626),MONTH(B626),1)</x:f>
        <x:v>45992</x:v>
      </x:c>
      <x:c r="L626" s="18" t="n">
        <x:f>F626-G626</x:f>
        <x:v>19498.98</x:v>
      </x:c>
      <x:c r="M626" t="str">
        <x:f>IF(L626&lt;=0,"Payée",IF(G626=0,"Impayée","Partielle"))</x:f>
        <x:v>Impayée</x:v>
      </x:c>
      <x:c r="N626" t="str">
        <x:f>IF(I626="","",I626-B626)</x:f>
      </x:c>
      <x:c r="O626" t="str">
        <x:f>IF(TRIM(C626)&lt;&gt;TRIM(H626),"Oui","Non")</x:f>
        <x:v>Non</x:v>
      </x:c>
      <x:c r="P626" t="str">
        <x:f>IFERROR(INDEX('02_REFERENTIEL_CLIENTS'!$B$2:$B$51,MATCH(TRIM(C626),'02_REFERENTIEL_CLIENTS'!$A$2:$A$51,0)),"Non trouvé")</x:f>
        <x:v>Particuliers</x:v>
      </x:c>
      <x:c r="Q626" t="str">
        <x:f>IFERROR(INDEX('02_REFERENTIEL_CLIENTS'!$C$2:$C$51,MATCH(TRIM(C626),'02_REFERENTIEL_CLIENTS'!$A$2:$A$51,0)),"Non trouvé")</x:f>
        <x:v>International</x:v>
      </x:c>
      <x:c r="R626" t="str">
        <x:f>IF(OR(F626&lt;=0,G626&lt;0,G626&gt;F626,N626&lt;0,P626="Non trouvé"),"À vérifier","OK")</x:f>
        <x:v>OK</x:v>
      </x:c>
    </x:row>
    <x:row r="627">
      <x:c r="A627" t="str">
        <x:v>DV-2024-00626</x:v>
      </x:c>
      <x:c r="B627" s="16" t="n">
        <x:v>45601</x:v>
      </x:c>
      <x:c r="C627" t="str">
        <x:v>Client 42</x:v>
      </x:c>
      <x:c r="D627" t="str">
        <x:v>Douane</x:v>
      </x:c>
      <x:c r="E627" t="str">
        <x:v>Pôle C</x:v>
      </x:c>
      <x:c r="F627" s="18" t="n">
        <x:v>17611.59</x:v>
      </x:c>
      <x:c r="G627" s="18" t="n">
        <x:v>10530.11</x:v>
      </x:c>
      <x:c r="H627" t="str">
        <x:v>Client 42</x:v>
      </x:c>
      <x:c r="I627" s="16" t="n">
        <x:v>45673</x:v>
      </x:c>
      <x:c r="J627" t="n">
        <x:f>YEAR(B627)</x:f>
        <x:v>2024</x:v>
      </x:c>
      <x:c r="K627" s="20" t="n">
        <x:f>DATE(YEAR(B627),MONTH(B627),1)</x:f>
        <x:v>45597</x:v>
      </x:c>
      <x:c r="L627" s="18" t="n">
        <x:f>F627-G627</x:f>
        <x:v>7081.48</x:v>
      </x:c>
      <x:c r="M627" t="str">
        <x:f>IF(L627&lt;=0,"Payée",IF(G627=0,"Impayée","Partielle"))</x:f>
        <x:v>Partielle</x:v>
      </x:c>
      <x:c r="N627" t="n">
        <x:f>IF(I627="","",I627-B627)</x:f>
        <x:v>72</x:v>
      </x:c>
      <x:c r="O627" t="str">
        <x:f>IF(TRIM(C627)&lt;&gt;TRIM(H627),"Oui","Non")</x:f>
        <x:v>Non</x:v>
      </x:c>
      <x:c r="P627" t="str">
        <x:f>IFERROR(INDEX('02_REFERENTIEL_CLIENTS'!$B$2:$B$51,MATCH(TRIM(C627),'02_REFERENTIEL_CLIENTS'!$A$2:$A$51,0)),"Non trouvé")</x:f>
        <x:v>Particuliers</x:v>
      </x:c>
      <x:c r="Q627" t="str">
        <x:f>IFERROR(INDEX('02_REFERENTIEL_CLIENTS'!$C$2:$C$51,MATCH(TRIM(C627),'02_REFERENTIEL_CLIENTS'!$A$2:$A$51,0)),"Non trouvé")</x:f>
        <x:v>International</x:v>
      </x:c>
      <x:c r="R627" t="str">
        <x:f>IF(OR(F627&lt;=0,G627&lt;0,G627&gt;F627,N627&lt;0,P627="Non trouvé"),"À vérifier","OK")</x:f>
        <x:v>OK</x:v>
      </x:c>
    </x:row>
    <x:row r="628">
      <x:c r="A628" t="str">
        <x:v>DV-2024-00627</x:v>
      </x:c>
      <x:c r="B628" s="16" t="n">
        <x:v>45589</x:v>
      </x:c>
      <x:c r="C628" t="str">
        <x:v>Client 06</x:v>
      </x:c>
      <x:c r="D628" t="str">
        <x:v>Logistique</x:v>
      </x:c>
      <x:c r="E628" t="str">
        <x:v>Pôle D</x:v>
      </x:c>
      <x:c r="F628" s="18" t="n">
        <x:v>14304.25</x:v>
      </x:c>
      <x:c r="G628" s="18" t="n">
        <x:v>14304.25</x:v>
      </x:c>
      <x:c r="H628" t="str">
        <x:v>Client 06</x:v>
      </x:c>
      <x:c r="I628" s="16" t="n">
        <x:v>45670</x:v>
      </x:c>
      <x:c r="J628" t="n">
        <x:f>YEAR(B628)</x:f>
        <x:v>2024</x:v>
      </x:c>
      <x:c r="K628" s="20" t="n">
        <x:f>DATE(YEAR(B628),MONTH(B628),1)</x:f>
        <x:v>45566</x:v>
      </x:c>
      <x:c r="L628" s="18" t="n">
        <x:f>F628-G628</x:f>
        <x:v>0</x:v>
      </x:c>
      <x:c r="M628" t="str">
        <x:f>IF(L628&lt;=0,"Payée",IF(G628=0,"Impayée","Partielle"))</x:f>
        <x:v>Payée</x:v>
      </x:c>
      <x:c r="N628" t="n">
        <x:f>IF(I628="","",I628-B628)</x:f>
        <x:v>81</x:v>
      </x:c>
      <x:c r="O628" t="str">
        <x:f>IF(TRIM(C628)&lt;&gt;TRIM(H628),"Oui","Non")</x:f>
        <x:v>Non</x:v>
      </x:c>
      <x:c r="P628" t="str">
        <x:f>IFERROR(INDEX('02_REFERENTIEL_CLIENTS'!$B$2:$B$51,MATCH(TRIM(C628),'02_REFERENTIEL_CLIENTS'!$A$2:$A$51,0)),"Non trouvé")</x:f>
        <x:v>Particuliers</x:v>
      </x:c>
      <x:c r="Q628" t="str">
        <x:f>IFERROR(INDEX('02_REFERENTIEL_CLIENTS'!$C$2:$C$51,MATCH(TRIM(C628),'02_REFERENTIEL_CLIENTS'!$A$2:$A$51,0)),"Non trouvé")</x:f>
        <x:v>International</x:v>
      </x:c>
      <x:c r="R628" t="str">
        <x:f>IF(OR(F628&lt;=0,G628&lt;0,G628&gt;F628,N628&lt;0,P628="Non trouvé"),"À vérifier","OK")</x:f>
        <x:v>OK</x:v>
      </x:c>
    </x:row>
    <x:row r="629">
      <x:c r="A629" t="str">
        <x:v>DV-2026-00628</x:v>
      </x:c>
      <x:c r="B629" s="16" t="n">
        <x:v>46247</x:v>
      </x:c>
      <x:c r="C629" t="str">
        <x:v>Client 43</x:v>
      </x:c>
      <x:c r="D629" t="str">
        <x:v>Express</x:v>
      </x:c>
      <x:c r="E629" t="str">
        <x:v>Pôle B</x:v>
      </x:c>
      <x:c r="F629" s="18" t="n">
        <x:v>6974.64</x:v>
      </x:c>
      <x:c r="G629" s="18" t="n">
        <x:v>6974.64</x:v>
      </x:c>
      <x:c r="H629" t="str">
        <x:v>Client 43</x:v>
      </x:c>
      <x:c r="I629" s="16" t="n">
        <x:v>46251</x:v>
      </x:c>
      <x:c r="J629" t="n">
        <x:f>YEAR(B629)</x:f>
        <x:v>2026</x:v>
      </x:c>
      <x:c r="K629" s="20" t="n">
        <x:f>DATE(YEAR(B629),MONTH(B629),1)</x:f>
        <x:v>46235</x:v>
      </x:c>
      <x:c r="L629" s="18" t="n">
        <x:f>F629-G629</x:f>
        <x:v>0</x:v>
      </x:c>
      <x:c r="M629" t="str">
        <x:f>IF(L629&lt;=0,"Payée",IF(G629=0,"Impayée","Partielle"))</x:f>
        <x:v>Payée</x:v>
      </x:c>
      <x:c r="N629" t="n">
        <x:f>IF(I629="","",I629-B629)</x:f>
        <x:v>4</x:v>
      </x:c>
      <x:c r="O629" t="str">
        <x:f>IF(TRIM(C629)&lt;&gt;TRIM(H629),"Oui","Non")</x:f>
        <x:v>Non</x:v>
      </x:c>
      <x:c r="P629" t="str">
        <x:f>IFERROR(INDEX('02_REFERENTIEL_CLIENTS'!$B$2:$B$51,MATCH(TRIM(C629),'02_REFERENTIEL_CLIENTS'!$A$2:$A$51,0)),"Non trouvé")</x:f>
        <x:v>Grands comptes</x:v>
      </x:c>
      <x:c r="Q629" t="str">
        <x:f>IFERROR(INDEX('02_REFERENTIEL_CLIENTS'!$C$2:$C$51,MATCH(TRIM(C629),'02_REFERENTIEL_CLIENTS'!$A$2:$A$51,0)),"Non trouvé")</x:f>
        <x:v>France</x:v>
      </x:c>
      <x:c r="R629" t="str">
        <x:f>IF(OR(F629&lt;=0,G629&lt;0,G629&gt;F629,N629&lt;0,P629="Non trouvé"),"À vérifier","OK")</x:f>
        <x:v>OK</x:v>
      </x:c>
    </x:row>
    <x:row r="630">
      <x:c r="A630" t="str">
        <x:v>DV-2024-00629</x:v>
      </x:c>
      <x:c r="B630" s="16" t="n">
        <x:v>45509</x:v>
      </x:c>
      <x:c r="C630" t="str">
        <x:v>Client 42</x:v>
      </x:c>
      <x:c r="D630" t="str">
        <x:v>Logistique</x:v>
      </x:c>
      <x:c r="E630" t="str">
        <x:v>Pôle D</x:v>
      </x:c>
      <x:c r="F630" s="18" t="n">
        <x:v>1252</x:v>
      </x:c>
      <x:c r="G630" s="18" t="n">
        <x:v>1252</x:v>
      </x:c>
      <x:c r="H630" t="str">
        <x:v>Client 42</x:v>
      </x:c>
      <x:c r="I630" s="16" t="n">
        <x:v>45515</x:v>
      </x:c>
      <x:c r="J630" t="n">
        <x:f>YEAR(B630)</x:f>
        <x:v>2024</x:v>
      </x:c>
      <x:c r="K630" s="20" t="n">
        <x:f>DATE(YEAR(B630),MONTH(B630),1)</x:f>
        <x:v>45505</x:v>
      </x:c>
      <x:c r="L630" s="18" t="n">
        <x:f>F630-G630</x:f>
        <x:v>0</x:v>
      </x:c>
      <x:c r="M630" t="str">
        <x:f>IF(L630&lt;=0,"Payée",IF(G630=0,"Impayée","Partielle"))</x:f>
        <x:v>Payée</x:v>
      </x:c>
      <x:c r="N630" t="n">
        <x:f>IF(I630="","",I630-B630)</x:f>
        <x:v>6</x:v>
      </x:c>
      <x:c r="O630" t="str">
        <x:f>IF(TRIM(C630)&lt;&gt;TRIM(H630),"Oui","Non")</x:f>
        <x:v>Non</x:v>
      </x:c>
      <x:c r="P630" t="str">
        <x:f>IFERROR(INDEX('02_REFERENTIEL_CLIENTS'!$B$2:$B$51,MATCH(TRIM(C630),'02_REFERENTIEL_CLIENTS'!$A$2:$A$51,0)),"Non trouvé")</x:f>
        <x:v>Particuliers</x:v>
      </x:c>
      <x:c r="Q630" t="str">
        <x:f>IFERROR(INDEX('02_REFERENTIEL_CLIENTS'!$C$2:$C$51,MATCH(TRIM(C630),'02_REFERENTIEL_CLIENTS'!$A$2:$A$51,0)),"Non trouvé")</x:f>
        <x:v>International</x:v>
      </x:c>
      <x:c r="R630" t="str">
        <x:f>IF(OR(F630&lt;=0,G630&lt;0,G630&gt;F630,N630&lt;0,P630="Non trouvé"),"À vérifier","OK")</x:f>
        <x:v>OK</x:v>
      </x:c>
    </x:row>
    <x:row r="631">
      <x:c r="A631" t="str">
        <x:v>DV-2024-00630</x:v>
      </x:c>
      <x:c r="B631" s="16" t="n">
        <x:v>45369</x:v>
      </x:c>
      <x:c r="C631" t="str">
        <x:v>Client 08</x:v>
      </x:c>
      <x:c r="D631" t="str">
        <x:v>Fret aérien</x:v>
      </x:c>
      <x:c r="E631" t="str">
        <x:v>Pôle D</x:v>
      </x:c>
      <x:c r="F631" s="18" t="n">
        <x:v>8434.37</x:v>
      </x:c>
      <x:c r="G631" s="18" t="n">
        <x:v>8434.37</x:v>
      </x:c>
      <x:c r="H631" t="str">
        <x:v>Client 47</x:v>
      </x:c>
      <x:c r="I631" s="16" t="n">
        <x:v>45402</x:v>
      </x:c>
      <x:c r="J631" t="n">
        <x:f>YEAR(B631)</x:f>
        <x:v>2024</x:v>
      </x:c>
      <x:c r="K631" s="20" t="n">
        <x:f>DATE(YEAR(B631),MONTH(B631),1)</x:f>
        <x:v>45352</x:v>
      </x:c>
      <x:c r="L631" s="18" t="n">
        <x:f>F631-G631</x:f>
        <x:v>0</x:v>
      </x:c>
      <x:c r="M631" t="str">
        <x:f>IF(L631&lt;=0,"Payée",IF(G631=0,"Impayée","Partielle"))</x:f>
        <x:v>Payée</x:v>
      </x:c>
      <x:c r="N631" t="n">
        <x:f>IF(I631="","",I631-B631)</x:f>
        <x:v>33</x:v>
      </x:c>
      <x:c r="O631" t="str">
        <x:f>IF(TRIM(C631)&lt;&gt;TRIM(H631),"Oui","Non")</x:f>
        <x:v>Oui</x:v>
      </x:c>
      <x:c r="P631" t="str">
        <x:f>IFERROR(INDEX('02_REFERENTIEL_CLIENTS'!$B$2:$B$51,MATCH(TRIM(C631),'02_REFERENTIEL_CLIENTS'!$A$2:$A$51,0)),"Non trouvé")</x:f>
        <x:v>PME</x:v>
      </x:c>
      <x:c r="Q631" t="str">
        <x:f>IFERROR(INDEX('02_REFERENTIEL_CLIENTS'!$C$2:$C$51,MATCH(TRIM(C631),'02_REFERENTIEL_CLIENTS'!$A$2:$A$51,0)),"Non trouvé")</x:f>
        <x:v>Europe</x:v>
      </x:c>
      <x:c r="R631" t="str">
        <x:f>IF(OR(F631&lt;=0,G631&lt;0,G631&gt;F631,N631&lt;0,P631="Non trouvé"),"À vérifier","OK")</x:f>
        <x:v>OK</x:v>
      </x:c>
    </x:row>
    <x:row r="632">
      <x:c r="A632" t="str">
        <x:v>DV-2024-00631</x:v>
      </x:c>
      <x:c r="B632" s="16" t="n">
        <x:v>45545</x:v>
      </x:c>
      <x:c r="C632" t="str">
        <x:v>Client 39</x:v>
      </x:c>
      <x:c r="D632" t="str">
        <x:v>Fret aérien</x:v>
      </x:c>
      <x:c r="E632" t="str">
        <x:v>Pôle C</x:v>
      </x:c>
      <x:c r="F632" s="18" t="n">
        <x:v>19676.13</x:v>
      </x:c>
      <x:c r="G632" s="18" t="n">
        <x:v>19676.13</x:v>
      </x:c>
      <x:c r="H632" t="str">
        <x:v>Client 39</x:v>
      </x:c>
      <x:c r="I632" s="16" t="n">
        <x:v>45631</x:v>
      </x:c>
      <x:c r="J632" t="n">
        <x:f>YEAR(B632)</x:f>
        <x:v>2024</x:v>
      </x:c>
      <x:c r="K632" s="20" t="n">
        <x:f>DATE(YEAR(B632),MONTH(B632),1)</x:f>
        <x:v>45536</x:v>
      </x:c>
      <x:c r="L632" s="18" t="n">
        <x:f>F632-G632</x:f>
        <x:v>0</x:v>
      </x:c>
      <x:c r="M632" t="str">
        <x:f>IF(L632&lt;=0,"Payée",IF(G632=0,"Impayée","Partielle"))</x:f>
        <x:v>Payée</x:v>
      </x:c>
      <x:c r="N632" t="n">
        <x:f>IF(I632="","",I632-B632)</x:f>
        <x:v>86</x:v>
      </x:c>
      <x:c r="O632" t="str">
        <x:f>IF(TRIM(C632)&lt;&gt;TRIM(H632),"Oui","Non")</x:f>
        <x:v>Non</x:v>
      </x:c>
      <x:c r="P632" t="str">
        <x:f>IFERROR(INDEX('02_REFERENTIEL_CLIENTS'!$B$2:$B$51,MATCH(TRIM(C632),'02_REFERENTIEL_CLIENTS'!$A$2:$A$51,0)),"Non trouvé")</x:f>
        <x:v>Particuliers</x:v>
      </x:c>
      <x:c r="Q632" t="str">
        <x:f>IFERROR(INDEX('02_REFERENTIEL_CLIENTS'!$C$2:$C$51,MATCH(TRIM(C632),'02_REFERENTIEL_CLIENTS'!$A$2:$A$51,0)),"Non trouvé")</x:f>
        <x:v>International</x:v>
      </x:c>
      <x:c r="R632" t="str">
        <x:f>IF(OR(F632&lt;=0,G632&lt;0,G632&gt;F632,N632&lt;0,P632="Non trouvé"),"À vérifier","OK")</x:f>
        <x:v>OK</x:v>
      </x:c>
    </x:row>
    <x:row r="633">
      <x:c r="A633" t="str">
        <x:v>DV-2024-00632</x:v>
      </x:c>
      <x:c r="B633" s="16" t="n">
        <x:v>45378</x:v>
      </x:c>
      <x:c r="C633" t="str">
        <x:v>Client 07</x:v>
      </x:c>
      <x:c r="D633" t="str">
        <x:v>Logistique</x:v>
      </x:c>
      <x:c r="E633" t="str">
        <x:v>Pôle B</x:v>
      </x:c>
      <x:c r="F633" s="18" t="n">
        <x:v>7635.1</x:v>
      </x:c>
      <x:c r="G633" s="18" t="n">
        <x:v>7635.1</x:v>
      </x:c>
      <x:c r="H633" t="str">
        <x:v>Client 12</x:v>
      </x:c>
      <x:c r="I633" s="16" t="n">
        <x:v>45452</x:v>
      </x:c>
      <x:c r="J633" t="n">
        <x:f>YEAR(B633)</x:f>
        <x:v>2024</x:v>
      </x:c>
      <x:c r="K633" s="20" t="n">
        <x:f>DATE(YEAR(B633),MONTH(B633),1)</x:f>
        <x:v>45352</x:v>
      </x:c>
      <x:c r="L633" s="18" t="n">
        <x:f>F633-G633</x:f>
        <x:v>0</x:v>
      </x:c>
      <x:c r="M633" t="str">
        <x:f>IF(L633&lt;=0,"Payée",IF(G633=0,"Impayée","Partielle"))</x:f>
        <x:v>Payée</x:v>
      </x:c>
      <x:c r="N633" t="n">
        <x:f>IF(I633="","",I633-B633)</x:f>
        <x:v>74</x:v>
      </x:c>
      <x:c r="O633" t="str">
        <x:f>IF(TRIM(C633)&lt;&gt;TRIM(H633),"Oui","Non")</x:f>
        <x:v>Oui</x:v>
      </x:c>
      <x:c r="P633" t="str">
        <x:f>IFERROR(INDEX('02_REFERENTIEL_CLIENTS'!$B$2:$B$51,MATCH(TRIM(C633),'02_REFERENTIEL_CLIENTS'!$A$2:$A$51,0)),"Non trouvé")</x:f>
        <x:v>Grands comptes</x:v>
      </x:c>
      <x:c r="Q633" t="str">
        <x:f>IFERROR(INDEX('02_REFERENTIEL_CLIENTS'!$C$2:$C$51,MATCH(TRIM(C633),'02_REFERENTIEL_CLIENTS'!$A$2:$A$51,0)),"Non trouvé")</x:f>
        <x:v>France</x:v>
      </x:c>
      <x:c r="R633" t="str">
        <x:f>IF(OR(F633&lt;=0,G633&lt;0,G633&gt;F633,N633&lt;0,P633="Non trouvé"),"À vérifier","OK")</x:f>
        <x:v>OK</x:v>
      </x:c>
    </x:row>
    <x:row r="634">
      <x:c r="A634" t="str">
        <x:v>DV-2024-00633</x:v>
      </x:c>
      <x:c r="B634" s="16" t="n">
        <x:v>45362</x:v>
      </x:c>
      <x:c r="C634" t="str">
        <x:v>Client 50</x:v>
      </x:c>
      <x:c r="D634" t="str">
        <x:v>Fret aérien</x:v>
      </x:c>
      <x:c r="E634" t="str">
        <x:v>Pôle A</x:v>
      </x:c>
      <x:c r="F634" s="18" t="n">
        <x:v>733.92</x:v>
      </x:c>
      <x:c r="G634" s="18" t="n">
        <x:v>733.92</x:v>
      </x:c>
      <x:c r="H634" t="str">
        <x:v>Client 50</x:v>
      </x:c>
      <x:c r="I634" s="16" t="n">
        <x:v>45456</x:v>
      </x:c>
      <x:c r="J634" t="n">
        <x:f>YEAR(B634)</x:f>
        <x:v>2024</x:v>
      </x:c>
      <x:c r="K634" s="20" t="n">
        <x:f>DATE(YEAR(B634),MONTH(B634),1)</x:f>
        <x:v>45352</x:v>
      </x:c>
      <x:c r="L634" s="18" t="n">
        <x:f>F634-G634</x:f>
        <x:v>0</x:v>
      </x:c>
      <x:c r="M634" t="str">
        <x:f>IF(L634&lt;=0,"Payée",IF(G634=0,"Impayée","Partielle"))</x:f>
        <x:v>Payée</x:v>
      </x:c>
      <x:c r="N634" t="n">
        <x:f>IF(I634="","",I634-B634)</x:f>
        <x:v>94</x:v>
      </x:c>
      <x:c r="O634" t="str">
        <x:f>IF(TRIM(C634)&lt;&gt;TRIM(H634),"Oui","Non")</x:f>
        <x:v>Non</x:v>
      </x:c>
      <x:c r="P634" t="str">
        <x:f>IFERROR(INDEX('02_REFERENTIEL_CLIENTS'!$B$2:$B$51,MATCH(TRIM(C634),'02_REFERENTIEL_CLIENTS'!$A$2:$A$51,0)),"Non trouvé")</x:f>
        <x:v>PME</x:v>
      </x:c>
      <x:c r="Q634" t="str">
        <x:f>IFERROR(INDEX('02_REFERENTIEL_CLIENTS'!$C$2:$C$51,MATCH(TRIM(C634),'02_REFERENTIEL_CLIENTS'!$A$2:$A$51,0)),"Non trouvé")</x:f>
        <x:v>Europe</x:v>
      </x:c>
      <x:c r="R634" t="str">
        <x:f>IF(OR(F634&lt;=0,G634&lt;0,G634&gt;F634,N634&lt;0,P634="Non trouvé"),"À vérifier","OK")</x:f>
        <x:v>OK</x:v>
      </x:c>
    </x:row>
    <x:row r="635">
      <x:c r="A635" t="str">
        <x:v>DV-2024-00634</x:v>
      </x:c>
      <x:c r="B635" s="16" t="n">
        <x:v>45505</x:v>
      </x:c>
      <x:c r="C635" t="str">
        <x:v>Client 05</x:v>
      </x:c>
      <x:c r="D635" t="str">
        <x:v>Fret maritime</x:v>
      </x:c>
      <x:c r="E635" t="str">
        <x:v>Pôle E</x:v>
      </x:c>
      <x:c r="F635" s="18" t="n">
        <x:v>4209.35</x:v>
      </x:c>
      <x:c r="G635" s="18" t="n">
        <x:v>4209.35</x:v>
      </x:c>
      <x:c r="H635" t="str">
        <x:v>Client 05</x:v>
      </x:c>
      <x:c r="I635" s="16" t="n">
        <x:v>45539</x:v>
      </x:c>
      <x:c r="J635" t="n">
        <x:f>YEAR(B635)</x:f>
        <x:v>2024</x:v>
      </x:c>
      <x:c r="K635" s="20" t="n">
        <x:f>DATE(YEAR(B635),MONTH(B635),1)</x:f>
        <x:v>45505</x:v>
      </x:c>
      <x:c r="L635" s="18" t="n">
        <x:f>F635-G635</x:f>
        <x:v>0</x:v>
      </x:c>
      <x:c r="M635" t="str">
        <x:f>IF(L635&lt;=0,"Payée",IF(G635=0,"Impayée","Partielle"))</x:f>
        <x:v>Payée</x:v>
      </x:c>
      <x:c r="N635" t="n">
        <x:f>IF(I635="","",I635-B635)</x:f>
        <x:v>34</x:v>
      </x:c>
      <x:c r="O635" t="str">
        <x:f>IF(TRIM(C635)&lt;&gt;TRIM(H635),"Oui","Non")</x:f>
        <x:v>Non</x:v>
      </x:c>
      <x:c r="P635" t="str">
        <x:f>IFERROR(INDEX('02_REFERENTIEL_CLIENTS'!$B$2:$B$51,MATCH(TRIM(C635),'02_REFERENTIEL_CLIENTS'!$A$2:$A$51,0)),"Non trouvé")</x:f>
        <x:v>PME</x:v>
      </x:c>
      <x:c r="Q635" t="str">
        <x:f>IFERROR(INDEX('02_REFERENTIEL_CLIENTS'!$C$2:$C$51,MATCH(TRIM(C635),'02_REFERENTIEL_CLIENTS'!$A$2:$A$51,0)),"Non trouvé")</x:f>
        <x:v>Europe</x:v>
      </x:c>
      <x:c r="R635" t="str">
        <x:f>IF(OR(F635&lt;=0,G635&lt;0,G635&gt;F635,N635&lt;0,P635="Non trouvé"),"À vérifier","OK")</x:f>
        <x:v>OK</x:v>
      </x:c>
    </x:row>
    <x:row r="636">
      <x:c r="A636" t="str">
        <x:v>DV-2025-00635</x:v>
      </x:c>
      <x:c r="B636" s="16" t="n">
        <x:v>45721</x:v>
      </x:c>
      <x:c r="C636" t="str">
        <x:v>Client 08</x:v>
      </x:c>
      <x:c r="D636" t="str">
        <x:v>Fret maritime</x:v>
      </x:c>
      <x:c r="E636" t="str">
        <x:v>Pôle E</x:v>
      </x:c>
      <x:c r="F636" s="18" t="n">
        <x:v>2048.88</x:v>
      </x:c>
      <x:c r="G636" s="18" t="n">
        <x:v>2048.88</x:v>
      </x:c>
      <x:c r="H636" t="str">
        <x:v>Client 08</x:v>
      </x:c>
      <x:c r="I636" s="16" t="n">
        <x:v>45803</x:v>
      </x:c>
      <x:c r="J636" t="n">
        <x:f>YEAR(B636)</x:f>
        <x:v>2025</x:v>
      </x:c>
      <x:c r="K636" s="20" t="n">
        <x:f>DATE(YEAR(B636),MONTH(B636),1)</x:f>
        <x:v>45717</x:v>
      </x:c>
      <x:c r="L636" s="18" t="n">
        <x:f>F636-G636</x:f>
        <x:v>0</x:v>
      </x:c>
      <x:c r="M636" t="str">
        <x:f>IF(L636&lt;=0,"Payée",IF(G636=0,"Impayée","Partielle"))</x:f>
        <x:v>Payée</x:v>
      </x:c>
      <x:c r="N636" t="n">
        <x:f>IF(I636="","",I636-B636)</x:f>
        <x:v>82</x:v>
      </x:c>
      <x:c r="O636" t="str">
        <x:f>IF(TRIM(C636)&lt;&gt;TRIM(H636),"Oui","Non")</x:f>
        <x:v>Non</x:v>
      </x:c>
      <x:c r="P636" t="str">
        <x:f>IFERROR(INDEX('02_REFERENTIEL_CLIENTS'!$B$2:$B$51,MATCH(TRIM(C636),'02_REFERENTIEL_CLIENTS'!$A$2:$A$51,0)),"Non trouvé")</x:f>
        <x:v>PME</x:v>
      </x:c>
      <x:c r="Q636" t="str">
        <x:f>IFERROR(INDEX('02_REFERENTIEL_CLIENTS'!$C$2:$C$51,MATCH(TRIM(C636),'02_REFERENTIEL_CLIENTS'!$A$2:$A$51,0)),"Non trouvé")</x:f>
        <x:v>Europe</x:v>
      </x:c>
      <x:c r="R636" t="str">
        <x:f>IF(OR(F636&lt;=0,G636&lt;0,G636&gt;F636,N636&lt;0,P636="Non trouvé"),"À vérifier","OK")</x:f>
        <x:v>OK</x:v>
      </x:c>
    </x:row>
    <x:row r="637">
      <x:c r="A637" t="str">
        <x:v>DV-2026-00636</x:v>
      </x:c>
      <x:c r="B637" s="16" t="n">
        <x:v>46028</x:v>
      </x:c>
      <x:c r="C637" t="str">
        <x:v>Client 13</x:v>
      </x:c>
      <x:c r="D637" t="str">
        <x:v>Fret aérien</x:v>
      </x:c>
      <x:c r="E637" t="str">
        <x:v>Pôle E</x:v>
      </x:c>
      <x:c r="F637" s="18" t="n">
        <x:v>20514.81</x:v>
      </x:c>
      <x:c r="G637" s="18" t="n">
        <x:v>20514.81</x:v>
      </x:c>
      <x:c r="H637" t="str">
        <x:v>Client 13</x:v>
      </x:c>
      <x:c r="I637" s="16" t="n">
        <x:v>46092</x:v>
      </x:c>
      <x:c r="J637" t="n">
        <x:f>YEAR(B637)</x:f>
        <x:v>2026</x:v>
      </x:c>
      <x:c r="K637" s="20" t="n">
        <x:f>DATE(YEAR(B637),MONTH(B637),1)</x:f>
        <x:v>46023</x:v>
      </x:c>
      <x:c r="L637" s="18" t="n">
        <x:f>F637-G637</x:f>
        <x:v>0</x:v>
      </x:c>
      <x:c r="M637" t="str">
        <x:f>IF(L637&lt;=0,"Payée",IF(G637=0,"Impayée","Partielle"))</x:f>
        <x:v>Payée</x:v>
      </x:c>
      <x:c r="N637" t="n">
        <x:f>IF(I637="","",I637-B637)</x:f>
        <x:v>64</x:v>
      </x:c>
      <x:c r="O637" t="str">
        <x:f>IF(TRIM(C637)&lt;&gt;TRIM(H637),"Oui","Non")</x:f>
        <x:v>Non</x:v>
      </x:c>
      <x:c r="P637" t="str">
        <x:f>IFERROR(INDEX('02_REFERENTIEL_CLIENTS'!$B$2:$B$51,MATCH(TRIM(C637),'02_REFERENTIEL_CLIENTS'!$A$2:$A$51,0)),"Non trouvé")</x:f>
        <x:v>Grands comptes</x:v>
      </x:c>
      <x:c r="Q637" t="str">
        <x:f>IFERROR(INDEX('02_REFERENTIEL_CLIENTS'!$C$2:$C$51,MATCH(TRIM(C637),'02_REFERENTIEL_CLIENTS'!$A$2:$A$51,0)),"Non trouvé")</x:f>
        <x:v>France</x:v>
      </x:c>
      <x:c r="R637" t="str">
        <x:f>IF(OR(F637&lt;=0,G637&lt;0,G637&gt;F637,N637&lt;0,P637="Non trouvé"),"À vérifier","OK")</x:f>
        <x:v>OK</x:v>
      </x:c>
    </x:row>
    <x:row r="638">
      <x:c r="A638" t="str">
        <x:v>DV-2025-00637</x:v>
      </x:c>
      <x:c r="B638" s="16" t="n">
        <x:v>45709</x:v>
      </x:c>
      <x:c r="C638" t="str">
        <x:v>Client 22</x:v>
      </x:c>
      <x:c r="D638" t="str">
        <x:v>Douane</x:v>
      </x:c>
      <x:c r="E638" t="str">
        <x:v>Pôle E</x:v>
      </x:c>
      <x:c r="F638" s="18" t="n">
        <x:v>2084.54</x:v>
      </x:c>
      <x:c r="G638" s="18" t="n">
        <x:v>2084.54</x:v>
      </x:c>
      <x:c r="H638" t="str">
        <x:v>Client 22</x:v>
      </x:c>
      <x:c r="I638" s="16" t="n">
        <x:v>45728</x:v>
      </x:c>
      <x:c r="J638" t="n">
        <x:f>YEAR(B638)</x:f>
        <x:v>2025</x:v>
      </x:c>
      <x:c r="K638" s="20" t="n">
        <x:f>DATE(YEAR(B638),MONTH(B638),1)</x:f>
        <x:v>45689</x:v>
      </x:c>
      <x:c r="L638" s="18" t="n">
        <x:f>F638-G638</x:f>
        <x:v>0</x:v>
      </x:c>
      <x:c r="M638" t="str">
        <x:f>IF(L638&lt;=0,"Payée",IF(G638=0,"Impayée","Partielle"))</x:f>
        <x:v>Payée</x:v>
      </x:c>
      <x:c r="N638" t="n">
        <x:f>IF(I638="","",I638-B638)</x:f>
        <x:v>19</x:v>
      </x:c>
      <x:c r="O638" t="str">
        <x:f>IF(TRIM(C638)&lt;&gt;TRIM(H638),"Oui","Non")</x:f>
        <x:v>Non</x:v>
      </x:c>
      <x:c r="P638" t="str">
        <x:f>IFERROR(INDEX('02_REFERENTIEL_CLIENTS'!$B$2:$B$51,MATCH(TRIM(C638),'02_REFERENTIEL_CLIENTS'!$A$2:$A$51,0)),"Non trouvé")</x:f>
        <x:v>Grands comptes</x:v>
      </x:c>
      <x:c r="Q638" t="str">
        <x:f>IFERROR(INDEX('02_REFERENTIEL_CLIENTS'!$C$2:$C$51,MATCH(TRIM(C638),'02_REFERENTIEL_CLIENTS'!$A$2:$A$51,0)),"Non trouvé")</x:f>
        <x:v>France</x:v>
      </x:c>
      <x:c r="R638" t="str">
        <x:f>IF(OR(F638&lt;=0,G638&lt;0,G638&gt;F638,N638&lt;0,P638="Non trouvé"),"À vérifier","OK")</x:f>
        <x:v>OK</x:v>
      </x:c>
    </x:row>
    <x:row r="639">
      <x:c r="A639" t="str">
        <x:v>DV-2025-00638</x:v>
      </x:c>
      <x:c r="B639" s="16" t="n">
        <x:v>45831</x:v>
      </x:c>
      <x:c r="C639" t="str">
        <x:v>Client 43</x:v>
      </x:c>
      <x:c r="D639" t="str">
        <x:v>Douane</x:v>
      </x:c>
      <x:c r="E639" t="str">
        <x:v>Pôle A</x:v>
      </x:c>
      <x:c r="F639" s="18" t="n">
        <x:v>6120.74</x:v>
      </x:c>
      <x:c r="G639" s="18" t="n">
        <x:v>6120.74</x:v>
      </x:c>
      <x:c r="H639" t="str">
        <x:v>Client 18</x:v>
      </x:c>
      <x:c r="I639" s="16" t="n">
        <x:v>45910</x:v>
      </x:c>
      <x:c r="J639" t="n">
        <x:f>YEAR(B639)</x:f>
        <x:v>2025</x:v>
      </x:c>
      <x:c r="K639" s="20" t="n">
        <x:f>DATE(YEAR(B639),MONTH(B639),1)</x:f>
        <x:v>45809</x:v>
      </x:c>
      <x:c r="L639" s="18" t="n">
        <x:f>F639-G639</x:f>
        <x:v>0</x:v>
      </x:c>
      <x:c r="M639" t="str">
        <x:f>IF(L639&lt;=0,"Payée",IF(G639=0,"Impayée","Partielle"))</x:f>
        <x:v>Payée</x:v>
      </x:c>
      <x:c r="N639" t="n">
        <x:f>IF(I639="","",I639-B639)</x:f>
        <x:v>79</x:v>
      </x:c>
      <x:c r="O639" t="str">
        <x:f>IF(TRIM(C639)&lt;&gt;TRIM(H639),"Oui","Non")</x:f>
        <x:v>Oui</x:v>
      </x:c>
      <x:c r="P639" t="str">
        <x:f>IFERROR(INDEX('02_REFERENTIEL_CLIENTS'!$B$2:$B$51,MATCH(TRIM(C639),'02_REFERENTIEL_CLIENTS'!$A$2:$A$51,0)),"Non trouvé")</x:f>
        <x:v>Grands comptes</x:v>
      </x:c>
      <x:c r="Q639" t="str">
        <x:f>IFERROR(INDEX('02_REFERENTIEL_CLIENTS'!$C$2:$C$51,MATCH(TRIM(C639),'02_REFERENTIEL_CLIENTS'!$A$2:$A$51,0)),"Non trouvé")</x:f>
        <x:v>France</x:v>
      </x:c>
      <x:c r="R639" t="str">
        <x:f>IF(OR(F639&lt;=0,G639&lt;0,G639&gt;F639,N639&lt;0,P639="Non trouvé"),"À vérifier","OK")</x:f>
        <x:v>OK</x:v>
      </x:c>
    </x:row>
    <x:row r="640">
      <x:c r="A640" t="str">
        <x:v>DV-2025-00639</x:v>
      </x:c>
      <x:c r="B640" s="16" t="n">
        <x:v>45769</x:v>
      </x:c>
      <x:c r="C640" t="str">
        <x:v>Client 14</x:v>
      </x:c>
      <x:c r="D640" t="str">
        <x:v>Douane</x:v>
      </x:c>
      <x:c r="E640" t="str">
        <x:v>Pôle D</x:v>
      </x:c>
      <x:c r="F640" s="18" t="n">
        <x:v>12794.1</x:v>
      </x:c>
      <x:c r="G640" s="18" t="n">
        <x:v>12794.1</x:v>
      </x:c>
      <x:c r="H640" t="str">
        <x:v>Client 14</x:v>
      </x:c>
      <x:c r="I640" s="16" t="n">
        <x:v>45858</x:v>
      </x:c>
      <x:c r="J640" t="n">
        <x:f>YEAR(B640)</x:f>
        <x:v>2025</x:v>
      </x:c>
      <x:c r="K640" s="20" t="n">
        <x:f>DATE(YEAR(B640),MONTH(B640),1)</x:f>
        <x:v>45748</x:v>
      </x:c>
      <x:c r="L640" s="18" t="n">
        <x:f>F640-G640</x:f>
        <x:v>0</x:v>
      </x:c>
      <x:c r="M640" t="str">
        <x:f>IF(L640&lt;=0,"Payée",IF(G640=0,"Impayée","Partielle"))</x:f>
        <x:v>Payée</x:v>
      </x:c>
      <x:c r="N640" t="n">
        <x:f>IF(I640="","",I640-B640)</x:f>
        <x:v>89</x:v>
      </x:c>
      <x:c r="O640" t="str">
        <x:f>IF(TRIM(C640)&lt;&gt;TRIM(H640),"Oui","Non")</x:f>
        <x:v>Non</x:v>
      </x:c>
      <x:c r="P640" t="str">
        <x:f>IFERROR(INDEX('02_REFERENTIEL_CLIENTS'!$B$2:$B$51,MATCH(TRIM(C640),'02_REFERENTIEL_CLIENTS'!$A$2:$A$51,0)),"Non trouvé")</x:f>
        <x:v>PME</x:v>
      </x:c>
      <x:c r="Q640" t="str">
        <x:f>IFERROR(INDEX('02_REFERENTIEL_CLIENTS'!$C$2:$C$51,MATCH(TRIM(C640),'02_REFERENTIEL_CLIENTS'!$A$2:$A$51,0)),"Non trouvé")</x:f>
        <x:v>Europe</x:v>
      </x:c>
      <x:c r="R640" t="str">
        <x:f>IF(OR(F640&lt;=0,G640&lt;0,G640&gt;F640,N640&lt;0,P640="Non trouvé"),"À vérifier","OK")</x:f>
        <x:v>OK</x:v>
      </x:c>
    </x:row>
    <x:row r="641">
      <x:c r="A641" t="str">
        <x:v>DV-2024-00640</x:v>
      </x:c>
      <x:c r="B641" s="16" t="n">
        <x:v>45346</x:v>
      </x:c>
      <x:c r="C641" t="str">
        <x:v>Client 11</x:v>
      </x:c>
      <x:c r="D641" t="str">
        <x:v>Fret maritime</x:v>
      </x:c>
      <x:c r="E641" t="str">
        <x:v>Pôle B</x:v>
      </x:c>
      <x:c r="F641" s="18" t="n">
        <x:v>6004.19</x:v>
      </x:c>
      <x:c r="G641" s="18" t="n">
        <x:v>6004.19</x:v>
      </x:c>
      <x:c r="H641" t="str">
        <x:v>Client 11</x:v>
      </x:c>
      <x:c r="I641" s="16" t="n">
        <x:v>45413</x:v>
      </x:c>
      <x:c r="J641" t="n">
        <x:f>YEAR(B641)</x:f>
        <x:v>2024</x:v>
      </x:c>
      <x:c r="K641" s="20" t="n">
        <x:f>DATE(YEAR(B641),MONTH(B641),1)</x:f>
        <x:v>45323</x:v>
      </x:c>
      <x:c r="L641" s="18" t="n">
        <x:f>F641-G641</x:f>
        <x:v>0</x:v>
      </x:c>
      <x:c r="M641" t="str">
        <x:f>IF(L641&lt;=0,"Payée",IF(G641=0,"Impayée","Partielle"))</x:f>
        <x:v>Payée</x:v>
      </x:c>
      <x:c r="N641" t="n">
        <x:f>IF(I641="","",I641-B641)</x:f>
        <x:v>67</x:v>
      </x:c>
      <x:c r="O641" t="str">
        <x:f>IF(TRIM(C641)&lt;&gt;TRIM(H641),"Oui","Non")</x:f>
        <x:v>Non</x:v>
      </x:c>
      <x:c r="P641" t="str">
        <x:f>IFERROR(INDEX('02_REFERENTIEL_CLIENTS'!$B$2:$B$51,MATCH(TRIM(C641),'02_REFERENTIEL_CLIENTS'!$A$2:$A$51,0)),"Non trouvé")</x:f>
        <x:v>PME</x:v>
      </x:c>
      <x:c r="Q641" t="str">
        <x:f>IFERROR(INDEX('02_REFERENTIEL_CLIENTS'!$C$2:$C$51,MATCH(TRIM(C641),'02_REFERENTIEL_CLIENTS'!$A$2:$A$51,0)),"Non trouvé")</x:f>
        <x:v>Europe</x:v>
      </x:c>
      <x:c r="R641" t="str">
        <x:f>IF(OR(F641&lt;=0,G641&lt;0,G641&gt;F641,N641&lt;0,P641="Non trouvé"),"À vérifier","OK")</x:f>
        <x:v>OK</x:v>
      </x:c>
    </x:row>
    <x:row r="642">
      <x:c r="A642" t="str">
        <x:v>DV-2025-00641</x:v>
      </x:c>
      <x:c r="B642" s="16" t="n">
        <x:v>45814</x:v>
      </x:c>
      <x:c r="C642" t="str">
        <x:v>Client 27</x:v>
      </x:c>
      <x:c r="D642" t="str">
        <x:v>Douane</x:v>
      </x:c>
      <x:c r="E642" t="str">
        <x:v>Pôle E</x:v>
      </x:c>
      <x:c r="F642" s="18" t="n">
        <x:v>16167.89</x:v>
      </x:c>
      <x:c r="G642" s="18" t="n">
        <x:v>5423.25</x:v>
      </x:c>
      <x:c r="H642" t="str">
        <x:v>Client 27</x:v>
      </x:c>
      <x:c r="I642" s="16" t="n">
        <x:v>45882</x:v>
      </x:c>
      <x:c r="J642" t="n">
        <x:f>YEAR(B642)</x:f>
        <x:v>2025</x:v>
      </x:c>
      <x:c r="K642" s="20" t="n">
        <x:f>DATE(YEAR(B642),MONTH(B642),1)</x:f>
        <x:v>45809</x:v>
      </x:c>
      <x:c r="L642" s="18" t="n">
        <x:f>F642-G642</x:f>
        <x:v>10744.64</x:v>
      </x:c>
      <x:c r="M642" t="str">
        <x:f>IF(L642&lt;=0,"Payée",IF(G642=0,"Impayée","Partielle"))</x:f>
        <x:v>Partielle</x:v>
      </x:c>
      <x:c r="N642" t="n">
        <x:f>IF(I642="","",I642-B642)</x:f>
        <x:v>68</x:v>
      </x:c>
      <x:c r="O642" t="str">
        <x:f>IF(TRIM(C642)&lt;&gt;TRIM(H642),"Oui","Non")</x:f>
        <x:v>Non</x:v>
      </x:c>
      <x:c r="P642" t="str">
        <x:f>IFERROR(INDEX('02_REFERENTIEL_CLIENTS'!$B$2:$B$51,MATCH(TRIM(C642),'02_REFERENTIEL_CLIENTS'!$A$2:$A$51,0)),"Non trouvé")</x:f>
        <x:v>Particuliers</x:v>
      </x:c>
      <x:c r="Q642" t="str">
        <x:f>IFERROR(INDEX('02_REFERENTIEL_CLIENTS'!$C$2:$C$51,MATCH(TRIM(C642),'02_REFERENTIEL_CLIENTS'!$A$2:$A$51,0)),"Non trouvé")</x:f>
        <x:v>International</x:v>
      </x:c>
      <x:c r="R642" t="str">
        <x:f>IF(OR(F642&lt;=0,G642&lt;0,G642&gt;F642,N642&lt;0,P642="Non trouvé"),"À vérifier","OK")</x:f>
        <x:v>OK</x:v>
      </x:c>
    </x:row>
    <x:row r="643">
      <x:c r="A643" t="str">
        <x:v>DV-2024-00642</x:v>
      </x:c>
      <x:c r="B643" s="16" t="n">
        <x:v>45582</x:v>
      </x:c>
      <x:c r="C643" t="str">
        <x:v>Client 15</x:v>
      </x:c>
      <x:c r="D643" t="str">
        <x:v>Express</x:v>
      </x:c>
      <x:c r="E643" t="str">
        <x:v>Pôle D</x:v>
      </x:c>
      <x:c r="F643" s="18" t="n">
        <x:v>19024.93</x:v>
      </x:c>
      <x:c r="G643" s="18" t="n">
        <x:v>19024.93</x:v>
      </x:c>
      <x:c r="H643" t="str">
        <x:v>Client 15</x:v>
      </x:c>
      <x:c r="I643" s="16" t="n">
        <x:v>45593</x:v>
      </x:c>
      <x:c r="J643" t="n">
        <x:f>YEAR(B643)</x:f>
        <x:v>2024</x:v>
      </x:c>
      <x:c r="K643" s="20" t="n">
        <x:f>DATE(YEAR(B643),MONTH(B643),1)</x:f>
        <x:v>45566</x:v>
      </x:c>
      <x:c r="L643" s="18" t="n">
        <x:f>F643-G643</x:f>
        <x:v>0</x:v>
      </x:c>
      <x:c r="M643" t="str">
        <x:f>IF(L643&lt;=0,"Payée",IF(G643=0,"Impayée","Partielle"))</x:f>
        <x:v>Payée</x:v>
      </x:c>
      <x:c r="N643" t="n">
        <x:f>IF(I643="","",I643-B643)</x:f>
        <x:v>11</x:v>
      </x:c>
      <x:c r="O643" t="str">
        <x:f>IF(TRIM(C643)&lt;&gt;TRIM(H643),"Oui","Non")</x:f>
        <x:v>Non</x:v>
      </x:c>
      <x:c r="P643" t="str">
        <x:f>IFERROR(INDEX('02_REFERENTIEL_CLIENTS'!$B$2:$B$51,MATCH(TRIM(C643),'02_REFERENTIEL_CLIENTS'!$A$2:$A$51,0)),"Non trouvé")</x:f>
        <x:v>Particuliers</x:v>
      </x:c>
      <x:c r="Q643" t="str">
        <x:f>IFERROR(INDEX('02_REFERENTIEL_CLIENTS'!$C$2:$C$51,MATCH(TRIM(C643),'02_REFERENTIEL_CLIENTS'!$A$2:$A$51,0)),"Non trouvé")</x:f>
        <x:v>International</x:v>
      </x:c>
      <x:c r="R643" t="str">
        <x:f>IF(OR(F643&lt;=0,G643&lt;0,G643&gt;F643,N643&lt;0,P643="Non trouvé"),"À vérifier","OK")</x:f>
        <x:v>OK</x:v>
      </x:c>
    </x:row>
    <x:row r="644">
      <x:c r="A644" t="str">
        <x:v>DV-2025-00643</x:v>
      </x:c>
      <x:c r="B644" s="16" t="n">
        <x:v>45681</x:v>
      </x:c>
      <x:c r="C644" t="str">
        <x:v>Client 31</x:v>
      </x:c>
      <x:c r="D644" t="str">
        <x:v>Douane</x:v>
      </x:c>
      <x:c r="E644" t="str">
        <x:v>Pôle A</x:v>
      </x:c>
      <x:c r="F644" s="18" t="n">
        <x:v>6775.35</x:v>
      </x:c>
      <x:c r="G644" s="18" t="n">
        <x:v>6775.35</x:v>
      </x:c>
      <x:c r="H644" t="str">
        <x:v>Client 31</x:v>
      </x:c>
      <x:c r="I644" s="16" t="n">
        <x:v>45720</x:v>
      </x:c>
      <x:c r="J644" t="n">
        <x:f>YEAR(B644)</x:f>
        <x:v>2025</x:v>
      </x:c>
      <x:c r="K644" s="20" t="n">
        <x:f>DATE(YEAR(B644),MONTH(B644),1)</x:f>
        <x:v>45658</x:v>
      </x:c>
      <x:c r="L644" s="18" t="n">
        <x:f>F644-G644</x:f>
        <x:v>0</x:v>
      </x:c>
      <x:c r="M644" t="str">
        <x:f>IF(L644&lt;=0,"Payée",IF(G644=0,"Impayée","Partielle"))</x:f>
        <x:v>Payée</x:v>
      </x:c>
      <x:c r="N644" t="n">
        <x:f>IF(I644="","",I644-B644)</x:f>
        <x:v>39</x:v>
      </x:c>
      <x:c r="O644" t="str">
        <x:f>IF(TRIM(C644)&lt;&gt;TRIM(H644),"Oui","Non")</x:f>
        <x:v>Non</x:v>
      </x:c>
      <x:c r="P644" t="str">
        <x:f>IFERROR(INDEX('02_REFERENTIEL_CLIENTS'!$B$2:$B$51,MATCH(TRIM(C644),'02_REFERENTIEL_CLIENTS'!$A$2:$A$51,0)),"Non trouvé")</x:f>
        <x:v>Grands comptes</x:v>
      </x:c>
      <x:c r="Q644" t="str">
        <x:f>IFERROR(INDEX('02_REFERENTIEL_CLIENTS'!$C$2:$C$51,MATCH(TRIM(C644),'02_REFERENTIEL_CLIENTS'!$A$2:$A$51,0)),"Non trouvé")</x:f>
        <x:v>France</x:v>
      </x:c>
      <x:c r="R644" t="str">
        <x:f>IF(OR(F644&lt;=0,G644&lt;0,G644&gt;F644,N644&lt;0,P644="Non trouvé"),"À vérifier","OK")</x:f>
        <x:v>OK</x:v>
      </x:c>
    </x:row>
    <x:row r="645">
      <x:c r="A645" t="str">
        <x:v>DV-2024-00644</x:v>
      </x:c>
      <x:c r="B645" s="16" t="n">
        <x:v>45305</x:v>
      </x:c>
      <x:c r="C645" t="str">
        <x:v>Client 40</x:v>
      </x:c>
      <x:c r="D645" t="str">
        <x:v>Logistique</x:v>
      </x:c>
      <x:c r="E645" t="str">
        <x:v>Pôle C</x:v>
      </x:c>
      <x:c r="F645" s="18" t="n">
        <x:v>5968.21</x:v>
      </x:c>
      <x:c r="G645" s="18" t="n">
        <x:v>5968.21</x:v>
      </x:c>
      <x:c r="H645" t="str">
        <x:v>Client 40</x:v>
      </x:c>
      <x:c r="I645" s="16" t="n">
        <x:v>45330</x:v>
      </x:c>
      <x:c r="J645" t="n">
        <x:f>YEAR(B645)</x:f>
        <x:v>2024</x:v>
      </x:c>
      <x:c r="K645" s="20" t="n">
        <x:f>DATE(YEAR(B645),MONTH(B645),1)</x:f>
        <x:v>45292</x:v>
      </x:c>
      <x:c r="L645" s="18" t="n">
        <x:f>F645-G645</x:f>
        <x:v>0</x:v>
      </x:c>
      <x:c r="M645" t="str">
        <x:f>IF(L645&lt;=0,"Payée",IF(G645=0,"Impayée","Partielle"))</x:f>
        <x:v>Payée</x:v>
      </x:c>
      <x:c r="N645" t="n">
        <x:f>IF(I645="","",I645-B645)</x:f>
        <x:v>25</x:v>
      </x:c>
      <x:c r="O645" t="str">
        <x:f>IF(TRIM(C645)&lt;&gt;TRIM(H645),"Oui","Non")</x:f>
        <x:v>Non</x:v>
      </x:c>
      <x:c r="P645" t="str">
        <x:f>IFERROR(INDEX('02_REFERENTIEL_CLIENTS'!$B$2:$B$51,MATCH(TRIM(C645),'02_REFERENTIEL_CLIENTS'!$A$2:$A$51,0)),"Non trouvé")</x:f>
        <x:v>Grands comptes</x:v>
      </x:c>
      <x:c r="Q645" t="str">
        <x:f>IFERROR(INDEX('02_REFERENTIEL_CLIENTS'!$C$2:$C$51,MATCH(TRIM(C645),'02_REFERENTIEL_CLIENTS'!$A$2:$A$51,0)),"Non trouvé")</x:f>
        <x:v>France</x:v>
      </x:c>
      <x:c r="R645" t="str">
        <x:f>IF(OR(F645&lt;=0,G645&lt;0,G645&gt;F645,N645&lt;0,P645="Non trouvé"),"À vérifier","OK")</x:f>
        <x:v>OK</x:v>
      </x:c>
    </x:row>
    <x:row r="646">
      <x:c r="A646" t="str">
        <x:v>DV-2024-00645</x:v>
      </x:c>
      <x:c r="B646" s="16" t="n">
        <x:v>45630</x:v>
      </x:c>
      <x:c r="C646" t="str">
        <x:v>Client 25</x:v>
      </x:c>
      <x:c r="D646" t="str">
        <x:v>Fret maritime</x:v>
      </x:c>
      <x:c r="E646" t="str">
        <x:v>Pôle A</x:v>
      </x:c>
      <x:c r="F646" s="18" t="n">
        <x:v>21466.38</x:v>
      </x:c>
      <x:c r="G646" s="18" t="n">
        <x:v>21466.38</x:v>
      </x:c>
      <x:c r="H646" t="str">
        <x:v>Client 23</x:v>
      </x:c>
      <x:c r="I646" s="16" t="n">
        <x:v>45641</x:v>
      </x:c>
      <x:c r="J646" t="n">
        <x:f>YEAR(B646)</x:f>
        <x:v>2024</x:v>
      </x:c>
      <x:c r="K646" s="20" t="n">
        <x:f>DATE(YEAR(B646),MONTH(B646),1)</x:f>
        <x:v>45627</x:v>
      </x:c>
      <x:c r="L646" s="18" t="n">
        <x:f>F646-G646</x:f>
        <x:v>0</x:v>
      </x:c>
      <x:c r="M646" t="str">
        <x:f>IF(L646&lt;=0,"Payée",IF(G646=0,"Impayée","Partielle"))</x:f>
        <x:v>Payée</x:v>
      </x:c>
      <x:c r="N646" t="n">
        <x:f>IF(I646="","",I646-B646)</x:f>
        <x:v>11</x:v>
      </x:c>
      <x:c r="O646" t="str">
        <x:f>IF(TRIM(C646)&lt;&gt;TRIM(H646),"Oui","Non")</x:f>
        <x:v>Oui</x:v>
      </x:c>
      <x:c r="P646" t="str">
        <x:f>IFERROR(INDEX('02_REFERENTIEL_CLIENTS'!$B$2:$B$51,MATCH(TRIM(C646),'02_REFERENTIEL_CLIENTS'!$A$2:$A$51,0)),"Non trouvé")</x:f>
        <x:v>Grands comptes</x:v>
      </x:c>
      <x:c r="Q646" t="str">
        <x:f>IFERROR(INDEX('02_REFERENTIEL_CLIENTS'!$C$2:$C$51,MATCH(TRIM(C646),'02_REFERENTIEL_CLIENTS'!$A$2:$A$51,0)),"Non trouvé")</x:f>
        <x:v>France</x:v>
      </x:c>
      <x:c r="R646" t="str">
        <x:f>IF(OR(F646&lt;=0,G646&lt;0,G646&gt;F646,N646&lt;0,P646="Non trouvé"),"À vérifier","OK")</x:f>
        <x:v>OK</x:v>
      </x:c>
    </x:row>
    <x:row r="647">
      <x:c r="A647" t="str">
        <x:v>DV-2025-00646</x:v>
      </x:c>
      <x:c r="B647" s="16" t="n">
        <x:v>45858</x:v>
      </x:c>
      <x:c r="C647" t="str">
        <x:v>Client 28</x:v>
      </x:c>
      <x:c r="D647" t="str">
        <x:v>Fret maritime</x:v>
      </x:c>
      <x:c r="E647" t="str">
        <x:v>Pôle D</x:v>
      </x:c>
      <x:c r="F647" s="18" t="n">
        <x:v>1043.49</x:v>
      </x:c>
      <x:c r="G647" s="18" t="n">
        <x:v>1043.49</x:v>
      </x:c>
      <x:c r="H647" t="str">
        <x:v>Client 28</x:v>
      </x:c>
      <x:c r="I647" s="16" t="n">
        <x:v>45946</x:v>
      </x:c>
      <x:c r="J647" t="n">
        <x:f>YEAR(B647)</x:f>
        <x:v>2025</x:v>
      </x:c>
      <x:c r="K647" s="20" t="n">
        <x:f>DATE(YEAR(B647),MONTH(B647),1)</x:f>
        <x:v>45839</x:v>
      </x:c>
      <x:c r="L647" s="18" t="n">
        <x:f>F647-G647</x:f>
        <x:v>0</x:v>
      </x:c>
      <x:c r="M647" t="str">
        <x:f>IF(L647&lt;=0,"Payée",IF(G647=0,"Impayée","Partielle"))</x:f>
        <x:v>Payée</x:v>
      </x:c>
      <x:c r="N647" t="n">
        <x:f>IF(I647="","",I647-B647)</x:f>
        <x:v>88</x:v>
      </x:c>
      <x:c r="O647" t="str">
        <x:f>IF(TRIM(C647)&lt;&gt;TRIM(H647),"Oui","Non")</x:f>
        <x:v>Non</x:v>
      </x:c>
      <x:c r="P647" t="str">
        <x:f>IFERROR(INDEX('02_REFERENTIEL_CLIENTS'!$B$2:$B$51,MATCH(TRIM(C647),'02_REFERENTIEL_CLIENTS'!$A$2:$A$51,0)),"Non trouvé")</x:f>
        <x:v>Grands comptes</x:v>
      </x:c>
      <x:c r="Q647" t="str">
        <x:f>IFERROR(INDEX('02_REFERENTIEL_CLIENTS'!$C$2:$C$51,MATCH(TRIM(C647),'02_REFERENTIEL_CLIENTS'!$A$2:$A$51,0)),"Non trouvé")</x:f>
        <x:v>France</x:v>
      </x:c>
      <x:c r="R647" t="str">
        <x:f>IF(OR(F647&lt;=0,G647&lt;0,G647&gt;F647,N647&lt;0,P647="Non trouvé"),"À vérifier","OK")</x:f>
        <x:v>OK</x:v>
      </x:c>
    </x:row>
    <x:row r="648">
      <x:c r="A648" t="str">
        <x:v>DV-2024-00647</x:v>
      </x:c>
      <x:c r="B648" s="16" t="n">
        <x:v>45344</x:v>
      </x:c>
      <x:c r="C648" t="str">
        <x:v>Client 41</x:v>
      </x:c>
      <x:c r="D648" t="str">
        <x:v>Fret aérien</x:v>
      </x:c>
      <x:c r="E648" t="str">
        <x:v>Pôle D</x:v>
      </x:c>
      <x:c r="F648" s="18" t="n">
        <x:v>14346.53</x:v>
      </x:c>
      <x:c r="G648" s="18" t="n">
        <x:v>14346.53</x:v>
      </x:c>
      <x:c r="H648" t="str">
        <x:v>Client 41</x:v>
      </x:c>
      <x:c r="I648" s="16" t="n">
        <x:v>45363</x:v>
      </x:c>
      <x:c r="J648" t="n">
        <x:f>YEAR(B648)</x:f>
        <x:v>2024</x:v>
      </x:c>
      <x:c r="K648" s="20" t="n">
        <x:f>DATE(YEAR(B648),MONTH(B648),1)</x:f>
        <x:v>45323</x:v>
      </x:c>
      <x:c r="L648" s="18" t="n">
        <x:f>F648-G648</x:f>
        <x:v>0</x:v>
      </x:c>
      <x:c r="M648" t="str">
        <x:f>IF(L648&lt;=0,"Payée",IF(G648=0,"Impayée","Partielle"))</x:f>
        <x:v>Payée</x:v>
      </x:c>
      <x:c r="N648" t="n">
        <x:f>IF(I648="","",I648-B648)</x:f>
        <x:v>19</x:v>
      </x:c>
      <x:c r="O648" t="str">
        <x:f>IF(TRIM(C648)&lt;&gt;TRIM(H648),"Oui","Non")</x:f>
        <x:v>Non</x:v>
      </x:c>
      <x:c r="P648" t="str">
        <x:f>IFERROR(INDEX('02_REFERENTIEL_CLIENTS'!$B$2:$B$51,MATCH(TRIM(C648),'02_REFERENTIEL_CLIENTS'!$A$2:$A$51,0)),"Non trouvé")</x:f>
        <x:v>PME</x:v>
      </x:c>
      <x:c r="Q648" t="str">
        <x:f>IFERROR(INDEX('02_REFERENTIEL_CLIENTS'!$C$2:$C$51,MATCH(TRIM(C648),'02_REFERENTIEL_CLIENTS'!$A$2:$A$51,0)),"Non trouvé")</x:f>
        <x:v>Europe</x:v>
      </x:c>
      <x:c r="R648" t="str">
        <x:f>IF(OR(F648&lt;=0,G648&lt;0,G648&gt;F648,N648&lt;0,P648="Non trouvé"),"À vérifier","OK")</x:f>
        <x:v>OK</x:v>
      </x:c>
    </x:row>
    <x:row r="649">
      <x:c r="A649" t="str">
        <x:v>DV-2024-00648</x:v>
      </x:c>
      <x:c r="B649" s="16" t="n">
        <x:v>45535</x:v>
      </x:c>
      <x:c r="C649" t="str">
        <x:v>Client 16</x:v>
      </x:c>
      <x:c r="D649" t="str">
        <x:v>Fret aérien</x:v>
      </x:c>
      <x:c r="E649" t="str">
        <x:v>Pôle C</x:v>
      </x:c>
      <x:c r="F649" s="18" t="n">
        <x:v>10291.24</x:v>
      </x:c>
      <x:c r="G649" s="18" t="n">
        <x:v>10291.24</x:v>
      </x:c>
      <x:c r="H649" t="str">
        <x:v>Client 16</x:v>
      </x:c>
      <x:c r="I649" s="16" t="n">
        <x:v>45560</x:v>
      </x:c>
      <x:c r="J649" t="n">
        <x:f>YEAR(B649)</x:f>
        <x:v>2024</x:v>
      </x:c>
      <x:c r="K649" s="20" t="n">
        <x:f>DATE(YEAR(B649),MONTH(B649),1)</x:f>
        <x:v>45505</x:v>
      </x:c>
      <x:c r="L649" s="18" t="n">
        <x:f>F649-G649</x:f>
        <x:v>0</x:v>
      </x:c>
      <x:c r="M649" t="str">
        <x:f>IF(L649&lt;=0,"Payée",IF(G649=0,"Impayée","Partielle"))</x:f>
        <x:v>Payée</x:v>
      </x:c>
      <x:c r="N649" t="n">
        <x:f>IF(I649="","",I649-B649)</x:f>
        <x:v>25</x:v>
      </x:c>
      <x:c r="O649" t="str">
        <x:f>IF(TRIM(C649)&lt;&gt;TRIM(H649),"Oui","Non")</x:f>
        <x:v>Non</x:v>
      </x:c>
      <x:c r="P649" t="str">
        <x:f>IFERROR(INDEX('02_REFERENTIEL_CLIENTS'!$B$2:$B$51,MATCH(TRIM(C649),'02_REFERENTIEL_CLIENTS'!$A$2:$A$51,0)),"Non trouvé")</x:f>
        <x:v>Grands comptes</x:v>
      </x:c>
      <x:c r="Q649" t="str">
        <x:f>IFERROR(INDEX('02_REFERENTIEL_CLIENTS'!$C$2:$C$51,MATCH(TRIM(C649),'02_REFERENTIEL_CLIENTS'!$A$2:$A$51,0)),"Non trouvé")</x:f>
        <x:v>France</x:v>
      </x:c>
      <x:c r="R649" t="str">
        <x:f>IF(OR(F649&lt;=0,G649&lt;0,G649&gt;F649,N649&lt;0,P649="Non trouvé"),"À vérifier","OK")</x:f>
        <x:v>OK</x:v>
      </x:c>
    </x:row>
    <x:row r="650">
      <x:c r="A650" t="str">
        <x:v>DV-2024-00649</x:v>
      </x:c>
      <x:c r="B650" s="16" t="n">
        <x:v>45627</x:v>
      </x:c>
      <x:c r="C650" t="str">
        <x:v>Client 44</x:v>
      </x:c>
      <x:c r="D650" t="str">
        <x:v>Express</x:v>
      </x:c>
      <x:c r="E650" t="str">
        <x:v>Pôle D</x:v>
      </x:c>
      <x:c r="F650" s="18" t="n">
        <x:v>12548.29</x:v>
      </x:c>
      <x:c r="G650" s="18" t="n">
        <x:v>0</x:v>
      </x:c>
      <x:c r="H650" t="str">
        <x:v>Client 44</x:v>
      </x:c>
      <x:c r="I650" s="16"/>
      <x:c r="J650" t="n">
        <x:f>YEAR(B650)</x:f>
        <x:v>2024</x:v>
      </x:c>
      <x:c r="K650" s="20" t="n">
        <x:f>DATE(YEAR(B650),MONTH(B650),1)</x:f>
        <x:v>45627</x:v>
      </x:c>
      <x:c r="L650" s="18" t="n">
        <x:f>F650-G650</x:f>
        <x:v>12548.29</x:v>
      </x:c>
      <x:c r="M650" t="str">
        <x:f>IF(L650&lt;=0,"Payée",IF(G650=0,"Impayée","Partielle"))</x:f>
        <x:v>Impayée</x:v>
      </x:c>
      <x:c r="N650" t="str">
        <x:f>IF(I650="","",I650-B650)</x:f>
      </x:c>
      <x:c r="O650" t="str">
        <x:f>IF(TRIM(C650)&lt;&gt;TRIM(H650),"Oui","Non")</x:f>
        <x:v>Non</x:v>
      </x:c>
      <x:c r="P650" t="str">
        <x:f>IFERROR(INDEX('02_REFERENTIEL_CLIENTS'!$B$2:$B$51,MATCH(TRIM(C650),'02_REFERENTIEL_CLIENTS'!$A$2:$A$51,0)),"Non trouvé")</x:f>
        <x:v>PME</x:v>
      </x:c>
      <x:c r="Q650" t="str">
        <x:f>IFERROR(INDEX('02_REFERENTIEL_CLIENTS'!$C$2:$C$51,MATCH(TRIM(C650),'02_REFERENTIEL_CLIENTS'!$A$2:$A$51,0)),"Non trouvé")</x:f>
        <x:v>Europe</x:v>
      </x:c>
      <x:c r="R650" t="str">
        <x:f>IF(OR(F650&lt;=0,G650&lt;0,G650&gt;F650,N650&lt;0,P650="Non trouvé"),"À vérifier","OK")</x:f>
        <x:v>OK</x:v>
      </x:c>
    </x:row>
    <x:row r="651">
      <x:c r="A651" t="str">
        <x:v>DV-2026-00650</x:v>
      </x:c>
      <x:c r="B651" s="16" t="n">
        <x:v>46134</x:v>
      </x:c>
      <x:c r="C651" t="str">
        <x:v>Client 03</x:v>
      </x:c>
      <x:c r="D651" t="str">
        <x:v>Logistique</x:v>
      </x:c>
      <x:c r="E651" t="str">
        <x:v>Pôle C</x:v>
      </x:c>
      <x:c r="F651" s="18" t="n">
        <x:v>12816.81</x:v>
      </x:c>
      <x:c r="G651" s="18" t="n">
        <x:v>12816.81</x:v>
      </x:c>
      <x:c r="H651" t="str">
        <x:v>Client 46</x:v>
      </x:c>
      <x:c r="I651" s="16" t="n">
        <x:v>46166</x:v>
      </x:c>
      <x:c r="J651" t="n">
        <x:f>YEAR(B651)</x:f>
        <x:v>2026</x:v>
      </x:c>
      <x:c r="K651" s="20" t="n">
        <x:f>DATE(YEAR(B651),MONTH(B651),1)</x:f>
        <x:v>46113</x:v>
      </x:c>
      <x:c r="L651" s="18" t="n">
        <x:f>F651-G651</x:f>
        <x:v>0</x:v>
      </x:c>
      <x:c r="M651" t="str">
        <x:f>IF(L651&lt;=0,"Payée",IF(G651=0,"Impayée","Partielle"))</x:f>
        <x:v>Payée</x:v>
      </x:c>
      <x:c r="N651" t="n">
        <x:f>IF(I651="","",I651-B651)</x:f>
        <x:v>32</x:v>
      </x:c>
      <x:c r="O651" t="str">
        <x:f>IF(TRIM(C651)&lt;&gt;TRIM(H651),"Oui","Non")</x:f>
        <x:v>Oui</x:v>
      </x:c>
      <x:c r="P651" t="str">
        <x:f>IFERROR(INDEX('02_REFERENTIEL_CLIENTS'!$B$2:$B$51,MATCH(TRIM(C651),'02_REFERENTIEL_CLIENTS'!$A$2:$A$51,0)),"Non trouvé")</x:f>
        <x:v>Particuliers</x:v>
      </x:c>
      <x:c r="Q651" t="str">
        <x:f>IFERROR(INDEX('02_REFERENTIEL_CLIENTS'!$C$2:$C$51,MATCH(TRIM(C651),'02_REFERENTIEL_CLIENTS'!$A$2:$A$51,0)),"Non trouvé")</x:f>
        <x:v>International</x:v>
      </x:c>
      <x:c r="R651" t="str">
        <x:f>IF(OR(F651&lt;=0,G651&lt;0,G651&gt;F651,N651&lt;0,P651="Non trouvé"),"À vérifier","OK")</x:f>
        <x:v>OK</x:v>
      </x:c>
    </x:row>
    <x:row r="652">
      <x:c r="A652" t="str">
        <x:v>DV-2024-00651</x:v>
      </x:c>
      <x:c r="B652" s="16" t="n">
        <x:v>45511</x:v>
      </x:c>
      <x:c r="C652" t="str">
        <x:v>Client 26</x:v>
      </x:c>
      <x:c r="D652" t="str">
        <x:v>Express</x:v>
      </x:c>
      <x:c r="E652" t="str">
        <x:v>Pôle D</x:v>
      </x:c>
      <x:c r="F652" s="18" t="n">
        <x:v>20416.23</x:v>
      </x:c>
      <x:c r="G652" s="18" t="n">
        <x:v>0</x:v>
      </x:c>
      <x:c r="H652" t="str">
        <x:v>Client 26</x:v>
      </x:c>
      <x:c r="I652" s="16"/>
      <x:c r="J652" t="n">
        <x:f>YEAR(B652)</x:f>
        <x:v>2024</x:v>
      </x:c>
      <x:c r="K652" s="20" t="n">
        <x:f>DATE(YEAR(B652),MONTH(B652),1)</x:f>
        <x:v>45505</x:v>
      </x:c>
      <x:c r="L652" s="18" t="n">
        <x:f>F652-G652</x:f>
        <x:v>20416.23</x:v>
      </x:c>
      <x:c r="M652" t="str">
        <x:f>IF(L652&lt;=0,"Payée",IF(G652=0,"Impayée","Partielle"))</x:f>
        <x:v>Impayée</x:v>
      </x:c>
      <x:c r="N652" t="str">
        <x:f>IF(I652="","",I652-B652)</x:f>
      </x:c>
      <x:c r="O652" t="str">
        <x:f>IF(TRIM(C652)&lt;&gt;TRIM(H652),"Oui","Non")</x:f>
        <x:v>Non</x:v>
      </x:c>
      <x:c r="P652" t="str">
        <x:f>IFERROR(INDEX('02_REFERENTIEL_CLIENTS'!$B$2:$B$51,MATCH(TRIM(C652),'02_REFERENTIEL_CLIENTS'!$A$2:$A$51,0)),"Non trouvé")</x:f>
        <x:v>PME</x:v>
      </x:c>
      <x:c r="Q652" t="str">
        <x:f>IFERROR(INDEX('02_REFERENTIEL_CLIENTS'!$C$2:$C$51,MATCH(TRIM(C652),'02_REFERENTIEL_CLIENTS'!$A$2:$A$51,0)),"Non trouvé")</x:f>
        <x:v>Europe</x:v>
      </x:c>
      <x:c r="R652" t="str">
        <x:f>IF(OR(F652&lt;=0,G652&lt;0,G652&gt;F652,N652&lt;0,P652="Non trouvé"),"À vérifier","OK")</x:f>
        <x:v>OK</x:v>
      </x:c>
    </x:row>
    <x:row r="653">
      <x:c r="A653" t="str">
        <x:v>DV-2024-00652</x:v>
      </x:c>
      <x:c r="B653" s="16" t="n">
        <x:v>45437</x:v>
      </x:c>
      <x:c r="C653" t="str">
        <x:v>Client 18</x:v>
      </x:c>
      <x:c r="D653" t="str">
        <x:v>Fret aérien</x:v>
      </x:c>
      <x:c r="E653" t="str">
        <x:v>Pôle B</x:v>
      </x:c>
      <x:c r="F653" s="18" t="n">
        <x:v>9956.44</x:v>
      </x:c>
      <x:c r="G653" s="18" t="n">
        <x:v>9956.44</x:v>
      </x:c>
      <x:c r="H653" t="str">
        <x:v>Client 18</x:v>
      </x:c>
      <x:c r="I653" s="16" t="n">
        <x:v>45471</x:v>
      </x:c>
      <x:c r="J653" t="n">
        <x:f>YEAR(B653)</x:f>
        <x:v>2024</x:v>
      </x:c>
      <x:c r="K653" s="20" t="n">
        <x:f>DATE(YEAR(B653),MONTH(B653),1)</x:f>
        <x:v>45413</x:v>
      </x:c>
      <x:c r="L653" s="18" t="n">
        <x:f>F653-G653</x:f>
        <x:v>0</x:v>
      </x:c>
      <x:c r="M653" t="str">
        <x:f>IF(L653&lt;=0,"Payée",IF(G653=0,"Impayée","Partielle"))</x:f>
        <x:v>Payée</x:v>
      </x:c>
      <x:c r="N653" t="n">
        <x:f>IF(I653="","",I653-B653)</x:f>
        <x:v>34</x:v>
      </x:c>
      <x:c r="O653" t="str">
        <x:f>IF(TRIM(C653)&lt;&gt;TRIM(H653),"Oui","Non")</x:f>
        <x:v>Non</x:v>
      </x:c>
      <x:c r="P653" t="str">
        <x:f>IFERROR(INDEX('02_REFERENTIEL_CLIENTS'!$B$2:$B$51,MATCH(TRIM(C653),'02_REFERENTIEL_CLIENTS'!$A$2:$A$51,0)),"Non trouvé")</x:f>
        <x:v>Particuliers</x:v>
      </x:c>
      <x:c r="Q653" t="str">
        <x:f>IFERROR(INDEX('02_REFERENTIEL_CLIENTS'!$C$2:$C$51,MATCH(TRIM(C653),'02_REFERENTIEL_CLIENTS'!$A$2:$A$51,0)),"Non trouvé")</x:f>
        <x:v>International</x:v>
      </x:c>
      <x:c r="R653" t="str">
        <x:f>IF(OR(F653&lt;=0,G653&lt;0,G653&gt;F653,N653&lt;0,P653="Non trouvé"),"À vérifier","OK")</x:f>
        <x:v>OK</x:v>
      </x:c>
    </x:row>
    <x:row r="654">
      <x:c r="A654" t="str">
        <x:v>DV-2025-00653</x:v>
      </x:c>
      <x:c r="B654" s="16" t="n">
        <x:v>45748</x:v>
      </x:c>
      <x:c r="C654" t="str">
        <x:v>Client 35</x:v>
      </x:c>
      <x:c r="D654" t="str">
        <x:v>Express</x:v>
      </x:c>
      <x:c r="E654" t="str">
        <x:v>Pôle C</x:v>
      </x:c>
      <x:c r="F654" s="18" t="n">
        <x:v>23869.38</x:v>
      </x:c>
      <x:c r="G654" s="18" t="n">
        <x:v>23869.38</x:v>
      </x:c>
      <x:c r="H654" t="str">
        <x:v>Client 35</x:v>
      </x:c>
      <x:c r="I654" s="16" t="n">
        <x:v>45839</x:v>
      </x:c>
      <x:c r="J654" t="n">
        <x:f>YEAR(B654)</x:f>
        <x:v>2025</x:v>
      </x:c>
      <x:c r="K654" s="20" t="n">
        <x:f>DATE(YEAR(B654),MONTH(B654),1)</x:f>
        <x:v>45748</x:v>
      </x:c>
      <x:c r="L654" s="18" t="n">
        <x:f>F654-G654</x:f>
        <x:v>0</x:v>
      </x:c>
      <x:c r="M654" t="str">
        <x:f>IF(L654&lt;=0,"Payée",IF(G654=0,"Impayée","Partielle"))</x:f>
        <x:v>Payée</x:v>
      </x:c>
      <x:c r="N654" t="n">
        <x:f>IF(I654="","",I654-B654)</x:f>
        <x:v>91</x:v>
      </x:c>
      <x:c r="O654" t="str">
        <x:f>IF(TRIM(C654)&lt;&gt;TRIM(H654),"Oui","Non")</x:f>
        <x:v>Non</x:v>
      </x:c>
      <x:c r="P654" t="str">
        <x:f>IFERROR(INDEX('02_REFERENTIEL_CLIENTS'!$B$2:$B$51,MATCH(TRIM(C654),'02_REFERENTIEL_CLIENTS'!$A$2:$A$51,0)),"Non trouvé")</x:f>
        <x:v>PME</x:v>
      </x:c>
      <x:c r="Q654" t="str">
        <x:f>IFERROR(INDEX('02_REFERENTIEL_CLIENTS'!$C$2:$C$51,MATCH(TRIM(C654),'02_REFERENTIEL_CLIENTS'!$A$2:$A$51,0)),"Non trouvé")</x:f>
        <x:v>Europe</x:v>
      </x:c>
      <x:c r="R654" t="str">
        <x:f>IF(OR(F654&lt;=0,G654&lt;0,G654&gt;F654,N654&lt;0,P654="Non trouvé"),"À vérifier","OK")</x:f>
        <x:v>OK</x:v>
      </x:c>
    </x:row>
    <x:row r="655">
      <x:c r="A655" t="str">
        <x:v>DV-2024-00654</x:v>
      </x:c>
      <x:c r="B655" s="16" t="n">
        <x:v>45397</x:v>
      </x:c>
      <x:c r="C655" t="str">
        <x:v>Client 01</x:v>
      </x:c>
      <x:c r="D655" t="str">
        <x:v>Douane</x:v>
      </x:c>
      <x:c r="E655" t="str">
        <x:v>Pôle A</x:v>
      </x:c>
      <x:c r="F655" s="18" t="n">
        <x:v>10368.18</x:v>
      </x:c>
      <x:c r="G655" s="18" t="n">
        <x:v>10368.18</x:v>
      </x:c>
      <x:c r="H655" t="str">
        <x:v>Client 01</x:v>
      </x:c>
      <x:c r="I655" s="16" t="n">
        <x:v>45490</x:v>
      </x:c>
      <x:c r="J655" t="n">
        <x:f>YEAR(B655)</x:f>
        <x:v>2024</x:v>
      </x:c>
      <x:c r="K655" s="20" t="n">
        <x:f>DATE(YEAR(B655),MONTH(B655),1)</x:f>
        <x:v>45383</x:v>
      </x:c>
      <x:c r="L655" s="18" t="n">
        <x:f>F655-G655</x:f>
        <x:v>0</x:v>
      </x:c>
      <x:c r="M655" t="str">
        <x:f>IF(L655&lt;=0,"Payée",IF(G655=0,"Impayée","Partielle"))</x:f>
        <x:v>Payée</x:v>
      </x:c>
      <x:c r="N655" t="n">
        <x:f>IF(I655="","",I655-B655)</x:f>
        <x:v>93</x:v>
      </x:c>
      <x:c r="O655" t="str">
        <x:f>IF(TRIM(C655)&lt;&gt;TRIM(H655),"Oui","Non")</x:f>
        <x:v>Non</x:v>
      </x:c>
      <x:c r="P655" t="str">
        <x:f>IFERROR(INDEX('02_REFERENTIEL_CLIENTS'!$B$2:$B$51,MATCH(TRIM(C655),'02_REFERENTIEL_CLIENTS'!$A$2:$A$51,0)),"Non trouvé")</x:f>
        <x:v>Grands comptes</x:v>
      </x:c>
      <x:c r="Q655" t="str">
        <x:f>IFERROR(INDEX('02_REFERENTIEL_CLIENTS'!$C$2:$C$51,MATCH(TRIM(C655),'02_REFERENTIEL_CLIENTS'!$A$2:$A$51,0)),"Non trouvé")</x:f>
        <x:v>France</x:v>
      </x:c>
      <x:c r="R655" t="str">
        <x:f>IF(OR(F655&lt;=0,G655&lt;0,G655&gt;F655,N655&lt;0,P655="Non trouvé"),"À vérifier","OK")</x:f>
        <x:v>OK</x:v>
      </x:c>
    </x:row>
    <x:row r="656">
      <x:c r="A656" t="str">
        <x:v>DV-2026-00655</x:v>
      </x:c>
      <x:c r="B656" s="16" t="n">
        <x:v>46213</x:v>
      </x:c>
      <x:c r="C656" t="str">
        <x:v>Client 44</x:v>
      </x:c>
      <x:c r="D656" t="str">
        <x:v>Logistique</x:v>
      </x:c>
      <x:c r="E656" t="str">
        <x:v>Pôle B</x:v>
      </x:c>
      <x:c r="F656" s="18" t="n">
        <x:v>16877.73</x:v>
      </x:c>
      <x:c r="G656" s="18" t="n">
        <x:v>0</x:v>
      </x:c>
      <x:c r="H656" t="str">
        <x:v>Client 44</x:v>
      </x:c>
      <x:c r="I656" s="16"/>
      <x:c r="J656" t="n">
        <x:f>YEAR(B656)</x:f>
        <x:v>2026</x:v>
      </x:c>
      <x:c r="K656" s="20" t="n">
        <x:f>DATE(YEAR(B656),MONTH(B656),1)</x:f>
        <x:v>46204</x:v>
      </x:c>
      <x:c r="L656" s="18" t="n">
        <x:f>F656-G656</x:f>
        <x:v>16877.73</x:v>
      </x:c>
      <x:c r="M656" t="str">
        <x:f>IF(L656&lt;=0,"Payée",IF(G656=0,"Impayée","Partielle"))</x:f>
        <x:v>Impayée</x:v>
      </x:c>
      <x:c r="N656" t="str">
        <x:f>IF(I656="","",I656-B656)</x:f>
      </x:c>
      <x:c r="O656" t="str">
        <x:f>IF(TRIM(C656)&lt;&gt;TRIM(H656),"Oui","Non")</x:f>
        <x:v>Non</x:v>
      </x:c>
      <x:c r="P656" t="str">
        <x:f>IFERROR(INDEX('02_REFERENTIEL_CLIENTS'!$B$2:$B$51,MATCH(TRIM(C656),'02_REFERENTIEL_CLIENTS'!$A$2:$A$51,0)),"Non trouvé")</x:f>
        <x:v>PME</x:v>
      </x:c>
      <x:c r="Q656" t="str">
        <x:f>IFERROR(INDEX('02_REFERENTIEL_CLIENTS'!$C$2:$C$51,MATCH(TRIM(C656),'02_REFERENTIEL_CLIENTS'!$A$2:$A$51,0)),"Non trouvé")</x:f>
        <x:v>Europe</x:v>
      </x:c>
      <x:c r="R656" t="str">
        <x:f>IF(OR(F656&lt;=0,G656&lt;0,G656&gt;F656,N656&lt;0,P656="Non trouvé"),"À vérifier","OK")</x:f>
        <x:v>OK</x:v>
      </x:c>
    </x:row>
    <x:row r="657">
      <x:c r="A657" t="str">
        <x:v>DV-2024-00656</x:v>
      </x:c>
      <x:c r="B657" s="16" t="n">
        <x:v>45602</x:v>
      </x:c>
      <x:c r="C657" t="str">
        <x:v>Client 17</x:v>
      </x:c>
      <x:c r="D657" t="str">
        <x:v>Fret aérien</x:v>
      </x:c>
      <x:c r="E657" t="str">
        <x:v>Pôle E</x:v>
      </x:c>
      <x:c r="F657" s="18" t="n">
        <x:v>13755.06</x:v>
      </x:c>
      <x:c r="G657" s="18" t="n">
        <x:v>13755.06</x:v>
      </x:c>
      <x:c r="H657" t="str">
        <x:v>Client 34</x:v>
      </x:c>
      <x:c r="I657" s="16" t="n">
        <x:v>45652</x:v>
      </x:c>
      <x:c r="J657" t="n">
        <x:f>YEAR(B657)</x:f>
        <x:v>2024</x:v>
      </x:c>
      <x:c r="K657" s="20" t="n">
        <x:f>DATE(YEAR(B657),MONTH(B657),1)</x:f>
        <x:v>45597</x:v>
      </x:c>
      <x:c r="L657" s="18" t="n">
        <x:f>F657-G657</x:f>
        <x:v>0</x:v>
      </x:c>
      <x:c r="M657" t="str">
        <x:f>IF(L657&lt;=0,"Payée",IF(G657=0,"Impayée","Partielle"))</x:f>
        <x:v>Payée</x:v>
      </x:c>
      <x:c r="N657" t="n">
        <x:f>IF(I657="","",I657-B657)</x:f>
        <x:v>50</x:v>
      </x:c>
      <x:c r="O657" t="str">
        <x:f>IF(TRIM(C657)&lt;&gt;TRIM(H657),"Oui","Non")</x:f>
        <x:v>Oui</x:v>
      </x:c>
      <x:c r="P657" t="str">
        <x:f>IFERROR(INDEX('02_REFERENTIEL_CLIENTS'!$B$2:$B$51,MATCH(TRIM(C657),'02_REFERENTIEL_CLIENTS'!$A$2:$A$51,0)),"Non trouvé")</x:f>
        <x:v>PME</x:v>
      </x:c>
      <x:c r="Q657" t="str">
        <x:f>IFERROR(INDEX('02_REFERENTIEL_CLIENTS'!$C$2:$C$51,MATCH(TRIM(C657),'02_REFERENTIEL_CLIENTS'!$A$2:$A$51,0)),"Non trouvé")</x:f>
        <x:v>Europe</x:v>
      </x:c>
      <x:c r="R657" t="str">
        <x:f>IF(OR(F657&lt;=0,G657&lt;0,G657&gt;F657,N657&lt;0,P657="Non trouvé"),"À vérifier","OK")</x:f>
        <x:v>OK</x:v>
      </x:c>
    </x:row>
    <x:row r="658">
      <x:c r="A658" t="str">
        <x:v>DV-2025-00657</x:v>
      </x:c>
      <x:c r="B658" s="16" t="n">
        <x:v>45969</x:v>
      </x:c>
      <x:c r="C658" t="str">
        <x:v>Client 41</x:v>
      </x:c>
      <x:c r="D658" t="str">
        <x:v>Fret aérien</x:v>
      </x:c>
      <x:c r="E658" t="str">
        <x:v>Pôle D</x:v>
      </x:c>
      <x:c r="F658" s="18" t="n">
        <x:v>22892.6</x:v>
      </x:c>
      <x:c r="G658" s="18" t="n">
        <x:v>22892.6</x:v>
      </x:c>
      <x:c r="H658" t="str">
        <x:v>Client 30</x:v>
      </x:c>
      <x:c r="I658" s="16" t="n">
        <x:v>46043</x:v>
      </x:c>
      <x:c r="J658" t="n">
        <x:f>YEAR(B658)</x:f>
        <x:v>2025</x:v>
      </x:c>
      <x:c r="K658" s="20" t="n">
        <x:f>DATE(YEAR(B658),MONTH(B658),1)</x:f>
        <x:v>45962</x:v>
      </x:c>
      <x:c r="L658" s="18" t="n">
        <x:f>F658-G658</x:f>
        <x:v>0</x:v>
      </x:c>
      <x:c r="M658" t="str">
        <x:f>IF(L658&lt;=0,"Payée",IF(G658=0,"Impayée","Partielle"))</x:f>
        <x:v>Payée</x:v>
      </x:c>
      <x:c r="N658" t="n">
        <x:f>IF(I658="","",I658-B658)</x:f>
        <x:v>74</x:v>
      </x:c>
      <x:c r="O658" t="str">
        <x:f>IF(TRIM(C658)&lt;&gt;TRIM(H658),"Oui","Non")</x:f>
        <x:v>Oui</x:v>
      </x:c>
      <x:c r="P658" t="str">
        <x:f>IFERROR(INDEX('02_REFERENTIEL_CLIENTS'!$B$2:$B$51,MATCH(TRIM(C658),'02_REFERENTIEL_CLIENTS'!$A$2:$A$51,0)),"Non trouvé")</x:f>
        <x:v>PME</x:v>
      </x:c>
      <x:c r="Q658" t="str">
        <x:f>IFERROR(INDEX('02_REFERENTIEL_CLIENTS'!$C$2:$C$51,MATCH(TRIM(C658),'02_REFERENTIEL_CLIENTS'!$A$2:$A$51,0)),"Non trouvé")</x:f>
        <x:v>Europe</x:v>
      </x:c>
      <x:c r="R658" t="str">
        <x:f>IF(OR(F658&lt;=0,G658&lt;0,G658&gt;F658,N658&lt;0,P658="Non trouvé"),"À vérifier","OK")</x:f>
        <x:v>OK</x:v>
      </x:c>
    </x:row>
    <x:row r="659">
      <x:c r="A659" t="str">
        <x:v>DV-2024-00658</x:v>
      </x:c>
      <x:c r="B659" s="16" t="n">
        <x:v>45581</x:v>
      </x:c>
      <x:c r="C659" t="str">
        <x:v>Client 09</x:v>
      </x:c>
      <x:c r="D659" t="str">
        <x:v>Fret aérien</x:v>
      </x:c>
      <x:c r="E659" t="str">
        <x:v>Pôle E</x:v>
      </x:c>
      <x:c r="F659" s="18" t="n">
        <x:v>12991.61</x:v>
      </x:c>
      <x:c r="G659" s="18" t="n">
        <x:v>12991.61</x:v>
      </x:c>
      <x:c r="H659" t="str">
        <x:v>Client 09</x:v>
      </x:c>
      <x:c r="I659" s="16" t="n">
        <x:v>45632</x:v>
      </x:c>
      <x:c r="J659" t="n">
        <x:f>YEAR(B659)</x:f>
        <x:v>2024</x:v>
      </x:c>
      <x:c r="K659" s="20" t="n">
        <x:f>DATE(YEAR(B659),MONTH(B659),1)</x:f>
        <x:v>45566</x:v>
      </x:c>
      <x:c r="L659" s="18" t="n">
        <x:f>F659-G659</x:f>
        <x:v>0</x:v>
      </x:c>
      <x:c r="M659" t="str">
        <x:f>IF(L659&lt;=0,"Payée",IF(G659=0,"Impayée","Partielle"))</x:f>
        <x:v>Payée</x:v>
      </x:c>
      <x:c r="N659" t="n">
        <x:f>IF(I659="","",I659-B659)</x:f>
        <x:v>51</x:v>
      </x:c>
      <x:c r="O659" t="str">
        <x:f>IF(TRIM(C659)&lt;&gt;TRIM(H659),"Oui","Non")</x:f>
        <x:v>Non</x:v>
      </x:c>
      <x:c r="P659" t="str">
        <x:f>IFERROR(INDEX('02_REFERENTIEL_CLIENTS'!$B$2:$B$51,MATCH(TRIM(C659),'02_REFERENTIEL_CLIENTS'!$A$2:$A$51,0)),"Non trouvé")</x:f>
        <x:v>Particuliers</x:v>
      </x:c>
      <x:c r="Q659" t="str">
        <x:f>IFERROR(INDEX('02_REFERENTIEL_CLIENTS'!$C$2:$C$51,MATCH(TRIM(C659),'02_REFERENTIEL_CLIENTS'!$A$2:$A$51,0)),"Non trouvé")</x:f>
        <x:v>International</x:v>
      </x:c>
      <x:c r="R659" t="str">
        <x:f>IF(OR(F659&lt;=0,G659&lt;0,G659&gt;F659,N659&lt;0,P659="Non trouvé"),"À vérifier","OK")</x:f>
        <x:v>OK</x:v>
      </x:c>
    </x:row>
    <x:row r="660">
      <x:c r="A660" t="str">
        <x:v>DV-2024-00659</x:v>
      </x:c>
      <x:c r="B660" s="16" t="n">
        <x:v>45385</x:v>
      </x:c>
      <x:c r="C660" t="str">
        <x:v>Client 12</x:v>
      </x:c>
      <x:c r="D660" t="str">
        <x:v>Fret aérien</x:v>
      </x:c>
      <x:c r="E660" t="str">
        <x:v>Pôle B</x:v>
      </x:c>
      <x:c r="F660" s="18" t="n">
        <x:v>3581.58</x:v>
      </x:c>
      <x:c r="G660" s="18" t="n">
        <x:v>3581.58</x:v>
      </x:c>
      <x:c r="H660" t="str">
        <x:v>Client 12</x:v>
      </x:c>
      <x:c r="I660" s="16" t="n">
        <x:v>45395</x:v>
      </x:c>
      <x:c r="J660" t="n">
        <x:f>YEAR(B660)</x:f>
        <x:v>2024</x:v>
      </x:c>
      <x:c r="K660" s="20" t="n">
        <x:f>DATE(YEAR(B660),MONTH(B660),1)</x:f>
        <x:v>45383</x:v>
      </x:c>
      <x:c r="L660" s="18" t="n">
        <x:f>F660-G660</x:f>
        <x:v>0</x:v>
      </x:c>
      <x:c r="M660" t="str">
        <x:f>IF(L660&lt;=0,"Payée",IF(G660=0,"Impayée","Partielle"))</x:f>
        <x:v>Payée</x:v>
      </x:c>
      <x:c r="N660" t="n">
        <x:f>IF(I660="","",I660-B660)</x:f>
        <x:v>10</x:v>
      </x:c>
      <x:c r="O660" t="str">
        <x:f>IF(TRIM(C660)&lt;&gt;TRIM(H660),"Oui","Non")</x:f>
        <x:v>Non</x:v>
      </x:c>
      <x:c r="P660" t="str">
        <x:f>IFERROR(INDEX('02_REFERENTIEL_CLIENTS'!$B$2:$B$51,MATCH(TRIM(C660),'02_REFERENTIEL_CLIENTS'!$A$2:$A$51,0)),"Non trouvé")</x:f>
        <x:v>Particuliers</x:v>
      </x:c>
      <x:c r="Q660" t="str">
        <x:f>IFERROR(INDEX('02_REFERENTIEL_CLIENTS'!$C$2:$C$51,MATCH(TRIM(C660),'02_REFERENTIEL_CLIENTS'!$A$2:$A$51,0)),"Non trouvé")</x:f>
        <x:v>International</x:v>
      </x:c>
      <x:c r="R660" t="str">
        <x:f>IF(OR(F660&lt;=0,G660&lt;0,G660&gt;F660,N660&lt;0,P660="Non trouvé"),"À vérifier","OK")</x:f>
        <x:v>OK</x:v>
      </x:c>
    </x:row>
    <x:row r="661">
      <x:c r="A661" t="str">
        <x:v>DV-2025-00660</x:v>
      </x:c>
      <x:c r="B661" s="16" t="n">
        <x:v>45724</x:v>
      </x:c>
      <x:c r="C661" t="str">
        <x:v>Client 32</x:v>
      </x:c>
      <x:c r="D661" t="str">
        <x:v>Fret aérien</x:v>
      </x:c>
      <x:c r="E661" t="str">
        <x:v>Pôle C</x:v>
      </x:c>
      <x:c r="F661" s="18" t="n">
        <x:v>20678.05</x:v>
      </x:c>
      <x:c r="G661" s="18" t="n">
        <x:v>20678.05</x:v>
      </x:c>
      <x:c r="H661" t="str">
        <x:v>Client 32</x:v>
      </x:c>
      <x:c r="I661" s="16" t="n">
        <x:v>45793</x:v>
      </x:c>
      <x:c r="J661" t="n">
        <x:f>YEAR(B661)</x:f>
        <x:v>2025</x:v>
      </x:c>
      <x:c r="K661" s="20" t="n">
        <x:f>DATE(YEAR(B661),MONTH(B661),1)</x:f>
        <x:v>45717</x:v>
      </x:c>
      <x:c r="L661" s="18" t="n">
        <x:f>F661-G661</x:f>
        <x:v>0</x:v>
      </x:c>
      <x:c r="M661" t="str">
        <x:f>IF(L661&lt;=0,"Payée",IF(G661=0,"Impayée","Partielle"))</x:f>
        <x:v>Payée</x:v>
      </x:c>
      <x:c r="N661" t="n">
        <x:f>IF(I661="","",I661-B661)</x:f>
        <x:v>69</x:v>
      </x:c>
      <x:c r="O661" t="str">
        <x:f>IF(TRIM(C661)&lt;&gt;TRIM(H661),"Oui","Non")</x:f>
        <x:v>Non</x:v>
      </x:c>
      <x:c r="P661" t="str">
        <x:f>IFERROR(INDEX('02_REFERENTIEL_CLIENTS'!$B$2:$B$51,MATCH(TRIM(C661),'02_REFERENTIEL_CLIENTS'!$A$2:$A$51,0)),"Non trouvé")</x:f>
        <x:v>PME</x:v>
      </x:c>
      <x:c r="Q661" t="str">
        <x:f>IFERROR(INDEX('02_REFERENTIEL_CLIENTS'!$C$2:$C$51,MATCH(TRIM(C661),'02_REFERENTIEL_CLIENTS'!$A$2:$A$51,0)),"Non trouvé")</x:f>
        <x:v>Europe</x:v>
      </x:c>
      <x:c r="R661" t="str">
        <x:f>IF(OR(F661&lt;=0,G661&lt;0,G661&gt;F661,N661&lt;0,P661="Non trouvé"),"À vérifier","OK")</x:f>
        <x:v>OK</x:v>
      </x:c>
    </x:row>
    <x:row r="662">
      <x:c r="A662" t="str">
        <x:v>DV-2026-00661</x:v>
      </x:c>
      <x:c r="B662" s="16" t="n">
        <x:v>46197</x:v>
      </x:c>
      <x:c r="C662" t="str">
        <x:v>Client 08</x:v>
      </x:c>
      <x:c r="D662" t="str">
        <x:v>Logistique</x:v>
      </x:c>
      <x:c r="E662" t="str">
        <x:v>Pôle A</x:v>
      </x:c>
      <x:c r="F662" s="18" t="n">
        <x:v>2649.76</x:v>
      </x:c>
      <x:c r="G662" s="18" t="n">
        <x:v>2649.76</x:v>
      </x:c>
      <x:c r="H662" t="str">
        <x:v>Client 16</x:v>
      </x:c>
      <x:c r="I662" s="16" t="n">
        <x:v>46198</x:v>
      </x:c>
      <x:c r="J662" t="n">
        <x:f>YEAR(B662)</x:f>
        <x:v>2026</x:v>
      </x:c>
      <x:c r="K662" s="20" t="n">
        <x:f>DATE(YEAR(B662),MONTH(B662),1)</x:f>
        <x:v>46174</x:v>
      </x:c>
      <x:c r="L662" s="18" t="n">
        <x:f>F662-G662</x:f>
        <x:v>0</x:v>
      </x:c>
      <x:c r="M662" t="str">
        <x:f>IF(L662&lt;=0,"Payée",IF(G662=0,"Impayée","Partielle"))</x:f>
        <x:v>Payée</x:v>
      </x:c>
      <x:c r="N662" t="n">
        <x:f>IF(I662="","",I662-B662)</x:f>
        <x:v>1</x:v>
      </x:c>
      <x:c r="O662" t="str">
        <x:f>IF(TRIM(C662)&lt;&gt;TRIM(H662),"Oui","Non")</x:f>
        <x:v>Oui</x:v>
      </x:c>
      <x:c r="P662" t="str">
        <x:f>IFERROR(INDEX('02_REFERENTIEL_CLIENTS'!$B$2:$B$51,MATCH(TRIM(C662),'02_REFERENTIEL_CLIENTS'!$A$2:$A$51,0)),"Non trouvé")</x:f>
        <x:v>PME</x:v>
      </x:c>
      <x:c r="Q662" t="str">
        <x:f>IFERROR(INDEX('02_REFERENTIEL_CLIENTS'!$C$2:$C$51,MATCH(TRIM(C662),'02_REFERENTIEL_CLIENTS'!$A$2:$A$51,0)),"Non trouvé")</x:f>
        <x:v>Europe</x:v>
      </x:c>
      <x:c r="R662" t="str">
        <x:f>IF(OR(F662&lt;=0,G662&lt;0,G662&gt;F662,N662&lt;0,P662="Non trouvé"),"À vérifier","OK")</x:f>
        <x:v>OK</x:v>
      </x:c>
    </x:row>
    <x:row r="663">
      <x:c r="A663" t="str">
        <x:v>DV-2024-00662</x:v>
      </x:c>
      <x:c r="B663" s="16" t="n">
        <x:v>45500</x:v>
      </x:c>
      <x:c r="C663" t="str">
        <x:v>Client 33</x:v>
      </x:c>
      <x:c r="D663" t="str">
        <x:v>Logistique</x:v>
      </x:c>
      <x:c r="E663" t="str">
        <x:v>Pôle D</x:v>
      </x:c>
      <x:c r="F663" s="18" t="n">
        <x:v>21406.89</x:v>
      </x:c>
      <x:c r="G663" s="18" t="n">
        <x:v>21406.89</x:v>
      </x:c>
      <x:c r="H663" t="str">
        <x:v>Client 33</x:v>
      </x:c>
      <x:c r="I663" s="16" t="n">
        <x:v>45517</x:v>
      </x:c>
      <x:c r="J663" t="n">
        <x:f>YEAR(B663)</x:f>
        <x:v>2024</x:v>
      </x:c>
      <x:c r="K663" s="20" t="n">
        <x:f>DATE(YEAR(B663),MONTH(B663),1)</x:f>
        <x:v>45474</x:v>
      </x:c>
      <x:c r="L663" s="18" t="n">
        <x:f>F663-G663</x:f>
        <x:v>0</x:v>
      </x:c>
      <x:c r="M663" t="str">
        <x:f>IF(L663&lt;=0,"Payée",IF(G663=0,"Impayée","Partielle"))</x:f>
        <x:v>Payée</x:v>
      </x:c>
      <x:c r="N663" t="n">
        <x:f>IF(I663="","",I663-B663)</x:f>
        <x:v>17</x:v>
      </x:c>
      <x:c r="O663" t="str">
        <x:f>IF(TRIM(C663)&lt;&gt;TRIM(H663),"Oui","Non")</x:f>
        <x:v>Non</x:v>
      </x:c>
      <x:c r="P663" t="str">
        <x:f>IFERROR(INDEX('02_REFERENTIEL_CLIENTS'!$B$2:$B$51,MATCH(TRIM(C663),'02_REFERENTIEL_CLIENTS'!$A$2:$A$51,0)),"Non trouvé")</x:f>
        <x:v>Particuliers</x:v>
      </x:c>
      <x:c r="Q663" t="str">
        <x:f>IFERROR(INDEX('02_REFERENTIEL_CLIENTS'!$C$2:$C$51,MATCH(TRIM(C663),'02_REFERENTIEL_CLIENTS'!$A$2:$A$51,0)),"Non trouvé")</x:f>
        <x:v>International</x:v>
      </x:c>
      <x:c r="R663" t="str">
        <x:f>IF(OR(F663&lt;=0,G663&lt;0,G663&gt;F663,N663&lt;0,P663="Non trouvé"),"À vérifier","OK")</x:f>
        <x:v>OK</x:v>
      </x:c>
    </x:row>
    <x:row r="664">
      <x:c r="A664" t="str">
        <x:v>DV-2024-00663</x:v>
      </x:c>
      <x:c r="B664" s="16" t="n">
        <x:v>45364</x:v>
      </x:c>
      <x:c r="C664" t="str">
        <x:v>Client 22</x:v>
      </x:c>
      <x:c r="D664" t="str">
        <x:v>Douane</x:v>
      </x:c>
      <x:c r="E664" t="str">
        <x:v>Pôle B</x:v>
      </x:c>
      <x:c r="F664" s="18" t="n">
        <x:v>22090.58</x:v>
      </x:c>
      <x:c r="G664" s="18" t="n">
        <x:v>22090.58</x:v>
      </x:c>
      <x:c r="H664" t="str">
        <x:v>Client 26</x:v>
      </x:c>
      <x:c r="I664" s="16" t="n">
        <x:v>45386</x:v>
      </x:c>
      <x:c r="J664" t="n">
        <x:f>YEAR(B664)</x:f>
        <x:v>2024</x:v>
      </x:c>
      <x:c r="K664" s="20" t="n">
        <x:f>DATE(YEAR(B664),MONTH(B664),1)</x:f>
        <x:v>45352</x:v>
      </x:c>
      <x:c r="L664" s="18" t="n">
        <x:f>F664-G664</x:f>
        <x:v>0</x:v>
      </x:c>
      <x:c r="M664" t="str">
        <x:f>IF(L664&lt;=0,"Payée",IF(G664=0,"Impayée","Partielle"))</x:f>
        <x:v>Payée</x:v>
      </x:c>
      <x:c r="N664" t="n">
        <x:f>IF(I664="","",I664-B664)</x:f>
        <x:v>22</x:v>
      </x:c>
      <x:c r="O664" t="str">
        <x:f>IF(TRIM(C664)&lt;&gt;TRIM(H664),"Oui","Non")</x:f>
        <x:v>Oui</x:v>
      </x:c>
      <x:c r="P664" t="str">
        <x:f>IFERROR(INDEX('02_REFERENTIEL_CLIENTS'!$B$2:$B$51,MATCH(TRIM(C664),'02_REFERENTIEL_CLIENTS'!$A$2:$A$51,0)),"Non trouvé")</x:f>
        <x:v>Grands comptes</x:v>
      </x:c>
      <x:c r="Q664" t="str">
        <x:f>IFERROR(INDEX('02_REFERENTIEL_CLIENTS'!$C$2:$C$51,MATCH(TRIM(C664),'02_REFERENTIEL_CLIENTS'!$A$2:$A$51,0)),"Non trouvé")</x:f>
        <x:v>France</x:v>
      </x:c>
      <x:c r="R664" t="str">
        <x:f>IF(OR(F664&lt;=0,G664&lt;0,G664&gt;F664,N664&lt;0,P664="Non trouvé"),"À vérifier","OK")</x:f>
        <x:v>OK</x:v>
      </x:c>
    </x:row>
    <x:row r="665">
      <x:c r="A665" t="str">
        <x:v>DV-2025-00664</x:v>
      </x:c>
      <x:c r="B665" s="16" t="n">
        <x:v>45662</x:v>
      </x:c>
      <x:c r="C665" t="str">
        <x:v>Client 15</x:v>
      </x:c>
      <x:c r="D665" t="str">
        <x:v>Logistique</x:v>
      </x:c>
      <x:c r="E665" t="str">
        <x:v>Pôle B</x:v>
      </x:c>
      <x:c r="F665" s="18" t="n">
        <x:v>16872.78</x:v>
      </x:c>
      <x:c r="G665" s="18" t="n">
        <x:v>2762.61</x:v>
      </x:c>
      <x:c r="H665" t="str">
        <x:v>Client 15</x:v>
      </x:c>
      <x:c r="I665" s="16" t="n">
        <x:v>45711</x:v>
      </x:c>
      <x:c r="J665" t="n">
        <x:f>YEAR(B665)</x:f>
        <x:v>2025</x:v>
      </x:c>
      <x:c r="K665" s="20" t="n">
        <x:f>DATE(YEAR(B665),MONTH(B665),1)</x:f>
        <x:v>45658</x:v>
      </x:c>
      <x:c r="L665" s="18" t="n">
        <x:f>F665-G665</x:f>
        <x:v>14110.169999999998</x:v>
      </x:c>
      <x:c r="M665" t="str">
        <x:f>IF(L665&lt;=0,"Payée",IF(G665=0,"Impayée","Partielle"))</x:f>
        <x:v>Partielle</x:v>
      </x:c>
      <x:c r="N665" t="n">
        <x:f>IF(I665="","",I665-B665)</x:f>
        <x:v>49</x:v>
      </x:c>
      <x:c r="O665" t="str">
        <x:f>IF(TRIM(C665)&lt;&gt;TRIM(H665),"Oui","Non")</x:f>
        <x:v>Non</x:v>
      </x:c>
      <x:c r="P665" t="str">
        <x:f>IFERROR(INDEX('02_REFERENTIEL_CLIENTS'!$B$2:$B$51,MATCH(TRIM(C665),'02_REFERENTIEL_CLIENTS'!$A$2:$A$51,0)),"Non trouvé")</x:f>
        <x:v>Particuliers</x:v>
      </x:c>
      <x:c r="Q665" t="str">
        <x:f>IFERROR(INDEX('02_REFERENTIEL_CLIENTS'!$C$2:$C$51,MATCH(TRIM(C665),'02_REFERENTIEL_CLIENTS'!$A$2:$A$51,0)),"Non trouvé")</x:f>
        <x:v>International</x:v>
      </x:c>
      <x:c r="R665" t="str">
        <x:f>IF(OR(F665&lt;=0,G665&lt;0,G665&gt;F665,N665&lt;0,P665="Non trouvé"),"À vérifier","OK")</x:f>
        <x:v>OK</x:v>
      </x:c>
    </x:row>
    <x:row r="666">
      <x:c r="A666" t="str">
        <x:v>DV-2025-00665</x:v>
      </x:c>
      <x:c r="B666" s="16" t="n">
        <x:v>45815</x:v>
      </x:c>
      <x:c r="C666" t="str">
        <x:v>Client 23</x:v>
      </x:c>
      <x:c r="D666" t="str">
        <x:v>Logistique</x:v>
      </x:c>
      <x:c r="E666" t="str">
        <x:v>Pôle B</x:v>
      </x:c>
      <x:c r="F666" s="18" t="n">
        <x:v>1948.03</x:v>
      </x:c>
      <x:c r="G666" s="18" t="n">
        <x:v>1948.03</x:v>
      </x:c>
      <x:c r="H666" t="str">
        <x:v>Client 23</x:v>
      </x:c>
      <x:c r="I666" s="16" t="n">
        <x:v>45845</x:v>
      </x:c>
      <x:c r="J666" t="n">
        <x:f>YEAR(B666)</x:f>
        <x:v>2025</x:v>
      </x:c>
      <x:c r="K666" s="20" t="n">
        <x:f>DATE(YEAR(B666),MONTH(B666),1)</x:f>
        <x:v>45809</x:v>
      </x:c>
      <x:c r="L666" s="18" t="n">
        <x:f>F666-G666</x:f>
        <x:v>0</x:v>
      </x:c>
      <x:c r="M666" t="str">
        <x:f>IF(L666&lt;=0,"Payée",IF(G666=0,"Impayée","Partielle"))</x:f>
        <x:v>Payée</x:v>
      </x:c>
      <x:c r="N666" t="n">
        <x:f>IF(I666="","",I666-B666)</x:f>
        <x:v>30</x:v>
      </x:c>
      <x:c r="O666" t="str">
        <x:f>IF(TRIM(C666)&lt;&gt;TRIM(H666),"Oui","Non")</x:f>
        <x:v>Non</x:v>
      </x:c>
      <x:c r="P666" t="str">
        <x:f>IFERROR(INDEX('02_REFERENTIEL_CLIENTS'!$B$2:$B$51,MATCH(TRIM(C666),'02_REFERENTIEL_CLIENTS'!$A$2:$A$51,0)),"Non trouvé")</x:f>
        <x:v>PME</x:v>
      </x:c>
      <x:c r="Q666" t="str">
        <x:f>IFERROR(INDEX('02_REFERENTIEL_CLIENTS'!$C$2:$C$51,MATCH(TRIM(C666),'02_REFERENTIEL_CLIENTS'!$A$2:$A$51,0)),"Non trouvé")</x:f>
        <x:v>Europe</x:v>
      </x:c>
      <x:c r="R666" t="str">
        <x:f>IF(OR(F666&lt;=0,G666&lt;0,G666&gt;F666,N666&lt;0,P666="Non trouvé"),"À vérifier","OK")</x:f>
        <x:v>OK</x:v>
      </x:c>
    </x:row>
    <x:row r="667">
      <x:c r="A667" t="str">
        <x:v>DV-2024-00666</x:v>
      </x:c>
      <x:c r="B667" s="16" t="n">
        <x:v>45607</x:v>
      </x:c>
      <x:c r="C667" t="str">
        <x:v>Client 08</x:v>
      </x:c>
      <x:c r="D667" t="str">
        <x:v>Fret maritime</x:v>
      </x:c>
      <x:c r="E667" t="str">
        <x:v>Pôle B</x:v>
      </x:c>
      <x:c r="F667" s="18" t="n">
        <x:v>8238.91</x:v>
      </x:c>
      <x:c r="G667" s="18" t="n">
        <x:v>0</x:v>
      </x:c>
      <x:c r="H667" t="str">
        <x:v>Client 08</x:v>
      </x:c>
      <x:c r="I667" s="16"/>
      <x:c r="J667" t="n">
        <x:f>YEAR(B667)</x:f>
        <x:v>2024</x:v>
      </x:c>
      <x:c r="K667" s="20" t="n">
        <x:f>DATE(YEAR(B667),MONTH(B667),1)</x:f>
        <x:v>45597</x:v>
      </x:c>
      <x:c r="L667" s="18" t="n">
        <x:f>F667-G667</x:f>
        <x:v>8238.91</x:v>
      </x:c>
      <x:c r="M667" t="str">
        <x:f>IF(L667&lt;=0,"Payée",IF(G667=0,"Impayée","Partielle"))</x:f>
        <x:v>Impayée</x:v>
      </x:c>
      <x:c r="N667" t="str">
        <x:f>IF(I667="","",I667-B667)</x:f>
      </x:c>
      <x:c r="O667" t="str">
        <x:f>IF(TRIM(C667)&lt;&gt;TRIM(H667),"Oui","Non")</x:f>
        <x:v>Non</x:v>
      </x:c>
      <x:c r="P667" t="str">
        <x:f>IFERROR(INDEX('02_REFERENTIEL_CLIENTS'!$B$2:$B$51,MATCH(TRIM(C667),'02_REFERENTIEL_CLIENTS'!$A$2:$A$51,0)),"Non trouvé")</x:f>
        <x:v>PME</x:v>
      </x:c>
      <x:c r="Q667" t="str">
        <x:f>IFERROR(INDEX('02_REFERENTIEL_CLIENTS'!$C$2:$C$51,MATCH(TRIM(C667),'02_REFERENTIEL_CLIENTS'!$A$2:$A$51,0)),"Non trouvé")</x:f>
        <x:v>Europe</x:v>
      </x:c>
      <x:c r="R667" t="str">
        <x:f>IF(OR(F667&lt;=0,G667&lt;0,G667&gt;F667,N667&lt;0,P667="Non trouvé"),"À vérifier","OK")</x:f>
        <x:v>OK</x:v>
      </x:c>
    </x:row>
    <x:row r="668">
      <x:c r="A668" t="str">
        <x:v>DV-2025-00667</x:v>
      </x:c>
      <x:c r="B668" s="16" t="n">
        <x:v>45888</x:v>
      </x:c>
      <x:c r="C668" t="str">
        <x:v>Client 13</x:v>
      </x:c>
      <x:c r="D668" t="str">
        <x:v>Fret maritime</x:v>
      </x:c>
      <x:c r="E668" t="str">
        <x:v>Pôle A</x:v>
      </x:c>
      <x:c r="F668" s="18" t="n">
        <x:v>9550.32</x:v>
      </x:c>
      <x:c r="G668" s="18" t="n">
        <x:v>9550.32</x:v>
      </x:c>
      <x:c r="H668" t="str">
        <x:v>Client 34</x:v>
      </x:c>
      <x:c r="I668" s="16" t="n">
        <x:v>45901</x:v>
      </x:c>
      <x:c r="J668" t="n">
        <x:f>YEAR(B668)</x:f>
        <x:v>2025</x:v>
      </x:c>
      <x:c r="K668" s="20" t="n">
        <x:f>DATE(YEAR(B668),MONTH(B668),1)</x:f>
        <x:v>45870</x:v>
      </x:c>
      <x:c r="L668" s="18" t="n">
        <x:f>F668-G668</x:f>
        <x:v>0</x:v>
      </x:c>
      <x:c r="M668" t="str">
        <x:f>IF(L668&lt;=0,"Payée",IF(G668=0,"Impayée","Partielle"))</x:f>
        <x:v>Payée</x:v>
      </x:c>
      <x:c r="N668" t="n">
        <x:f>IF(I668="","",I668-B668)</x:f>
        <x:v>13</x:v>
      </x:c>
      <x:c r="O668" t="str">
        <x:f>IF(TRIM(C668)&lt;&gt;TRIM(H668),"Oui","Non")</x:f>
        <x:v>Oui</x:v>
      </x:c>
      <x:c r="P668" t="str">
        <x:f>IFERROR(INDEX('02_REFERENTIEL_CLIENTS'!$B$2:$B$51,MATCH(TRIM(C668),'02_REFERENTIEL_CLIENTS'!$A$2:$A$51,0)),"Non trouvé")</x:f>
        <x:v>Grands comptes</x:v>
      </x:c>
      <x:c r="Q668" t="str">
        <x:f>IFERROR(INDEX('02_REFERENTIEL_CLIENTS'!$C$2:$C$51,MATCH(TRIM(C668),'02_REFERENTIEL_CLIENTS'!$A$2:$A$51,0)),"Non trouvé")</x:f>
        <x:v>France</x:v>
      </x:c>
      <x:c r="R668" t="str">
        <x:f>IF(OR(F668&lt;=0,G668&lt;0,G668&gt;F668,N668&lt;0,P668="Non trouvé"),"À vérifier","OK")</x:f>
        <x:v>OK</x:v>
      </x:c>
    </x:row>
    <x:row r="669">
      <x:c r="A669" t="str">
        <x:v>DV-2025-00668</x:v>
      </x:c>
      <x:c r="B669" s="16" t="n">
        <x:v>45772</x:v>
      </x:c>
      <x:c r="C669" t="str">
        <x:v>Client 44</x:v>
      </x:c>
      <x:c r="D669" t="str">
        <x:v>Logistique</x:v>
      </x:c>
      <x:c r="E669" t="str">
        <x:v>Pôle C</x:v>
      </x:c>
      <x:c r="F669" s="18" t="n">
        <x:v>14740.76</x:v>
      </x:c>
      <x:c r="G669" s="18" t="n">
        <x:v>2347.06</x:v>
      </x:c>
      <x:c r="H669" t="str">
        <x:v>Client 44</x:v>
      </x:c>
      <x:c r="I669" s="16" t="n">
        <x:v>45835</x:v>
      </x:c>
      <x:c r="J669" t="n">
        <x:f>YEAR(B669)</x:f>
        <x:v>2025</x:v>
      </x:c>
      <x:c r="K669" s="20" t="n">
        <x:f>DATE(YEAR(B669),MONTH(B669),1)</x:f>
        <x:v>45748</x:v>
      </x:c>
      <x:c r="L669" s="18" t="n">
        <x:f>F669-G669</x:f>
        <x:v>12393.7</x:v>
      </x:c>
      <x:c r="M669" t="str">
        <x:f>IF(L669&lt;=0,"Payée",IF(G669=0,"Impayée","Partielle"))</x:f>
        <x:v>Partielle</x:v>
      </x:c>
      <x:c r="N669" t="n">
        <x:f>IF(I669="","",I669-B669)</x:f>
        <x:v>63</x:v>
      </x:c>
      <x:c r="O669" t="str">
        <x:f>IF(TRIM(C669)&lt;&gt;TRIM(H669),"Oui","Non")</x:f>
        <x:v>Non</x:v>
      </x:c>
      <x:c r="P669" t="str">
        <x:f>IFERROR(INDEX('02_REFERENTIEL_CLIENTS'!$B$2:$B$51,MATCH(TRIM(C669),'02_REFERENTIEL_CLIENTS'!$A$2:$A$51,0)),"Non trouvé")</x:f>
        <x:v>PME</x:v>
      </x:c>
      <x:c r="Q669" t="str">
        <x:f>IFERROR(INDEX('02_REFERENTIEL_CLIENTS'!$C$2:$C$51,MATCH(TRIM(C669),'02_REFERENTIEL_CLIENTS'!$A$2:$A$51,0)),"Non trouvé")</x:f>
        <x:v>Europe</x:v>
      </x:c>
      <x:c r="R669" t="str">
        <x:f>IF(OR(F669&lt;=0,G669&lt;0,G669&gt;F669,N669&lt;0,P669="Non trouvé"),"À vérifier","OK")</x:f>
        <x:v>OK</x:v>
      </x:c>
    </x:row>
    <x:row r="670">
      <x:c r="A670" t="str">
        <x:v>DV-2025-00669</x:v>
      </x:c>
      <x:c r="B670" s="16" t="n">
        <x:v>45817</x:v>
      </x:c>
      <x:c r="C670" t="str">
        <x:v>Client 35</x:v>
      </x:c>
      <x:c r="D670" t="str">
        <x:v>Express</x:v>
      </x:c>
      <x:c r="E670" t="str">
        <x:v>Pôle D</x:v>
      </x:c>
      <x:c r="F670" s="18" t="n">
        <x:v>12551.94</x:v>
      </x:c>
      <x:c r="G670" s="18" t="n">
        <x:v>0</x:v>
      </x:c>
      <x:c r="H670" t="str">
        <x:v>Client 35</x:v>
      </x:c>
      <x:c r="I670" s="16"/>
      <x:c r="J670" t="n">
        <x:f>YEAR(B670)</x:f>
        <x:v>2025</x:v>
      </x:c>
      <x:c r="K670" s="20" t="n">
        <x:f>DATE(YEAR(B670),MONTH(B670),1)</x:f>
        <x:v>45809</x:v>
      </x:c>
      <x:c r="L670" s="18" t="n">
        <x:f>F670-G670</x:f>
        <x:v>12551.94</x:v>
      </x:c>
      <x:c r="M670" t="str">
        <x:f>IF(L670&lt;=0,"Payée",IF(G670=0,"Impayée","Partielle"))</x:f>
        <x:v>Impayée</x:v>
      </x:c>
      <x:c r="N670" t="str">
        <x:f>IF(I670="","",I670-B670)</x:f>
      </x:c>
      <x:c r="O670" t="str">
        <x:f>IF(TRIM(C670)&lt;&gt;TRIM(H670),"Oui","Non")</x:f>
        <x:v>Non</x:v>
      </x:c>
      <x:c r="P670" t="str">
        <x:f>IFERROR(INDEX('02_REFERENTIEL_CLIENTS'!$B$2:$B$51,MATCH(TRIM(C670),'02_REFERENTIEL_CLIENTS'!$A$2:$A$51,0)),"Non trouvé")</x:f>
        <x:v>PME</x:v>
      </x:c>
      <x:c r="Q670" t="str">
        <x:f>IFERROR(INDEX('02_REFERENTIEL_CLIENTS'!$C$2:$C$51,MATCH(TRIM(C670),'02_REFERENTIEL_CLIENTS'!$A$2:$A$51,0)),"Non trouvé")</x:f>
        <x:v>Europe</x:v>
      </x:c>
      <x:c r="R670" t="str">
        <x:f>IF(OR(F670&lt;=0,G670&lt;0,G670&gt;F670,N670&lt;0,P670="Non trouvé"),"À vérifier","OK")</x:f>
        <x:v>OK</x:v>
      </x:c>
    </x:row>
    <x:row r="671">
      <x:c r="A671" t="str">
        <x:v>DV-2024-00670</x:v>
      </x:c>
      <x:c r="B671" s="16" t="n">
        <x:v>45487</x:v>
      </x:c>
      <x:c r="C671" t="str">
        <x:v>Client 42</x:v>
      </x:c>
      <x:c r="D671" t="str">
        <x:v>Logistique</x:v>
      </x:c>
      <x:c r="E671" t="str">
        <x:v>Pôle B</x:v>
      </x:c>
      <x:c r="F671" s="18" t="n">
        <x:v>10379.66</x:v>
      </x:c>
      <x:c r="G671" s="18" t="n">
        <x:v>3173.05</x:v>
      </x:c>
      <x:c r="H671" t="str">
        <x:v>Client 42</x:v>
      </x:c>
      <x:c r="I671" s="16" t="n">
        <x:v>45564</x:v>
      </x:c>
      <x:c r="J671" t="n">
        <x:f>YEAR(B671)</x:f>
        <x:v>2024</x:v>
      </x:c>
      <x:c r="K671" s="20" t="n">
        <x:f>DATE(YEAR(B671),MONTH(B671),1)</x:f>
        <x:v>45474</x:v>
      </x:c>
      <x:c r="L671" s="18" t="n">
        <x:f>F671-G671</x:f>
        <x:v>7206.61</x:v>
      </x:c>
      <x:c r="M671" t="str">
        <x:f>IF(L671&lt;=0,"Payée",IF(G671=0,"Impayée","Partielle"))</x:f>
        <x:v>Partielle</x:v>
      </x:c>
      <x:c r="N671" t="n">
        <x:f>IF(I671="","",I671-B671)</x:f>
        <x:v>77</x:v>
      </x:c>
      <x:c r="O671" t="str">
        <x:f>IF(TRIM(C671)&lt;&gt;TRIM(H671),"Oui","Non")</x:f>
        <x:v>Non</x:v>
      </x:c>
      <x:c r="P671" t="str">
        <x:f>IFERROR(INDEX('02_REFERENTIEL_CLIENTS'!$B$2:$B$51,MATCH(TRIM(C671),'02_REFERENTIEL_CLIENTS'!$A$2:$A$51,0)),"Non trouvé")</x:f>
        <x:v>Particuliers</x:v>
      </x:c>
      <x:c r="Q671" t="str">
        <x:f>IFERROR(INDEX('02_REFERENTIEL_CLIENTS'!$C$2:$C$51,MATCH(TRIM(C671),'02_REFERENTIEL_CLIENTS'!$A$2:$A$51,0)),"Non trouvé")</x:f>
        <x:v>International</x:v>
      </x:c>
      <x:c r="R671" t="str">
        <x:f>IF(OR(F671&lt;=0,G671&lt;0,G671&gt;F671,N671&lt;0,P671="Non trouvé"),"À vérifier","OK")</x:f>
        <x:v>OK</x:v>
      </x:c>
    </x:row>
    <x:row r="672">
      <x:c r="A672" t="str">
        <x:v>DV-2025-00671</x:v>
      </x:c>
      <x:c r="B672" s="16" t="n">
        <x:v>45739</x:v>
      </x:c>
      <x:c r="C672" t="str">
        <x:v>Client 45</x:v>
      </x:c>
      <x:c r="D672" t="str">
        <x:v>Logistique</x:v>
      </x:c>
      <x:c r="E672" t="str">
        <x:v>Pôle C</x:v>
      </x:c>
      <x:c r="F672" s="18" t="n">
        <x:v>1761.36</x:v>
      </x:c>
      <x:c r="G672" s="18" t="n">
        <x:v>688.71</x:v>
      </x:c>
      <x:c r="H672" t="str">
        <x:v>Client 45</x:v>
      </x:c>
      <x:c r="I672" s="16" t="n">
        <x:v>45747</x:v>
      </x:c>
      <x:c r="J672" t="n">
        <x:f>YEAR(B672)</x:f>
        <x:v>2025</x:v>
      </x:c>
      <x:c r="K672" s="20" t="n">
        <x:f>DATE(YEAR(B672),MONTH(B672),1)</x:f>
        <x:v>45717</x:v>
      </x:c>
      <x:c r="L672" s="18" t="n">
        <x:f>F672-G672</x:f>
        <x:v>1072.6499999999999</x:v>
      </x:c>
      <x:c r="M672" t="str">
        <x:f>IF(L672&lt;=0,"Payée",IF(G672=0,"Impayée","Partielle"))</x:f>
        <x:v>Partielle</x:v>
      </x:c>
      <x:c r="N672" t="n">
        <x:f>IF(I672="","",I672-B672)</x:f>
        <x:v>8</x:v>
      </x:c>
      <x:c r="O672" t="str">
        <x:f>IF(TRIM(C672)&lt;&gt;TRIM(H672),"Oui","Non")</x:f>
        <x:v>Non</x:v>
      </x:c>
      <x:c r="P672" t="str">
        <x:f>IFERROR(INDEX('02_REFERENTIEL_CLIENTS'!$B$2:$B$51,MATCH(TRIM(C672),'02_REFERENTIEL_CLIENTS'!$A$2:$A$51,0)),"Non trouvé")</x:f>
        <x:v>Particuliers</x:v>
      </x:c>
      <x:c r="Q672" t="str">
        <x:f>IFERROR(INDEX('02_REFERENTIEL_CLIENTS'!$C$2:$C$51,MATCH(TRIM(C672),'02_REFERENTIEL_CLIENTS'!$A$2:$A$51,0)),"Non trouvé")</x:f>
        <x:v>International</x:v>
      </x:c>
      <x:c r="R672" t="str">
        <x:f>IF(OR(F672&lt;=0,G672&lt;0,G672&gt;F672,N672&lt;0,P672="Non trouvé"),"À vérifier","OK")</x:f>
        <x:v>OK</x:v>
      </x:c>
    </x:row>
    <x:row r="673">
      <x:c r="A673" t="str">
        <x:v>DV-2025-00672</x:v>
      </x:c>
      <x:c r="B673" s="16" t="n">
        <x:v>45738</x:v>
      </x:c>
      <x:c r="C673" t="str">
        <x:v>Client 19</x:v>
      </x:c>
      <x:c r="D673" t="str">
        <x:v>Fret maritime</x:v>
      </x:c>
      <x:c r="E673" t="str">
        <x:v>Pôle E</x:v>
      </x:c>
      <x:c r="F673" s="18" t="n">
        <x:v>7305.53</x:v>
      </x:c>
      <x:c r="G673" s="18" t="n">
        <x:v>7305.53</x:v>
      </x:c>
      <x:c r="H673" t="str">
        <x:v>Client 19</x:v>
      </x:c>
      <x:c r="I673" s="16" t="n">
        <x:v>45828</x:v>
      </x:c>
      <x:c r="J673" t="n">
        <x:f>YEAR(B673)</x:f>
        <x:v>2025</x:v>
      </x:c>
      <x:c r="K673" s="20" t="n">
        <x:f>DATE(YEAR(B673),MONTH(B673),1)</x:f>
        <x:v>45717</x:v>
      </x:c>
      <x:c r="L673" s="18" t="n">
        <x:f>F673-G673</x:f>
        <x:v>0</x:v>
      </x:c>
      <x:c r="M673" t="str">
        <x:f>IF(L673&lt;=0,"Payée",IF(G673=0,"Impayée","Partielle"))</x:f>
        <x:v>Payée</x:v>
      </x:c>
      <x:c r="N673" t="n">
        <x:f>IF(I673="","",I673-B673)</x:f>
        <x:v>90</x:v>
      </x:c>
      <x:c r="O673" t="str">
        <x:f>IF(TRIM(C673)&lt;&gt;TRIM(H673),"Oui","Non")</x:f>
        <x:v>Non</x:v>
      </x:c>
      <x:c r="P673" t="str">
        <x:f>IFERROR(INDEX('02_REFERENTIEL_CLIENTS'!$B$2:$B$51,MATCH(TRIM(C673),'02_REFERENTIEL_CLIENTS'!$A$2:$A$51,0)),"Non trouvé")</x:f>
        <x:v>Grands comptes</x:v>
      </x:c>
      <x:c r="Q673" t="str">
        <x:f>IFERROR(INDEX('02_REFERENTIEL_CLIENTS'!$C$2:$C$51,MATCH(TRIM(C673),'02_REFERENTIEL_CLIENTS'!$A$2:$A$51,0)),"Non trouvé")</x:f>
        <x:v>France</x:v>
      </x:c>
      <x:c r="R673" t="str">
        <x:f>IF(OR(F673&lt;=0,G673&lt;0,G673&gt;F673,N673&lt;0,P673="Non trouvé"),"À vérifier","OK")</x:f>
        <x:v>OK</x:v>
      </x:c>
    </x:row>
    <x:row r="674">
      <x:c r="A674" t="str">
        <x:v>DV-2025-00673</x:v>
      </x:c>
      <x:c r="B674" s="16" t="n">
        <x:v>46011</x:v>
      </x:c>
      <x:c r="C674" t="str">
        <x:v>Client 46</x:v>
      </x:c>
      <x:c r="D674" t="str">
        <x:v>Fret aérien</x:v>
      </x:c>
      <x:c r="E674" t="str">
        <x:v>Pôle B</x:v>
      </x:c>
      <x:c r="F674" s="18" t="n">
        <x:v>23302.25</x:v>
      </x:c>
      <x:c r="G674" s="18" t="n">
        <x:v>23302.25</x:v>
      </x:c>
      <x:c r="H674" t="str">
        <x:v>Client 46</x:v>
      </x:c>
      <x:c r="I674" s="16" t="n">
        <x:v>46098</x:v>
      </x:c>
      <x:c r="J674" t="n">
        <x:f>YEAR(B674)</x:f>
        <x:v>2025</x:v>
      </x:c>
      <x:c r="K674" s="20" t="n">
        <x:f>DATE(YEAR(B674),MONTH(B674),1)</x:f>
        <x:v>45992</x:v>
      </x:c>
      <x:c r="L674" s="18" t="n">
        <x:f>F674-G674</x:f>
        <x:v>0</x:v>
      </x:c>
      <x:c r="M674" t="str">
        <x:f>IF(L674&lt;=0,"Payée",IF(G674=0,"Impayée","Partielle"))</x:f>
        <x:v>Payée</x:v>
      </x:c>
      <x:c r="N674" t="n">
        <x:f>IF(I674="","",I674-B674)</x:f>
        <x:v>87</x:v>
      </x:c>
      <x:c r="O674" t="str">
        <x:f>IF(TRIM(C674)&lt;&gt;TRIM(H674),"Oui","Non")</x:f>
        <x:v>Non</x:v>
      </x:c>
      <x:c r="P674" t="str">
        <x:f>IFERROR(INDEX('02_REFERENTIEL_CLIENTS'!$B$2:$B$51,MATCH(TRIM(C674),'02_REFERENTIEL_CLIENTS'!$A$2:$A$51,0)),"Non trouvé")</x:f>
        <x:v>Grands comptes</x:v>
      </x:c>
      <x:c r="Q674" t="str">
        <x:f>IFERROR(INDEX('02_REFERENTIEL_CLIENTS'!$C$2:$C$51,MATCH(TRIM(C674),'02_REFERENTIEL_CLIENTS'!$A$2:$A$51,0)),"Non trouvé")</x:f>
        <x:v>France</x:v>
      </x:c>
      <x:c r="R674" t="str">
        <x:f>IF(OR(F674&lt;=0,G674&lt;0,G674&gt;F674,N674&lt;0,P674="Non trouvé"),"À vérifier","OK")</x:f>
        <x:v>OK</x:v>
      </x:c>
    </x:row>
    <x:row r="675">
      <x:c r="A675" t="str">
        <x:v>DV-2024-00674</x:v>
      </x:c>
      <x:c r="B675" s="16" t="n">
        <x:v>45596</x:v>
      </x:c>
      <x:c r="C675" t="str">
        <x:v>Client 15</x:v>
      </x:c>
      <x:c r="D675" t="str">
        <x:v>Fret maritime</x:v>
      </x:c>
      <x:c r="E675" t="str">
        <x:v>Pôle A</x:v>
      </x:c>
      <x:c r="F675" s="18" t="n">
        <x:v>11331.17</x:v>
      </x:c>
      <x:c r="G675" s="18" t="n">
        <x:v>11331.17</x:v>
      </x:c>
      <x:c r="H675" t="str">
        <x:v>Client 15</x:v>
      </x:c>
      <x:c r="I675" s="16" t="n">
        <x:v>45597</x:v>
      </x:c>
      <x:c r="J675" t="n">
        <x:f>YEAR(B675)</x:f>
        <x:v>2024</x:v>
      </x:c>
      <x:c r="K675" s="20" t="n">
        <x:f>DATE(YEAR(B675),MONTH(B675),1)</x:f>
        <x:v>45566</x:v>
      </x:c>
      <x:c r="L675" s="18" t="n">
        <x:f>F675-G675</x:f>
        <x:v>0</x:v>
      </x:c>
      <x:c r="M675" t="str">
        <x:f>IF(L675&lt;=0,"Payée",IF(G675=0,"Impayée","Partielle"))</x:f>
        <x:v>Payée</x:v>
      </x:c>
      <x:c r="N675" t="n">
        <x:f>IF(I675="","",I675-B675)</x:f>
        <x:v>1</x:v>
      </x:c>
      <x:c r="O675" t="str">
        <x:f>IF(TRIM(C675)&lt;&gt;TRIM(H675),"Oui","Non")</x:f>
        <x:v>Non</x:v>
      </x:c>
      <x:c r="P675" t="str">
        <x:f>IFERROR(INDEX('02_REFERENTIEL_CLIENTS'!$B$2:$B$51,MATCH(TRIM(C675),'02_REFERENTIEL_CLIENTS'!$A$2:$A$51,0)),"Non trouvé")</x:f>
        <x:v>Particuliers</x:v>
      </x:c>
      <x:c r="Q675" t="str">
        <x:f>IFERROR(INDEX('02_REFERENTIEL_CLIENTS'!$C$2:$C$51,MATCH(TRIM(C675),'02_REFERENTIEL_CLIENTS'!$A$2:$A$51,0)),"Non trouvé")</x:f>
        <x:v>International</x:v>
      </x:c>
      <x:c r="R675" t="str">
        <x:f>IF(OR(F675&lt;=0,G675&lt;0,G675&gt;F675,N675&lt;0,P675="Non trouvé"),"À vérifier","OK")</x:f>
        <x:v>OK</x:v>
      </x:c>
    </x:row>
    <x:row r="676">
      <x:c r="A676" t="str">
        <x:v>DV-2025-00675</x:v>
      </x:c>
      <x:c r="B676" s="16" t="n">
        <x:v>45907</x:v>
      </x:c>
      <x:c r="C676" t="str">
        <x:v>Client 12</x:v>
      </x:c>
      <x:c r="D676" t="str">
        <x:v>Fret aérien</x:v>
      </x:c>
      <x:c r="E676" t="str">
        <x:v>Pôle A</x:v>
      </x:c>
      <x:c r="F676" s="18" t="n">
        <x:v>3677.1</x:v>
      </x:c>
      <x:c r="G676" s="18" t="n">
        <x:v>3677.1</x:v>
      </x:c>
      <x:c r="H676" t="str">
        <x:v>Client 12</x:v>
      </x:c>
      <x:c r="I676" s="16" t="n">
        <x:v>45937</x:v>
      </x:c>
      <x:c r="J676" t="n">
        <x:f>YEAR(B676)</x:f>
        <x:v>2025</x:v>
      </x:c>
      <x:c r="K676" s="20" t="n">
        <x:f>DATE(YEAR(B676),MONTH(B676),1)</x:f>
        <x:v>45901</x:v>
      </x:c>
      <x:c r="L676" s="18" t="n">
        <x:f>F676-G676</x:f>
        <x:v>0</x:v>
      </x:c>
      <x:c r="M676" t="str">
        <x:f>IF(L676&lt;=0,"Payée",IF(G676=0,"Impayée","Partielle"))</x:f>
        <x:v>Payée</x:v>
      </x:c>
      <x:c r="N676" t="n">
        <x:f>IF(I676="","",I676-B676)</x:f>
        <x:v>30</x:v>
      </x:c>
      <x:c r="O676" t="str">
        <x:f>IF(TRIM(C676)&lt;&gt;TRIM(H676),"Oui","Non")</x:f>
        <x:v>Non</x:v>
      </x:c>
      <x:c r="P676" t="str">
        <x:f>IFERROR(INDEX('02_REFERENTIEL_CLIENTS'!$B$2:$B$51,MATCH(TRIM(C676),'02_REFERENTIEL_CLIENTS'!$A$2:$A$51,0)),"Non trouvé")</x:f>
        <x:v>Particuliers</x:v>
      </x:c>
      <x:c r="Q676" t="str">
        <x:f>IFERROR(INDEX('02_REFERENTIEL_CLIENTS'!$C$2:$C$51,MATCH(TRIM(C676),'02_REFERENTIEL_CLIENTS'!$A$2:$A$51,0)),"Non trouvé")</x:f>
        <x:v>International</x:v>
      </x:c>
      <x:c r="R676" t="str">
        <x:f>IF(OR(F676&lt;=0,G676&lt;0,G676&gt;F676,N676&lt;0,P676="Non trouvé"),"À vérifier","OK")</x:f>
        <x:v>OK</x:v>
      </x:c>
    </x:row>
    <x:row r="677">
      <x:c r="A677" t="str">
        <x:v>DV-2025-00676</x:v>
      </x:c>
      <x:c r="B677" s="16" t="n">
        <x:v>45955</x:v>
      </x:c>
      <x:c r="C677" t="str">
        <x:v>Client 31</x:v>
      </x:c>
      <x:c r="D677" t="str">
        <x:v>Logistique</x:v>
      </x:c>
      <x:c r="E677" t="str">
        <x:v>Pôle C</x:v>
      </x:c>
      <x:c r="F677" s="18" t="n">
        <x:v>14585.84</x:v>
      </x:c>
      <x:c r="G677" s="18" t="n">
        <x:v>14585.84</x:v>
      </x:c>
      <x:c r="H677" t="str">
        <x:v>Client 31</x:v>
      </x:c>
      <x:c r="I677" s="16" t="n">
        <x:v>45964</x:v>
      </x:c>
      <x:c r="J677" t="n">
        <x:f>YEAR(B677)</x:f>
        <x:v>2025</x:v>
      </x:c>
      <x:c r="K677" s="20" t="n">
        <x:f>DATE(YEAR(B677),MONTH(B677),1)</x:f>
        <x:v>45931</x:v>
      </x:c>
      <x:c r="L677" s="18" t="n">
        <x:f>F677-G677</x:f>
        <x:v>0</x:v>
      </x:c>
      <x:c r="M677" t="str">
        <x:f>IF(L677&lt;=0,"Payée",IF(G677=0,"Impayée","Partielle"))</x:f>
        <x:v>Payée</x:v>
      </x:c>
      <x:c r="N677" t="n">
        <x:f>IF(I677="","",I677-B677)</x:f>
        <x:v>9</x:v>
      </x:c>
      <x:c r="O677" t="str">
        <x:f>IF(TRIM(C677)&lt;&gt;TRIM(H677),"Oui","Non")</x:f>
        <x:v>Non</x:v>
      </x:c>
      <x:c r="P677" t="str">
        <x:f>IFERROR(INDEX('02_REFERENTIEL_CLIENTS'!$B$2:$B$51,MATCH(TRIM(C677),'02_REFERENTIEL_CLIENTS'!$A$2:$A$51,0)),"Non trouvé")</x:f>
        <x:v>Grands comptes</x:v>
      </x:c>
      <x:c r="Q677" t="str">
        <x:f>IFERROR(INDEX('02_REFERENTIEL_CLIENTS'!$C$2:$C$51,MATCH(TRIM(C677),'02_REFERENTIEL_CLIENTS'!$A$2:$A$51,0)),"Non trouvé")</x:f>
        <x:v>France</x:v>
      </x:c>
      <x:c r="R677" t="str">
        <x:f>IF(OR(F677&lt;=0,G677&lt;0,G677&gt;F677,N677&lt;0,P677="Non trouvé"),"À vérifier","OK")</x:f>
        <x:v>OK</x:v>
      </x:c>
    </x:row>
    <x:row r="678">
      <x:c r="A678" t="str">
        <x:v>DV-2025-00677</x:v>
      </x:c>
      <x:c r="B678" s="16" t="n">
        <x:v>45777</x:v>
      </x:c>
      <x:c r="C678" t="str">
        <x:v>Client 05</x:v>
      </x:c>
      <x:c r="D678" t="str">
        <x:v>Fret aérien</x:v>
      </x:c>
      <x:c r="E678" t="str">
        <x:v>Pôle A</x:v>
      </x:c>
      <x:c r="F678" s="18" t="n">
        <x:v>5554.78</x:v>
      </x:c>
      <x:c r="G678" s="18" t="n">
        <x:v>4374.42</x:v>
      </x:c>
      <x:c r="H678" t="str">
        <x:v>Client 36</x:v>
      </x:c>
      <x:c r="I678" s="16" t="n">
        <x:v>45832</x:v>
      </x:c>
      <x:c r="J678" t="n">
        <x:f>YEAR(B678)</x:f>
        <x:v>2025</x:v>
      </x:c>
      <x:c r="K678" s="20" t="n">
        <x:f>DATE(YEAR(B678),MONTH(B678),1)</x:f>
        <x:v>45748</x:v>
      </x:c>
      <x:c r="L678" s="18" t="n">
        <x:f>F678-G678</x:f>
        <x:v>1180.3599999999997</x:v>
      </x:c>
      <x:c r="M678" t="str">
        <x:f>IF(L678&lt;=0,"Payée",IF(G678=0,"Impayée","Partielle"))</x:f>
        <x:v>Partielle</x:v>
      </x:c>
      <x:c r="N678" t="n">
        <x:f>IF(I678="","",I678-B678)</x:f>
        <x:v>55</x:v>
      </x:c>
      <x:c r="O678" t="str">
        <x:f>IF(TRIM(C678)&lt;&gt;TRIM(H678),"Oui","Non")</x:f>
        <x:v>Oui</x:v>
      </x:c>
      <x:c r="P678" t="str">
        <x:f>IFERROR(INDEX('02_REFERENTIEL_CLIENTS'!$B$2:$B$51,MATCH(TRIM(C678),'02_REFERENTIEL_CLIENTS'!$A$2:$A$51,0)),"Non trouvé")</x:f>
        <x:v>PME</x:v>
      </x:c>
      <x:c r="Q678" t="str">
        <x:f>IFERROR(INDEX('02_REFERENTIEL_CLIENTS'!$C$2:$C$51,MATCH(TRIM(C678),'02_REFERENTIEL_CLIENTS'!$A$2:$A$51,0)),"Non trouvé")</x:f>
        <x:v>Europe</x:v>
      </x:c>
      <x:c r="R678" t="str">
        <x:f>IF(OR(F678&lt;=0,G678&lt;0,G678&gt;F678,N678&lt;0,P678="Non trouvé"),"À vérifier","OK")</x:f>
        <x:v>OK</x:v>
      </x:c>
    </x:row>
    <x:row r="679">
      <x:c r="A679" t="str">
        <x:v>DV-2024-00678</x:v>
      </x:c>
      <x:c r="B679" s="16" t="n">
        <x:v>45439</x:v>
      </x:c>
      <x:c r="C679" t="str">
        <x:v>Client 36</x:v>
      </x:c>
      <x:c r="D679" t="str">
        <x:v>Douane</x:v>
      </x:c>
      <x:c r="E679" t="str">
        <x:v>Pôle D</x:v>
      </x:c>
      <x:c r="F679" s="18" t="n">
        <x:v>1541.98</x:v>
      </x:c>
      <x:c r="G679" s="18" t="n">
        <x:v>1541.98</x:v>
      </x:c>
      <x:c r="H679" t="str">
        <x:v>Client 36</x:v>
      </x:c>
      <x:c r="I679" s="16" t="n">
        <x:v>45529</x:v>
      </x:c>
      <x:c r="J679" t="n">
        <x:f>YEAR(B679)</x:f>
        <x:v>2024</x:v>
      </x:c>
      <x:c r="K679" s="20" t="n">
        <x:f>DATE(YEAR(B679),MONTH(B679),1)</x:f>
        <x:v>45413</x:v>
      </x:c>
      <x:c r="L679" s="18" t="n">
        <x:f>F679-G679</x:f>
        <x:v>0</x:v>
      </x:c>
      <x:c r="M679" t="str">
        <x:f>IF(L679&lt;=0,"Payée",IF(G679=0,"Impayée","Partielle"))</x:f>
        <x:v>Payée</x:v>
      </x:c>
      <x:c r="N679" t="n">
        <x:f>IF(I679="","",I679-B679)</x:f>
        <x:v>90</x:v>
      </x:c>
      <x:c r="O679" t="str">
        <x:f>IF(TRIM(C679)&lt;&gt;TRIM(H679),"Oui","Non")</x:f>
        <x:v>Non</x:v>
      </x:c>
      <x:c r="P679" t="str">
        <x:f>IFERROR(INDEX('02_REFERENTIEL_CLIENTS'!$B$2:$B$51,MATCH(TRIM(C679),'02_REFERENTIEL_CLIENTS'!$A$2:$A$51,0)),"Non trouvé")</x:f>
        <x:v>Particuliers</x:v>
      </x:c>
      <x:c r="Q679" t="str">
        <x:f>IFERROR(INDEX('02_REFERENTIEL_CLIENTS'!$C$2:$C$51,MATCH(TRIM(C679),'02_REFERENTIEL_CLIENTS'!$A$2:$A$51,0)),"Non trouvé")</x:f>
        <x:v>International</x:v>
      </x:c>
      <x:c r="R679" t="str">
        <x:f>IF(OR(F679&lt;=0,G679&lt;0,G679&gt;F679,N679&lt;0,P679="Non trouvé"),"À vérifier","OK")</x:f>
        <x:v>OK</x:v>
      </x:c>
    </x:row>
    <x:row r="680">
      <x:c r="A680" t="str">
        <x:v>DV-2025-00679</x:v>
      </x:c>
      <x:c r="B680" s="16" t="n">
        <x:v>45950</x:v>
      </x:c>
      <x:c r="C680" t="str">
        <x:v>Client 07</x:v>
      </x:c>
      <x:c r="D680" t="str">
        <x:v>Fret aérien</x:v>
      </x:c>
      <x:c r="E680" t="str">
        <x:v>Pôle D</x:v>
      </x:c>
      <x:c r="F680" s="18" t="n">
        <x:v>13743.73</x:v>
      </x:c>
      <x:c r="G680" s="18" t="n">
        <x:v>13743.73</x:v>
      </x:c>
      <x:c r="H680" t="str">
        <x:v>Client 07</x:v>
      </x:c>
      <x:c r="I680" s="16" t="n">
        <x:v>45969</x:v>
      </x:c>
      <x:c r="J680" t="n">
        <x:f>YEAR(B680)</x:f>
        <x:v>2025</x:v>
      </x:c>
      <x:c r="K680" s="20" t="n">
        <x:f>DATE(YEAR(B680),MONTH(B680),1)</x:f>
        <x:v>45931</x:v>
      </x:c>
      <x:c r="L680" s="18" t="n">
        <x:f>F680-G680</x:f>
        <x:v>0</x:v>
      </x:c>
      <x:c r="M680" t="str">
        <x:f>IF(L680&lt;=0,"Payée",IF(G680=0,"Impayée","Partielle"))</x:f>
        <x:v>Payée</x:v>
      </x:c>
      <x:c r="N680" t="n">
        <x:f>IF(I680="","",I680-B680)</x:f>
        <x:v>19</x:v>
      </x:c>
      <x:c r="O680" t="str">
        <x:f>IF(TRIM(C680)&lt;&gt;TRIM(H680),"Oui","Non")</x:f>
        <x:v>Non</x:v>
      </x:c>
      <x:c r="P680" t="str">
        <x:f>IFERROR(INDEX('02_REFERENTIEL_CLIENTS'!$B$2:$B$51,MATCH(TRIM(C680),'02_REFERENTIEL_CLIENTS'!$A$2:$A$51,0)),"Non trouvé")</x:f>
        <x:v>Grands comptes</x:v>
      </x:c>
      <x:c r="Q680" t="str">
        <x:f>IFERROR(INDEX('02_REFERENTIEL_CLIENTS'!$C$2:$C$51,MATCH(TRIM(C680),'02_REFERENTIEL_CLIENTS'!$A$2:$A$51,0)),"Non trouvé")</x:f>
        <x:v>France</x:v>
      </x:c>
      <x:c r="R680" t="str">
        <x:f>IF(OR(F680&lt;=0,G680&lt;0,G680&gt;F680,N680&lt;0,P680="Non trouvé"),"À vérifier","OK")</x:f>
        <x:v>OK</x:v>
      </x:c>
    </x:row>
    <x:row r="681">
      <x:c r="A681" t="str">
        <x:v>DV-2026-00680</x:v>
      </x:c>
      <x:c r="B681" s="16" t="n">
        <x:v>46198</x:v>
      </x:c>
      <x:c r="C681" t="str">
        <x:v>Client 33</x:v>
      </x:c>
      <x:c r="D681" t="str">
        <x:v>Douane</x:v>
      </x:c>
      <x:c r="E681" t="str">
        <x:v>Pôle E</x:v>
      </x:c>
      <x:c r="F681" s="18" t="n">
        <x:v>2045.25</x:v>
      </x:c>
      <x:c r="G681" s="18" t="n">
        <x:v>2045.25</x:v>
      </x:c>
      <x:c r="H681" t="str">
        <x:v>Client 33</x:v>
      </x:c>
      <x:c r="I681" s="16" t="n">
        <x:v>46254</x:v>
      </x:c>
      <x:c r="J681" t="n">
        <x:f>YEAR(B681)</x:f>
        <x:v>2026</x:v>
      </x:c>
      <x:c r="K681" s="20" t="n">
        <x:f>DATE(YEAR(B681),MONTH(B681),1)</x:f>
        <x:v>46174</x:v>
      </x:c>
      <x:c r="L681" s="18" t="n">
        <x:f>F681-G681</x:f>
        <x:v>0</x:v>
      </x:c>
      <x:c r="M681" t="str">
        <x:f>IF(L681&lt;=0,"Payée",IF(G681=0,"Impayée","Partielle"))</x:f>
        <x:v>Payée</x:v>
      </x:c>
      <x:c r="N681" t="n">
        <x:f>IF(I681="","",I681-B681)</x:f>
        <x:v>56</x:v>
      </x:c>
      <x:c r="O681" t="str">
        <x:f>IF(TRIM(C681)&lt;&gt;TRIM(H681),"Oui","Non")</x:f>
        <x:v>Non</x:v>
      </x:c>
      <x:c r="P681" t="str">
        <x:f>IFERROR(INDEX('02_REFERENTIEL_CLIENTS'!$B$2:$B$51,MATCH(TRIM(C681),'02_REFERENTIEL_CLIENTS'!$A$2:$A$51,0)),"Non trouvé")</x:f>
        <x:v>Particuliers</x:v>
      </x:c>
      <x:c r="Q681" t="str">
        <x:f>IFERROR(INDEX('02_REFERENTIEL_CLIENTS'!$C$2:$C$51,MATCH(TRIM(C681),'02_REFERENTIEL_CLIENTS'!$A$2:$A$51,0)),"Non trouvé")</x:f>
        <x:v>International</x:v>
      </x:c>
      <x:c r="R681" t="str">
        <x:f>IF(OR(F681&lt;=0,G681&lt;0,G681&gt;F681,N681&lt;0,P681="Non trouvé"),"À vérifier","OK")</x:f>
        <x:v>OK</x:v>
      </x:c>
    </x:row>
    <x:row r="682">
      <x:c r="A682" t="str">
        <x:v>DV-2026-00681</x:v>
      </x:c>
      <x:c r="B682" s="16" t="n">
        <x:v>46129</x:v>
      </x:c>
      <x:c r="C682" t="str">
        <x:v>Client 49</x:v>
      </x:c>
      <x:c r="D682" t="str">
        <x:v>Fret maritime</x:v>
      </x:c>
      <x:c r="E682" t="str">
        <x:v>Pôle B</x:v>
      </x:c>
      <x:c r="F682" s="18" t="n">
        <x:v>17481.5</x:v>
      </x:c>
      <x:c r="G682" s="18" t="n">
        <x:v>17481.5</x:v>
      </x:c>
      <x:c r="H682" t="str">
        <x:v>Client 49</x:v>
      </x:c>
      <x:c r="I682" s="16" t="n">
        <x:v>46167</x:v>
      </x:c>
      <x:c r="J682" t="n">
        <x:f>YEAR(B682)</x:f>
        <x:v>2026</x:v>
      </x:c>
      <x:c r="K682" s="20" t="n">
        <x:f>DATE(YEAR(B682),MONTH(B682),1)</x:f>
        <x:v>46113</x:v>
      </x:c>
      <x:c r="L682" s="18" t="n">
        <x:f>F682-G682</x:f>
        <x:v>0</x:v>
      </x:c>
      <x:c r="M682" t="str">
        <x:f>IF(L682&lt;=0,"Payée",IF(G682=0,"Impayée","Partielle"))</x:f>
        <x:v>Payée</x:v>
      </x:c>
      <x:c r="N682" t="n">
        <x:f>IF(I682="","",I682-B682)</x:f>
        <x:v>38</x:v>
      </x:c>
      <x:c r="O682" t="str">
        <x:f>IF(TRIM(C682)&lt;&gt;TRIM(H682),"Oui","Non")</x:f>
        <x:v>Non</x:v>
      </x:c>
      <x:c r="P682" t="str">
        <x:f>IFERROR(INDEX('02_REFERENTIEL_CLIENTS'!$B$2:$B$51,MATCH(TRIM(C682),'02_REFERENTIEL_CLIENTS'!$A$2:$A$51,0)),"Non trouvé")</x:f>
        <x:v>Grands comptes</x:v>
      </x:c>
      <x:c r="Q682" t="str">
        <x:f>IFERROR(INDEX('02_REFERENTIEL_CLIENTS'!$C$2:$C$51,MATCH(TRIM(C682),'02_REFERENTIEL_CLIENTS'!$A$2:$A$51,0)),"Non trouvé")</x:f>
        <x:v>France</x:v>
      </x:c>
      <x:c r="R682" t="str">
        <x:f>IF(OR(F682&lt;=0,G682&lt;0,G682&gt;F682,N682&lt;0,P682="Non trouvé"),"À vérifier","OK")</x:f>
        <x:v>OK</x:v>
      </x:c>
    </x:row>
    <x:row r="683">
      <x:c r="A683" t="str">
        <x:v>DV-2025-00682</x:v>
      </x:c>
      <x:c r="B683" s="16" t="n">
        <x:v>45917</x:v>
      </x:c>
      <x:c r="C683" t="str">
        <x:v>Client 40</x:v>
      </x:c>
      <x:c r="D683" t="str">
        <x:v>Douane</x:v>
      </x:c>
      <x:c r="E683" t="str">
        <x:v>Pôle E</x:v>
      </x:c>
      <x:c r="F683" s="18" t="n">
        <x:v>13164.79</x:v>
      </x:c>
      <x:c r="G683" s="18" t="n">
        <x:v>13164.79</x:v>
      </x:c>
      <x:c r="H683" t="str">
        <x:v>Client 40</x:v>
      </x:c>
      <x:c r="I683" s="16" t="n">
        <x:v>46004</x:v>
      </x:c>
      <x:c r="J683" t="n">
        <x:f>YEAR(B683)</x:f>
        <x:v>2025</x:v>
      </x:c>
      <x:c r="K683" s="20" t="n">
        <x:f>DATE(YEAR(B683),MONTH(B683),1)</x:f>
        <x:v>45901</x:v>
      </x:c>
      <x:c r="L683" s="18" t="n">
        <x:f>F683-G683</x:f>
        <x:v>0</x:v>
      </x:c>
      <x:c r="M683" t="str">
        <x:f>IF(L683&lt;=0,"Payée",IF(G683=0,"Impayée","Partielle"))</x:f>
        <x:v>Payée</x:v>
      </x:c>
      <x:c r="N683" t="n">
        <x:f>IF(I683="","",I683-B683)</x:f>
        <x:v>87</x:v>
      </x:c>
      <x:c r="O683" t="str">
        <x:f>IF(TRIM(C683)&lt;&gt;TRIM(H683),"Oui","Non")</x:f>
        <x:v>Non</x:v>
      </x:c>
      <x:c r="P683" t="str">
        <x:f>IFERROR(INDEX('02_REFERENTIEL_CLIENTS'!$B$2:$B$51,MATCH(TRIM(C683),'02_REFERENTIEL_CLIENTS'!$A$2:$A$51,0)),"Non trouvé")</x:f>
        <x:v>Grands comptes</x:v>
      </x:c>
      <x:c r="Q683" t="str">
        <x:f>IFERROR(INDEX('02_REFERENTIEL_CLIENTS'!$C$2:$C$51,MATCH(TRIM(C683),'02_REFERENTIEL_CLIENTS'!$A$2:$A$51,0)),"Non trouvé")</x:f>
        <x:v>France</x:v>
      </x:c>
      <x:c r="R683" t="str">
        <x:f>IF(OR(F683&lt;=0,G683&lt;0,G683&gt;F683,N683&lt;0,P683="Non trouvé"),"À vérifier","OK")</x:f>
        <x:v>OK</x:v>
      </x:c>
    </x:row>
    <x:row r="684">
      <x:c r="A684" t="str">
        <x:v>DV-2025-00683</x:v>
      </x:c>
      <x:c r="B684" s="16" t="n">
        <x:v>45963</x:v>
      </x:c>
      <x:c r="C684" t="str">
        <x:v>Client 15</x:v>
      </x:c>
      <x:c r="D684" t="str">
        <x:v>Fret aérien</x:v>
      </x:c>
      <x:c r="E684" t="str">
        <x:v>Pôle B</x:v>
      </x:c>
      <x:c r="F684" s="18" t="n">
        <x:v>3580.52</x:v>
      </x:c>
      <x:c r="G684" s="18" t="n">
        <x:v>0</x:v>
      </x:c>
      <x:c r="H684" t="str">
        <x:v>Client 27</x:v>
      </x:c>
      <x:c r="I684" s="16"/>
      <x:c r="J684" t="n">
        <x:f>YEAR(B684)</x:f>
        <x:v>2025</x:v>
      </x:c>
      <x:c r="K684" s="20" t="n">
        <x:f>DATE(YEAR(B684),MONTH(B684),1)</x:f>
        <x:v>45962</x:v>
      </x:c>
      <x:c r="L684" s="18" t="n">
        <x:f>F684-G684</x:f>
        <x:v>3580.52</x:v>
      </x:c>
      <x:c r="M684" t="str">
        <x:f>IF(L684&lt;=0,"Payée",IF(G684=0,"Impayée","Partielle"))</x:f>
        <x:v>Impayée</x:v>
      </x:c>
      <x:c r="N684" t="str">
        <x:f>IF(I684="","",I684-B684)</x:f>
      </x:c>
      <x:c r="O684" t="str">
        <x:f>IF(TRIM(C684)&lt;&gt;TRIM(H684),"Oui","Non")</x:f>
        <x:v>Oui</x:v>
      </x:c>
      <x:c r="P684" t="str">
        <x:f>IFERROR(INDEX('02_REFERENTIEL_CLIENTS'!$B$2:$B$51,MATCH(TRIM(C684),'02_REFERENTIEL_CLIENTS'!$A$2:$A$51,0)),"Non trouvé")</x:f>
        <x:v>Particuliers</x:v>
      </x:c>
      <x:c r="Q684" t="str">
        <x:f>IFERROR(INDEX('02_REFERENTIEL_CLIENTS'!$C$2:$C$51,MATCH(TRIM(C684),'02_REFERENTIEL_CLIENTS'!$A$2:$A$51,0)),"Non trouvé")</x:f>
        <x:v>International</x:v>
      </x:c>
      <x:c r="R684" t="str">
        <x:f>IF(OR(F684&lt;=0,G684&lt;0,G684&gt;F684,N684&lt;0,P684="Non trouvé"),"À vérifier","OK")</x:f>
        <x:v>OK</x:v>
      </x:c>
    </x:row>
    <x:row r="685">
      <x:c r="A685" t="str">
        <x:v>DV-2024-00684</x:v>
      </x:c>
      <x:c r="B685" s="16" t="n">
        <x:v>45517</x:v>
      </x:c>
      <x:c r="C685" t="str">
        <x:v>Client 01</x:v>
      </x:c>
      <x:c r="D685" t="str">
        <x:v>Fret maritime</x:v>
      </x:c>
      <x:c r="E685" t="str">
        <x:v>Pôle E</x:v>
      </x:c>
      <x:c r="F685" s="18" t="n">
        <x:v>20736.87</x:v>
      </x:c>
      <x:c r="G685" s="18" t="n">
        <x:v>15220.74</x:v>
      </x:c>
      <x:c r="H685" t="str">
        <x:v>Client 01</x:v>
      </x:c>
      <x:c r="I685" s="16" t="n">
        <x:v>45571</x:v>
      </x:c>
      <x:c r="J685" t="n">
        <x:f>YEAR(B685)</x:f>
        <x:v>2024</x:v>
      </x:c>
      <x:c r="K685" s="20" t="n">
        <x:f>DATE(YEAR(B685),MONTH(B685),1)</x:f>
        <x:v>45505</x:v>
      </x:c>
      <x:c r="L685" s="18" t="n">
        <x:f>F685-G685</x:f>
        <x:v>5516.129999999999</x:v>
      </x:c>
      <x:c r="M685" t="str">
        <x:f>IF(L685&lt;=0,"Payée",IF(G685=0,"Impayée","Partielle"))</x:f>
        <x:v>Partielle</x:v>
      </x:c>
      <x:c r="N685" t="n">
        <x:f>IF(I685="","",I685-B685)</x:f>
        <x:v>54</x:v>
      </x:c>
      <x:c r="O685" t="str">
        <x:f>IF(TRIM(C685)&lt;&gt;TRIM(H685),"Oui","Non")</x:f>
        <x:v>Non</x:v>
      </x:c>
      <x:c r="P685" t="str">
        <x:f>IFERROR(INDEX('02_REFERENTIEL_CLIENTS'!$B$2:$B$51,MATCH(TRIM(C685),'02_REFERENTIEL_CLIENTS'!$A$2:$A$51,0)),"Non trouvé")</x:f>
        <x:v>Grands comptes</x:v>
      </x:c>
      <x:c r="Q685" t="str">
        <x:f>IFERROR(INDEX('02_REFERENTIEL_CLIENTS'!$C$2:$C$51,MATCH(TRIM(C685),'02_REFERENTIEL_CLIENTS'!$A$2:$A$51,0)),"Non trouvé")</x:f>
        <x:v>France</x:v>
      </x:c>
      <x:c r="R685" t="str">
        <x:f>IF(OR(F685&lt;=0,G685&lt;0,G685&gt;F685,N685&lt;0,P685="Non trouvé"),"À vérifier","OK")</x:f>
        <x:v>OK</x:v>
      </x:c>
    </x:row>
    <x:row r="686">
      <x:c r="A686" t="str">
        <x:v>DV-2024-00685</x:v>
      </x:c>
      <x:c r="B686" s="16" t="n">
        <x:v>45345</x:v>
      </x:c>
      <x:c r="C686" t="str">
        <x:v>Client 06</x:v>
      </x:c>
      <x:c r="D686" t="str">
        <x:v>Logistique</x:v>
      </x:c>
      <x:c r="E686" t="str">
        <x:v>Pôle D</x:v>
      </x:c>
      <x:c r="F686" s="18" t="n">
        <x:v>13955.03</x:v>
      </x:c>
      <x:c r="G686" s="18" t="n">
        <x:v>13955.03</x:v>
      </x:c>
      <x:c r="H686" t="str">
        <x:v>Client 06</x:v>
      </x:c>
      <x:c r="I686" s="16" t="n">
        <x:v>45419</x:v>
      </x:c>
      <x:c r="J686" t="n">
        <x:f>YEAR(B686)</x:f>
        <x:v>2024</x:v>
      </x:c>
      <x:c r="K686" s="20" t="n">
        <x:f>DATE(YEAR(B686),MONTH(B686),1)</x:f>
        <x:v>45323</x:v>
      </x:c>
      <x:c r="L686" s="18" t="n">
        <x:f>F686-G686</x:f>
        <x:v>0</x:v>
      </x:c>
      <x:c r="M686" t="str">
        <x:f>IF(L686&lt;=0,"Payée",IF(G686=0,"Impayée","Partielle"))</x:f>
        <x:v>Payée</x:v>
      </x:c>
      <x:c r="N686" t="n">
        <x:f>IF(I686="","",I686-B686)</x:f>
        <x:v>74</x:v>
      </x:c>
      <x:c r="O686" t="str">
        <x:f>IF(TRIM(C686)&lt;&gt;TRIM(H686),"Oui","Non")</x:f>
        <x:v>Non</x:v>
      </x:c>
      <x:c r="P686" t="str">
        <x:f>IFERROR(INDEX('02_REFERENTIEL_CLIENTS'!$B$2:$B$51,MATCH(TRIM(C686),'02_REFERENTIEL_CLIENTS'!$A$2:$A$51,0)),"Non trouvé")</x:f>
        <x:v>Particuliers</x:v>
      </x:c>
      <x:c r="Q686" t="str">
        <x:f>IFERROR(INDEX('02_REFERENTIEL_CLIENTS'!$C$2:$C$51,MATCH(TRIM(C686),'02_REFERENTIEL_CLIENTS'!$A$2:$A$51,0)),"Non trouvé")</x:f>
        <x:v>International</x:v>
      </x:c>
      <x:c r="R686" t="str">
        <x:f>IF(OR(F686&lt;=0,G686&lt;0,G686&gt;F686,N686&lt;0,P686="Non trouvé"),"À vérifier","OK")</x:f>
        <x:v>OK</x:v>
      </x:c>
    </x:row>
    <x:row r="687">
      <x:c r="A687" t="str">
        <x:v>DV-2025-00686</x:v>
      </x:c>
      <x:c r="B687" s="16" t="n">
        <x:v>45882</x:v>
      </x:c>
      <x:c r="C687" t="str">
        <x:v>Client 25 </x:v>
      </x:c>
      <x:c r="D687" t="str">
        <x:v>Express</x:v>
      </x:c>
      <x:c r="E687" t="str">
        <x:v>Pôle A</x:v>
      </x:c>
      <x:c r="F687" s="18" t="n">
        <x:v>13633.21</x:v>
      </x:c>
      <x:c r="G687" s="18" t="n">
        <x:v>13633.21</x:v>
      </x:c>
      <x:c r="H687" t="str">
        <x:v>Client 25</x:v>
      </x:c>
      <x:c r="I687" s="16" t="n">
        <x:v>45892</x:v>
      </x:c>
      <x:c r="J687" t="n">
        <x:f>YEAR(B687)</x:f>
        <x:v>2025</x:v>
      </x:c>
      <x:c r="K687" s="20" t="n">
        <x:f>DATE(YEAR(B687),MONTH(B687),1)</x:f>
        <x:v>45870</x:v>
      </x:c>
      <x:c r="L687" s="18" t="n">
        <x:f>F687-G687</x:f>
        <x:v>0</x:v>
      </x:c>
      <x:c r="M687" t="str">
        <x:f>IF(L687&lt;=0,"Payée",IF(G687=0,"Impayée","Partielle"))</x:f>
        <x:v>Payée</x:v>
      </x:c>
      <x:c r="N687" t="n">
        <x:f>IF(I687="","",I687-B687)</x:f>
        <x:v>10</x:v>
      </x:c>
      <x:c r="O687" t="str">
        <x:f>IF(TRIM(C687)&lt;&gt;TRIM(H687),"Oui","Non")</x:f>
        <x:v>Non</x:v>
      </x:c>
      <x:c r="P687" t="str">
        <x:f>IFERROR(INDEX('02_REFERENTIEL_CLIENTS'!$B$2:$B$51,MATCH(TRIM(C687),'02_REFERENTIEL_CLIENTS'!$A$2:$A$51,0)),"Non trouvé")</x:f>
        <x:v>Grands comptes</x:v>
      </x:c>
      <x:c r="Q687" t="str">
        <x:f>IFERROR(INDEX('02_REFERENTIEL_CLIENTS'!$C$2:$C$51,MATCH(TRIM(C687),'02_REFERENTIEL_CLIENTS'!$A$2:$A$51,0)),"Non trouvé")</x:f>
        <x:v>France</x:v>
      </x:c>
      <x:c r="R687" t="str">
        <x:f>IF(OR(F687&lt;=0,G687&lt;0,G687&gt;F687,N687&lt;0,P687="Non trouvé"),"À vérifier","OK")</x:f>
        <x:v>OK</x:v>
      </x:c>
    </x:row>
    <x:row r="688">
      <x:c r="A688" t="str">
        <x:v>DV-2026-00687</x:v>
      </x:c>
      <x:c r="B688" s="16" t="n">
        <x:v>46263</x:v>
      </x:c>
      <x:c r="C688" t="str">
        <x:v>Client 10</x:v>
      </x:c>
      <x:c r="D688" t="str">
        <x:v>Douane</x:v>
      </x:c>
      <x:c r="E688" t="str">
        <x:v>Pôle B</x:v>
      </x:c>
      <x:c r="F688" s="18" t="n">
        <x:v>17864.39</x:v>
      </x:c>
      <x:c r="G688" s="18" t="n">
        <x:v>17864.39</x:v>
      </x:c>
      <x:c r="H688" t="str">
        <x:v>Client 10</x:v>
      </x:c>
      <x:c r="I688" s="16" t="n">
        <x:v>46354</x:v>
      </x:c>
      <x:c r="J688" t="n">
        <x:f>YEAR(B688)</x:f>
        <x:v>2026</x:v>
      </x:c>
      <x:c r="K688" s="20" t="n">
        <x:f>DATE(YEAR(B688),MONTH(B688),1)</x:f>
        <x:v>46235</x:v>
      </x:c>
      <x:c r="L688" s="18" t="n">
        <x:f>F688-G688</x:f>
        <x:v>0</x:v>
      </x:c>
      <x:c r="M688" t="str">
        <x:f>IF(L688&lt;=0,"Payée",IF(G688=0,"Impayée","Partielle"))</x:f>
        <x:v>Payée</x:v>
      </x:c>
      <x:c r="N688" t="n">
        <x:f>IF(I688="","",I688-B688)</x:f>
        <x:v>91</x:v>
      </x:c>
      <x:c r="O688" t="str">
        <x:f>IF(TRIM(C688)&lt;&gt;TRIM(H688),"Oui","Non")</x:f>
        <x:v>Non</x:v>
      </x:c>
      <x:c r="P688" t="str">
        <x:f>IFERROR(INDEX('02_REFERENTIEL_CLIENTS'!$B$2:$B$51,MATCH(TRIM(C688),'02_REFERENTIEL_CLIENTS'!$A$2:$A$51,0)),"Non trouvé")</x:f>
        <x:v>Grands comptes</x:v>
      </x:c>
      <x:c r="Q688" t="str">
        <x:f>IFERROR(INDEX('02_REFERENTIEL_CLIENTS'!$C$2:$C$51,MATCH(TRIM(C688),'02_REFERENTIEL_CLIENTS'!$A$2:$A$51,0)),"Non trouvé")</x:f>
        <x:v>France</x:v>
      </x:c>
      <x:c r="R688" t="str">
        <x:f>IF(OR(F688&lt;=0,G688&lt;0,G688&gt;F688,N688&lt;0,P688="Non trouvé"),"À vérifier","OK")</x:f>
        <x:v>OK</x:v>
      </x:c>
    </x:row>
    <x:row r="689">
      <x:c r="A689" t="str">
        <x:v>DV-2024-00688</x:v>
      </x:c>
      <x:c r="B689" s="16" t="n">
        <x:v>45343</x:v>
      </x:c>
      <x:c r="C689" t="str">
        <x:v>Client 33</x:v>
      </x:c>
      <x:c r="D689" t="str">
        <x:v>Douane</x:v>
      </x:c>
      <x:c r="E689" t="str">
        <x:v>Pôle C</x:v>
      </x:c>
      <x:c r="F689" s="18" t="n">
        <x:v>23311.1</x:v>
      </x:c>
      <x:c r="G689" s="18" t="n">
        <x:v>23311.1</x:v>
      </x:c>
      <x:c r="H689" t="str">
        <x:v>Client 11</x:v>
      </x:c>
      <x:c r="I689" s="16" t="n">
        <x:v>45382</x:v>
      </x:c>
      <x:c r="J689" t="n">
        <x:f>YEAR(B689)</x:f>
        <x:v>2024</x:v>
      </x:c>
      <x:c r="K689" s="20" t="n">
        <x:f>DATE(YEAR(B689),MONTH(B689),1)</x:f>
        <x:v>45323</x:v>
      </x:c>
      <x:c r="L689" s="18" t="n">
        <x:f>F689-G689</x:f>
        <x:v>0</x:v>
      </x:c>
      <x:c r="M689" t="str">
        <x:f>IF(L689&lt;=0,"Payée",IF(G689=0,"Impayée","Partielle"))</x:f>
        <x:v>Payée</x:v>
      </x:c>
      <x:c r="N689" t="n">
        <x:f>IF(I689="","",I689-B689)</x:f>
        <x:v>39</x:v>
      </x:c>
      <x:c r="O689" t="str">
        <x:f>IF(TRIM(C689)&lt;&gt;TRIM(H689),"Oui","Non")</x:f>
        <x:v>Oui</x:v>
      </x:c>
      <x:c r="P689" t="str">
        <x:f>IFERROR(INDEX('02_REFERENTIEL_CLIENTS'!$B$2:$B$51,MATCH(TRIM(C689),'02_REFERENTIEL_CLIENTS'!$A$2:$A$51,0)),"Non trouvé")</x:f>
        <x:v>Particuliers</x:v>
      </x:c>
      <x:c r="Q689" t="str">
        <x:f>IFERROR(INDEX('02_REFERENTIEL_CLIENTS'!$C$2:$C$51,MATCH(TRIM(C689),'02_REFERENTIEL_CLIENTS'!$A$2:$A$51,0)),"Non trouvé")</x:f>
        <x:v>International</x:v>
      </x:c>
      <x:c r="R689" t="str">
        <x:f>IF(OR(F689&lt;=0,G689&lt;0,G689&gt;F689,N689&lt;0,P689="Non trouvé"),"À vérifier","OK")</x:f>
        <x:v>OK</x:v>
      </x:c>
    </x:row>
    <x:row r="690">
      <x:c r="A690" t="str">
        <x:v>DV-2024-00689</x:v>
      </x:c>
      <x:c r="B690" s="16" t="n">
        <x:v>45373</x:v>
      </x:c>
      <x:c r="C690" t="str">
        <x:v>Client 49</x:v>
      </x:c>
      <x:c r="D690" t="str">
        <x:v>Fret maritime</x:v>
      </x:c>
      <x:c r="E690" t="str">
        <x:v>Pôle D</x:v>
      </x:c>
      <x:c r="F690" s="18" t="n">
        <x:v>21141.4</x:v>
      </x:c>
      <x:c r="G690" s="18" t="n">
        <x:v>21141.4</x:v>
      </x:c>
      <x:c r="H690" t="str">
        <x:v>Client 49</x:v>
      </x:c>
      <x:c r="I690" s="16" t="n">
        <x:v>45459</x:v>
      </x:c>
      <x:c r="J690" t="n">
        <x:f>YEAR(B690)</x:f>
        <x:v>2024</x:v>
      </x:c>
      <x:c r="K690" s="20" t="n">
        <x:f>DATE(YEAR(B690),MONTH(B690),1)</x:f>
        <x:v>45352</x:v>
      </x:c>
      <x:c r="L690" s="18" t="n">
        <x:f>F690-G690</x:f>
        <x:v>0</x:v>
      </x:c>
      <x:c r="M690" t="str">
        <x:f>IF(L690&lt;=0,"Payée",IF(G690=0,"Impayée","Partielle"))</x:f>
        <x:v>Payée</x:v>
      </x:c>
      <x:c r="N690" t="n">
        <x:f>IF(I690="","",I690-B690)</x:f>
        <x:v>86</x:v>
      </x:c>
      <x:c r="O690" t="str">
        <x:f>IF(TRIM(C690)&lt;&gt;TRIM(H690),"Oui","Non")</x:f>
        <x:v>Non</x:v>
      </x:c>
      <x:c r="P690" t="str">
        <x:f>IFERROR(INDEX('02_REFERENTIEL_CLIENTS'!$B$2:$B$51,MATCH(TRIM(C690),'02_REFERENTIEL_CLIENTS'!$A$2:$A$51,0)),"Non trouvé")</x:f>
        <x:v>Grands comptes</x:v>
      </x:c>
      <x:c r="Q690" t="str">
        <x:f>IFERROR(INDEX('02_REFERENTIEL_CLIENTS'!$C$2:$C$51,MATCH(TRIM(C690),'02_REFERENTIEL_CLIENTS'!$A$2:$A$51,0)),"Non trouvé")</x:f>
        <x:v>France</x:v>
      </x:c>
      <x:c r="R690" t="str">
        <x:f>IF(OR(F690&lt;=0,G690&lt;0,G690&gt;F690,N690&lt;0,P690="Non trouvé"),"À vérifier","OK")</x:f>
        <x:v>OK</x:v>
      </x:c>
    </x:row>
    <x:row r="691">
      <x:c r="A691" t="str">
        <x:v>DV-2024-00690</x:v>
      </x:c>
      <x:c r="B691" s="16" t="n">
        <x:v>45452</x:v>
      </x:c>
      <x:c r="C691" t="str">
        <x:v>Client 34</x:v>
      </x:c>
      <x:c r="D691" t="str">
        <x:v>Fret aérien</x:v>
      </x:c>
      <x:c r="E691" t="str">
        <x:v>Pôle A</x:v>
      </x:c>
      <x:c r="F691" s="18" t="n">
        <x:v>3603.44</x:v>
      </x:c>
      <x:c r="G691" s="18" t="n">
        <x:v>3603.44</x:v>
      </x:c>
      <x:c r="H691" t="str">
        <x:v>Client 34</x:v>
      </x:c>
      <x:c r="I691" s="16" t="n">
        <x:v>45479</x:v>
      </x:c>
      <x:c r="J691" t="n">
        <x:f>YEAR(B691)</x:f>
        <x:v>2024</x:v>
      </x:c>
      <x:c r="K691" s="20" t="n">
        <x:f>DATE(YEAR(B691),MONTH(B691),1)</x:f>
        <x:v>45444</x:v>
      </x:c>
      <x:c r="L691" s="18" t="n">
        <x:f>F691-G691</x:f>
        <x:v>0</x:v>
      </x:c>
      <x:c r="M691" t="str">
        <x:f>IF(L691&lt;=0,"Payée",IF(G691=0,"Impayée","Partielle"))</x:f>
        <x:v>Payée</x:v>
      </x:c>
      <x:c r="N691" t="n">
        <x:f>IF(I691="","",I691-B691)</x:f>
        <x:v>27</x:v>
      </x:c>
      <x:c r="O691" t="str">
        <x:f>IF(TRIM(C691)&lt;&gt;TRIM(H691),"Oui","Non")</x:f>
        <x:v>Non</x:v>
      </x:c>
      <x:c r="P691" t="str">
        <x:f>IFERROR(INDEX('02_REFERENTIEL_CLIENTS'!$B$2:$B$51,MATCH(TRIM(C691),'02_REFERENTIEL_CLIENTS'!$A$2:$A$51,0)),"Non trouvé")</x:f>
        <x:v>Grands comptes</x:v>
      </x:c>
      <x:c r="Q691" t="str">
        <x:f>IFERROR(INDEX('02_REFERENTIEL_CLIENTS'!$C$2:$C$51,MATCH(TRIM(C691),'02_REFERENTIEL_CLIENTS'!$A$2:$A$51,0)),"Non trouvé")</x:f>
        <x:v>France</x:v>
      </x:c>
      <x:c r="R691" t="str">
        <x:f>IF(OR(F691&lt;=0,G691&lt;0,G691&gt;F691,N691&lt;0,P691="Non trouvé"),"À vérifier","OK")</x:f>
        <x:v>OK</x:v>
      </x:c>
    </x:row>
    <x:row r="692">
      <x:c r="A692" t="str">
        <x:v>DV-2025-00691</x:v>
      </x:c>
      <x:c r="B692" s="16" t="n">
        <x:v>45978</x:v>
      </x:c>
      <x:c r="C692" t="str">
        <x:v>Client 50</x:v>
      </x:c>
      <x:c r="D692" t="str">
        <x:v>Douane</x:v>
      </x:c>
      <x:c r="E692" t="str">
        <x:v>Pôle D</x:v>
      </x:c>
      <x:c r="F692" s="18" t="n">
        <x:v>22461.51</x:v>
      </x:c>
      <x:c r="G692" s="18" t="n">
        <x:v>22461.51</x:v>
      </x:c>
      <x:c r="H692" t="str">
        <x:v>Client 50</x:v>
      </x:c>
      <x:c r="I692" s="16" t="n">
        <x:v>46042</x:v>
      </x:c>
      <x:c r="J692" t="n">
        <x:f>YEAR(B692)</x:f>
        <x:v>2025</x:v>
      </x:c>
      <x:c r="K692" s="20" t="n">
        <x:f>DATE(YEAR(B692),MONTH(B692),1)</x:f>
        <x:v>45962</x:v>
      </x:c>
      <x:c r="L692" s="18" t="n">
        <x:f>F692-G692</x:f>
        <x:v>0</x:v>
      </x:c>
      <x:c r="M692" t="str">
        <x:f>IF(L692&lt;=0,"Payée",IF(G692=0,"Impayée","Partielle"))</x:f>
        <x:v>Payée</x:v>
      </x:c>
      <x:c r="N692" t="n">
        <x:f>IF(I692="","",I692-B692)</x:f>
        <x:v>64</x:v>
      </x:c>
      <x:c r="O692" t="str">
        <x:f>IF(TRIM(C692)&lt;&gt;TRIM(H692),"Oui","Non")</x:f>
        <x:v>Non</x:v>
      </x:c>
      <x:c r="P692" t="str">
        <x:f>IFERROR(INDEX('02_REFERENTIEL_CLIENTS'!$B$2:$B$51,MATCH(TRIM(C692),'02_REFERENTIEL_CLIENTS'!$A$2:$A$51,0)),"Non trouvé")</x:f>
        <x:v>PME</x:v>
      </x:c>
      <x:c r="Q692" t="str">
        <x:f>IFERROR(INDEX('02_REFERENTIEL_CLIENTS'!$C$2:$C$51,MATCH(TRIM(C692),'02_REFERENTIEL_CLIENTS'!$A$2:$A$51,0)),"Non trouvé")</x:f>
        <x:v>Europe</x:v>
      </x:c>
      <x:c r="R692" t="str">
        <x:f>IF(OR(F692&lt;=0,G692&lt;0,G692&gt;F692,N692&lt;0,P692="Non trouvé"),"À vérifier","OK")</x:f>
        <x:v>OK</x:v>
      </x:c>
    </x:row>
    <x:row r="693">
      <x:c r="A693" t="str">
        <x:v>DV-2025-00692</x:v>
      </x:c>
      <x:c r="B693" s="16" t="n">
        <x:v>45983</x:v>
      </x:c>
      <x:c r="C693" t="str">
        <x:v>Client 12</x:v>
      </x:c>
      <x:c r="D693" t="str">
        <x:v>Fret maritime</x:v>
      </x:c>
      <x:c r="E693" t="str">
        <x:v>Pôle C</x:v>
      </x:c>
      <x:c r="F693" s="18" t="n">
        <x:v>13916.37</x:v>
      </x:c>
      <x:c r="G693" s="18" t="n">
        <x:v>9567.02</x:v>
      </x:c>
      <x:c r="H693" t="str">
        <x:v>Client 12</x:v>
      </x:c>
      <x:c r="I693" s="16" t="n">
        <x:v>46046</x:v>
      </x:c>
      <x:c r="J693" t="n">
        <x:f>YEAR(B693)</x:f>
        <x:v>2025</x:v>
      </x:c>
      <x:c r="K693" s="20" t="n">
        <x:f>DATE(YEAR(B693),MONTH(B693),1)</x:f>
        <x:v>45962</x:v>
      </x:c>
      <x:c r="L693" s="18" t="n">
        <x:f>F693-G693</x:f>
        <x:v>4349.35</x:v>
      </x:c>
      <x:c r="M693" t="str">
        <x:f>IF(L693&lt;=0,"Payée",IF(G693=0,"Impayée","Partielle"))</x:f>
        <x:v>Partielle</x:v>
      </x:c>
      <x:c r="N693" t="n">
        <x:f>IF(I693="","",I693-B693)</x:f>
        <x:v>63</x:v>
      </x:c>
      <x:c r="O693" t="str">
        <x:f>IF(TRIM(C693)&lt;&gt;TRIM(H693),"Oui","Non")</x:f>
        <x:v>Non</x:v>
      </x:c>
      <x:c r="P693" t="str">
        <x:f>IFERROR(INDEX('02_REFERENTIEL_CLIENTS'!$B$2:$B$51,MATCH(TRIM(C693),'02_REFERENTIEL_CLIENTS'!$A$2:$A$51,0)),"Non trouvé")</x:f>
        <x:v>Particuliers</x:v>
      </x:c>
      <x:c r="Q693" t="str">
        <x:f>IFERROR(INDEX('02_REFERENTIEL_CLIENTS'!$C$2:$C$51,MATCH(TRIM(C693),'02_REFERENTIEL_CLIENTS'!$A$2:$A$51,0)),"Non trouvé")</x:f>
        <x:v>International</x:v>
      </x:c>
      <x:c r="R693" t="str">
        <x:f>IF(OR(F693&lt;=0,G693&lt;0,G693&gt;F693,N693&lt;0,P693="Non trouvé"),"À vérifier","OK")</x:f>
        <x:v>OK</x:v>
      </x:c>
    </x:row>
    <x:row r="694">
      <x:c r="A694" t="str">
        <x:v>DV-2024-00693</x:v>
      </x:c>
      <x:c r="B694" s="16" t="n">
        <x:v>45460</x:v>
      </x:c>
      <x:c r="C694" t="str">
        <x:v>Client 40</x:v>
      </x:c>
      <x:c r="D694" t="str">
        <x:v>Fret aérien</x:v>
      </x:c>
      <x:c r="E694" t="str">
        <x:v>Pôle B</x:v>
      </x:c>
      <x:c r="F694" s="18" t="n">
        <x:v>16472.53</x:v>
      </x:c>
      <x:c r="G694" s="18" t="n">
        <x:v>0</x:v>
      </x:c>
      <x:c r="H694" t="str">
        <x:v>Client 40</x:v>
      </x:c>
      <x:c r="I694" s="16"/>
      <x:c r="J694" t="n">
        <x:f>YEAR(B694)</x:f>
        <x:v>2024</x:v>
      </x:c>
      <x:c r="K694" s="20" t="n">
        <x:f>DATE(YEAR(B694),MONTH(B694),1)</x:f>
        <x:v>45444</x:v>
      </x:c>
      <x:c r="L694" s="18" t="n">
        <x:f>F694-G694</x:f>
        <x:v>16472.53</x:v>
      </x:c>
      <x:c r="M694" t="str">
        <x:f>IF(L694&lt;=0,"Payée",IF(G694=0,"Impayée","Partielle"))</x:f>
        <x:v>Impayée</x:v>
      </x:c>
      <x:c r="N694" t="str">
        <x:f>IF(I694="","",I694-B694)</x:f>
      </x:c>
      <x:c r="O694" t="str">
        <x:f>IF(TRIM(C694)&lt;&gt;TRIM(H694),"Oui","Non")</x:f>
        <x:v>Non</x:v>
      </x:c>
      <x:c r="P694" t="str">
        <x:f>IFERROR(INDEX('02_REFERENTIEL_CLIENTS'!$B$2:$B$51,MATCH(TRIM(C694),'02_REFERENTIEL_CLIENTS'!$A$2:$A$51,0)),"Non trouvé")</x:f>
        <x:v>Grands comptes</x:v>
      </x:c>
      <x:c r="Q694" t="str">
        <x:f>IFERROR(INDEX('02_REFERENTIEL_CLIENTS'!$C$2:$C$51,MATCH(TRIM(C694),'02_REFERENTIEL_CLIENTS'!$A$2:$A$51,0)),"Non trouvé")</x:f>
        <x:v>France</x:v>
      </x:c>
      <x:c r="R694" t="str">
        <x:f>IF(OR(F694&lt;=0,G694&lt;0,G694&gt;F694,N694&lt;0,P694="Non trouvé"),"À vérifier","OK")</x:f>
        <x:v>OK</x:v>
      </x:c>
    </x:row>
    <x:row r="695">
      <x:c r="A695" t="str">
        <x:v>DV-2025-00694</x:v>
      </x:c>
      <x:c r="B695" s="16" t="n">
        <x:v>45914</x:v>
      </x:c>
      <x:c r="C695" t="str">
        <x:v>Client 03</x:v>
      </x:c>
      <x:c r="D695" t="str">
        <x:v>Fret maritime</x:v>
      </x:c>
      <x:c r="E695" t="str">
        <x:v>Pôle D</x:v>
      </x:c>
      <x:c r="F695" s="18" t="n">
        <x:v>5714.18</x:v>
      </x:c>
      <x:c r="G695" s="18" t="n">
        <x:v>5714.18</x:v>
      </x:c>
      <x:c r="H695" t="str">
        <x:v>Client 03</x:v>
      </x:c>
      <x:c r="I695" s="16" t="n">
        <x:v>45926</x:v>
      </x:c>
      <x:c r="J695" t="n">
        <x:f>YEAR(B695)</x:f>
        <x:v>2025</x:v>
      </x:c>
      <x:c r="K695" s="20" t="n">
        <x:f>DATE(YEAR(B695),MONTH(B695),1)</x:f>
        <x:v>45901</x:v>
      </x:c>
      <x:c r="L695" s="18" t="n">
        <x:f>F695-G695</x:f>
        <x:v>0</x:v>
      </x:c>
      <x:c r="M695" t="str">
        <x:f>IF(L695&lt;=0,"Payée",IF(G695=0,"Impayée","Partielle"))</x:f>
        <x:v>Payée</x:v>
      </x:c>
      <x:c r="N695" t="n">
        <x:f>IF(I695="","",I695-B695)</x:f>
        <x:v>12</x:v>
      </x:c>
      <x:c r="O695" t="str">
        <x:f>IF(TRIM(C695)&lt;&gt;TRIM(H695),"Oui","Non")</x:f>
        <x:v>Non</x:v>
      </x:c>
      <x:c r="P695" t="str">
        <x:f>IFERROR(INDEX('02_REFERENTIEL_CLIENTS'!$B$2:$B$51,MATCH(TRIM(C695),'02_REFERENTIEL_CLIENTS'!$A$2:$A$51,0)),"Non trouvé")</x:f>
        <x:v>Particuliers</x:v>
      </x:c>
      <x:c r="Q695" t="str">
        <x:f>IFERROR(INDEX('02_REFERENTIEL_CLIENTS'!$C$2:$C$51,MATCH(TRIM(C695),'02_REFERENTIEL_CLIENTS'!$A$2:$A$51,0)),"Non trouvé")</x:f>
        <x:v>International</x:v>
      </x:c>
      <x:c r="R695" t="str">
        <x:f>IF(OR(F695&lt;=0,G695&lt;0,G695&gt;F695,N695&lt;0,P695="Non trouvé"),"À vérifier","OK")</x:f>
        <x:v>OK</x:v>
      </x:c>
    </x:row>
    <x:row r="696">
      <x:c r="A696" t="str">
        <x:v>DV-2026-00695</x:v>
      </x:c>
      <x:c r="B696" s="16" t="n">
        <x:v>46233</x:v>
      </x:c>
      <x:c r="C696" t="str">
        <x:v>Client 05</x:v>
      </x:c>
      <x:c r="D696" t="str">
        <x:v>Douane</x:v>
      </x:c>
      <x:c r="E696" t="str">
        <x:v>Pôle D</x:v>
      </x:c>
      <x:c r="F696" s="18" t="n">
        <x:v>17568.01</x:v>
      </x:c>
      <x:c r="G696" s="18" t="n">
        <x:v>17568.01</x:v>
      </x:c>
      <x:c r="H696" t="str">
        <x:v>Client 05</x:v>
      </x:c>
      <x:c r="I696" s="16" t="n">
        <x:v>46265</x:v>
      </x:c>
      <x:c r="J696" t="n">
        <x:f>YEAR(B696)</x:f>
        <x:v>2026</x:v>
      </x:c>
      <x:c r="K696" s="20" t="n">
        <x:f>DATE(YEAR(B696),MONTH(B696),1)</x:f>
        <x:v>46204</x:v>
      </x:c>
      <x:c r="L696" s="18" t="n">
        <x:f>F696-G696</x:f>
        <x:v>0</x:v>
      </x:c>
      <x:c r="M696" t="str">
        <x:f>IF(L696&lt;=0,"Payée",IF(G696=0,"Impayée","Partielle"))</x:f>
        <x:v>Payée</x:v>
      </x:c>
      <x:c r="N696" t="n">
        <x:f>IF(I696="","",I696-B696)</x:f>
        <x:v>32</x:v>
      </x:c>
      <x:c r="O696" t="str">
        <x:f>IF(TRIM(C696)&lt;&gt;TRIM(H696),"Oui","Non")</x:f>
        <x:v>Non</x:v>
      </x:c>
      <x:c r="P696" t="str">
        <x:f>IFERROR(INDEX('02_REFERENTIEL_CLIENTS'!$B$2:$B$51,MATCH(TRIM(C696),'02_REFERENTIEL_CLIENTS'!$A$2:$A$51,0)),"Non trouvé")</x:f>
        <x:v>PME</x:v>
      </x:c>
      <x:c r="Q696" t="str">
        <x:f>IFERROR(INDEX('02_REFERENTIEL_CLIENTS'!$C$2:$C$51,MATCH(TRIM(C696),'02_REFERENTIEL_CLIENTS'!$A$2:$A$51,0)),"Non trouvé")</x:f>
        <x:v>Europe</x:v>
      </x:c>
      <x:c r="R696" t="str">
        <x:f>IF(OR(F696&lt;=0,G696&lt;0,G696&gt;F696,N696&lt;0,P696="Non trouvé"),"À vérifier","OK")</x:f>
        <x:v>OK</x:v>
      </x:c>
    </x:row>
    <x:row r="697">
      <x:c r="A697" t="str">
        <x:v>DV-2025-00696</x:v>
      </x:c>
      <x:c r="B697" s="16" t="n">
        <x:v>45781</x:v>
      </x:c>
      <x:c r="C697" t="str">
        <x:v>Client 36</x:v>
      </x:c>
      <x:c r="D697" t="str">
        <x:v>Douane</x:v>
      </x:c>
      <x:c r="E697" t="str">
        <x:v>Pôle E</x:v>
      </x:c>
      <x:c r="F697" s="18" t="n">
        <x:v>24135.46</x:v>
      </x:c>
      <x:c r="G697" s="18" t="n">
        <x:v>24135.46</x:v>
      </x:c>
      <x:c r="H697" t="str">
        <x:v>Client 36</x:v>
      </x:c>
      <x:c r="I697" s="16" t="n">
        <x:v>45794</x:v>
      </x:c>
      <x:c r="J697" t="n">
        <x:f>YEAR(B697)</x:f>
        <x:v>2025</x:v>
      </x:c>
      <x:c r="K697" s="20" t="n">
        <x:f>DATE(YEAR(B697),MONTH(B697),1)</x:f>
        <x:v>45778</x:v>
      </x:c>
      <x:c r="L697" s="18" t="n">
        <x:f>F697-G697</x:f>
        <x:v>0</x:v>
      </x:c>
      <x:c r="M697" t="str">
        <x:f>IF(L697&lt;=0,"Payée",IF(G697=0,"Impayée","Partielle"))</x:f>
        <x:v>Payée</x:v>
      </x:c>
      <x:c r="N697" t="n">
        <x:f>IF(I697="","",I697-B697)</x:f>
        <x:v>13</x:v>
      </x:c>
      <x:c r="O697" t="str">
        <x:f>IF(TRIM(C697)&lt;&gt;TRIM(H697),"Oui","Non")</x:f>
        <x:v>Non</x:v>
      </x:c>
      <x:c r="P697" t="str">
        <x:f>IFERROR(INDEX('02_REFERENTIEL_CLIENTS'!$B$2:$B$51,MATCH(TRIM(C697),'02_REFERENTIEL_CLIENTS'!$A$2:$A$51,0)),"Non trouvé")</x:f>
        <x:v>Particuliers</x:v>
      </x:c>
      <x:c r="Q697" t="str">
        <x:f>IFERROR(INDEX('02_REFERENTIEL_CLIENTS'!$C$2:$C$51,MATCH(TRIM(C697),'02_REFERENTIEL_CLIENTS'!$A$2:$A$51,0)),"Non trouvé")</x:f>
        <x:v>International</x:v>
      </x:c>
      <x:c r="R697" t="str">
        <x:f>IF(OR(F697&lt;=0,G697&lt;0,G697&gt;F697,N697&lt;0,P697="Non trouvé"),"À vérifier","OK")</x:f>
        <x:v>OK</x:v>
      </x:c>
    </x:row>
    <x:row r="698">
      <x:c r="A698" t="str">
        <x:v>DV-2026-00697</x:v>
      </x:c>
      <x:c r="B698" s="16" t="n">
        <x:v>46150</x:v>
      </x:c>
      <x:c r="C698" t="str">
        <x:v>Client 44</x:v>
      </x:c>
      <x:c r="D698" t="str">
        <x:v>Logistique</x:v>
      </x:c>
      <x:c r="E698" t="str">
        <x:v>Pôle A</x:v>
      </x:c>
      <x:c r="F698" s="18" t="n">
        <x:v>17861.11</x:v>
      </x:c>
      <x:c r="G698" s="18" t="n">
        <x:v>17861.11</x:v>
      </x:c>
      <x:c r="H698" t="str">
        <x:v>Client 22</x:v>
      </x:c>
      <x:c r="I698" s="16" t="n">
        <x:v>46236</x:v>
      </x:c>
      <x:c r="J698" t="n">
        <x:f>YEAR(B698)</x:f>
        <x:v>2026</x:v>
      </x:c>
      <x:c r="K698" s="20" t="n">
        <x:f>DATE(YEAR(B698),MONTH(B698),1)</x:f>
        <x:v>46143</x:v>
      </x:c>
      <x:c r="L698" s="18" t="n">
        <x:f>F698-G698</x:f>
        <x:v>0</x:v>
      </x:c>
      <x:c r="M698" t="str">
        <x:f>IF(L698&lt;=0,"Payée",IF(G698=0,"Impayée","Partielle"))</x:f>
        <x:v>Payée</x:v>
      </x:c>
      <x:c r="N698" t="n">
        <x:f>IF(I698="","",I698-B698)</x:f>
        <x:v>86</x:v>
      </x:c>
      <x:c r="O698" t="str">
        <x:f>IF(TRIM(C698)&lt;&gt;TRIM(H698),"Oui","Non")</x:f>
        <x:v>Oui</x:v>
      </x:c>
      <x:c r="P698" t="str">
        <x:f>IFERROR(INDEX('02_REFERENTIEL_CLIENTS'!$B$2:$B$51,MATCH(TRIM(C698),'02_REFERENTIEL_CLIENTS'!$A$2:$A$51,0)),"Non trouvé")</x:f>
        <x:v>PME</x:v>
      </x:c>
      <x:c r="Q698" t="str">
        <x:f>IFERROR(INDEX('02_REFERENTIEL_CLIENTS'!$C$2:$C$51,MATCH(TRIM(C698),'02_REFERENTIEL_CLIENTS'!$A$2:$A$51,0)),"Non trouvé")</x:f>
        <x:v>Europe</x:v>
      </x:c>
      <x:c r="R698" t="str">
        <x:f>IF(OR(F698&lt;=0,G698&lt;0,G698&gt;F698,N698&lt;0,P698="Non trouvé"),"À vérifier","OK")</x:f>
        <x:v>OK</x:v>
      </x:c>
    </x:row>
    <x:row r="699">
      <x:c r="A699" t="str">
        <x:v>DV-2026-00698</x:v>
      </x:c>
      <x:c r="B699" s="16" t="n">
        <x:v>46153</x:v>
      </x:c>
      <x:c r="C699" t="str">
        <x:v>Client 45</x:v>
      </x:c>
      <x:c r="D699" t="str">
        <x:v>Express</x:v>
      </x:c>
      <x:c r="E699" t="str">
        <x:v>Pôle E</x:v>
      </x:c>
      <x:c r="F699" s="18" t="n">
        <x:v>7533.77</x:v>
      </x:c>
      <x:c r="G699" s="18" t="n">
        <x:v>2753.83</x:v>
      </x:c>
      <x:c r="H699" t="str">
        <x:v>Client 29</x:v>
      </x:c>
      <x:c r="I699" s="16" t="n">
        <x:v>46203</x:v>
      </x:c>
      <x:c r="J699" t="n">
        <x:f>YEAR(B699)</x:f>
        <x:v>2026</x:v>
      </x:c>
      <x:c r="K699" s="20" t="n">
        <x:f>DATE(YEAR(B699),MONTH(B699),1)</x:f>
        <x:v>46143</x:v>
      </x:c>
      <x:c r="L699" s="18" t="n">
        <x:f>F699-G699</x:f>
        <x:v>4779.9400000000005</x:v>
      </x:c>
      <x:c r="M699" t="str">
        <x:f>IF(L699&lt;=0,"Payée",IF(G699=0,"Impayée","Partielle"))</x:f>
        <x:v>Partielle</x:v>
      </x:c>
      <x:c r="N699" t="n">
        <x:f>IF(I699="","",I699-B699)</x:f>
        <x:v>50</x:v>
      </x:c>
      <x:c r="O699" t="str">
        <x:f>IF(TRIM(C699)&lt;&gt;TRIM(H699),"Oui","Non")</x:f>
        <x:v>Oui</x:v>
      </x:c>
      <x:c r="P699" t="str">
        <x:f>IFERROR(INDEX('02_REFERENTIEL_CLIENTS'!$B$2:$B$51,MATCH(TRIM(C699),'02_REFERENTIEL_CLIENTS'!$A$2:$A$51,0)),"Non trouvé")</x:f>
        <x:v>Particuliers</x:v>
      </x:c>
      <x:c r="Q699" t="str">
        <x:f>IFERROR(INDEX('02_REFERENTIEL_CLIENTS'!$C$2:$C$51,MATCH(TRIM(C699),'02_REFERENTIEL_CLIENTS'!$A$2:$A$51,0)),"Non trouvé")</x:f>
        <x:v>International</x:v>
      </x:c>
      <x:c r="R699" t="str">
        <x:f>IF(OR(F699&lt;=0,G699&lt;0,G699&gt;F699,N699&lt;0,P699="Non trouvé"),"À vérifier","OK")</x:f>
        <x:v>OK</x:v>
      </x:c>
    </x:row>
    <x:row r="700">
      <x:c r="A700" t="str">
        <x:v>DV-2024-00699</x:v>
      </x:c>
      <x:c r="B700" s="16" t="n">
        <x:v>45520</x:v>
      </x:c>
      <x:c r="C700" t="str">
        <x:v>Client 15</x:v>
      </x:c>
      <x:c r="D700" t="str">
        <x:v>Fret maritime</x:v>
      </x:c>
      <x:c r="E700" t="str">
        <x:v>Pôle D</x:v>
      </x:c>
      <x:c r="F700" s="18" t="n">
        <x:v>3352.76</x:v>
      </x:c>
      <x:c r="G700" s="18" t="n">
        <x:v>3352.76</x:v>
      </x:c>
      <x:c r="H700" t="str">
        <x:v>Client 15</x:v>
      </x:c>
      <x:c r="I700" s="16" t="n">
        <x:v>45526</x:v>
      </x:c>
      <x:c r="J700" t="n">
        <x:f>YEAR(B700)</x:f>
        <x:v>2024</x:v>
      </x:c>
      <x:c r="K700" s="20" t="n">
        <x:f>DATE(YEAR(B700),MONTH(B700),1)</x:f>
        <x:v>45505</x:v>
      </x:c>
      <x:c r="L700" s="18" t="n">
        <x:f>F700-G700</x:f>
        <x:v>0</x:v>
      </x:c>
      <x:c r="M700" t="str">
        <x:f>IF(L700&lt;=0,"Payée",IF(G700=0,"Impayée","Partielle"))</x:f>
        <x:v>Payée</x:v>
      </x:c>
      <x:c r="N700" t="n">
        <x:f>IF(I700="","",I700-B700)</x:f>
        <x:v>6</x:v>
      </x:c>
      <x:c r="O700" t="str">
        <x:f>IF(TRIM(C700)&lt;&gt;TRIM(H700),"Oui","Non")</x:f>
        <x:v>Non</x:v>
      </x:c>
      <x:c r="P700" t="str">
        <x:f>IFERROR(INDEX('02_REFERENTIEL_CLIENTS'!$B$2:$B$51,MATCH(TRIM(C700),'02_REFERENTIEL_CLIENTS'!$A$2:$A$51,0)),"Non trouvé")</x:f>
        <x:v>Particuliers</x:v>
      </x:c>
      <x:c r="Q700" t="str">
        <x:f>IFERROR(INDEX('02_REFERENTIEL_CLIENTS'!$C$2:$C$51,MATCH(TRIM(C700),'02_REFERENTIEL_CLIENTS'!$A$2:$A$51,0)),"Non trouvé")</x:f>
        <x:v>International</x:v>
      </x:c>
      <x:c r="R700" t="str">
        <x:f>IF(OR(F700&lt;=0,G700&lt;0,G700&gt;F700,N700&lt;0,P700="Non trouvé"),"À vérifier","OK")</x:f>
        <x:v>OK</x:v>
      </x:c>
    </x:row>
    <x:row r="701">
      <x:c r="A701" t="str">
        <x:v>DV-2025-00700</x:v>
      </x:c>
      <x:c r="B701" s="16" t="n">
        <x:v>45925</x:v>
      </x:c>
      <x:c r="C701" t="str">
        <x:v>Client 46</x:v>
      </x:c>
      <x:c r="D701" t="str">
        <x:v>Logistique</x:v>
      </x:c>
      <x:c r="E701" t="str">
        <x:v>Pôle C</x:v>
      </x:c>
      <x:c r="F701" s="18" t="n">
        <x:v>11388.68</x:v>
      </x:c>
      <x:c r="G701" s="18" t="n">
        <x:v>11388.68</x:v>
      </x:c>
      <x:c r="H701" t="str">
        <x:v>Client 46</x:v>
      </x:c>
      <x:c r="I701" s="16" t="n">
        <x:v>45954</x:v>
      </x:c>
      <x:c r="J701" t="n">
        <x:f>YEAR(B701)</x:f>
        <x:v>2025</x:v>
      </x:c>
      <x:c r="K701" s="20" t="n">
        <x:f>DATE(YEAR(B701),MONTH(B701),1)</x:f>
        <x:v>45901</x:v>
      </x:c>
      <x:c r="L701" s="18" t="n">
        <x:f>F701-G701</x:f>
        <x:v>0</x:v>
      </x:c>
      <x:c r="M701" t="str">
        <x:f>IF(L701&lt;=0,"Payée",IF(G701=0,"Impayée","Partielle"))</x:f>
        <x:v>Payée</x:v>
      </x:c>
      <x:c r="N701" t="n">
        <x:f>IF(I701="","",I701-B701)</x:f>
        <x:v>29</x:v>
      </x:c>
      <x:c r="O701" t="str">
        <x:f>IF(TRIM(C701)&lt;&gt;TRIM(H701),"Oui","Non")</x:f>
        <x:v>Non</x:v>
      </x:c>
      <x:c r="P701" t="str">
        <x:f>IFERROR(INDEX('02_REFERENTIEL_CLIENTS'!$B$2:$B$51,MATCH(TRIM(C701),'02_REFERENTIEL_CLIENTS'!$A$2:$A$51,0)),"Non trouvé")</x:f>
        <x:v>Grands comptes</x:v>
      </x:c>
      <x:c r="Q701" t="str">
        <x:f>IFERROR(INDEX('02_REFERENTIEL_CLIENTS'!$C$2:$C$51,MATCH(TRIM(C701),'02_REFERENTIEL_CLIENTS'!$A$2:$A$51,0)),"Non trouvé")</x:f>
        <x:v>France</x:v>
      </x:c>
      <x:c r="R701" t="str">
        <x:f>IF(OR(F701&lt;=0,G701&lt;0,G701&gt;F701,N701&lt;0,P701="Non trouvé"),"À vérifier","OK")</x:f>
        <x:v>OK</x:v>
      </x:c>
    </x:row>
    <x:row r="702">
      <x:c r="A702" t="str">
        <x:v>DV-2026-00701</x:v>
      </x:c>
      <x:c r="B702" s="16" t="n">
        <x:v>46257</x:v>
      </x:c>
      <x:c r="C702" t="str">
        <x:v>Client 16</x:v>
      </x:c>
      <x:c r="D702" t="str">
        <x:v>Express</x:v>
      </x:c>
      <x:c r="E702" t="str">
        <x:v>Pôle B</x:v>
      </x:c>
      <x:c r="F702" s="18" t="n">
        <x:v>23034.75</x:v>
      </x:c>
      <x:c r="G702" s="18" t="n">
        <x:v>23034.75</x:v>
      </x:c>
      <x:c r="H702" t="str">
        <x:v>Client 16</x:v>
      </x:c>
      <x:c r="I702" s="16" t="n">
        <x:v>46281</x:v>
      </x:c>
      <x:c r="J702" t="n">
        <x:f>YEAR(B702)</x:f>
        <x:v>2026</x:v>
      </x:c>
      <x:c r="K702" s="20" t="n">
        <x:f>DATE(YEAR(B702),MONTH(B702),1)</x:f>
        <x:v>46235</x:v>
      </x:c>
      <x:c r="L702" s="18" t="n">
        <x:f>F702-G702</x:f>
        <x:v>0</x:v>
      </x:c>
      <x:c r="M702" t="str">
        <x:f>IF(L702&lt;=0,"Payée",IF(G702=0,"Impayée","Partielle"))</x:f>
        <x:v>Payée</x:v>
      </x:c>
      <x:c r="N702" t="n">
        <x:f>IF(I702="","",I702-B702)</x:f>
        <x:v>24</x:v>
      </x:c>
      <x:c r="O702" t="str">
        <x:f>IF(TRIM(C702)&lt;&gt;TRIM(H702),"Oui","Non")</x:f>
        <x:v>Non</x:v>
      </x:c>
      <x:c r="P702" t="str">
        <x:f>IFERROR(INDEX('02_REFERENTIEL_CLIENTS'!$B$2:$B$51,MATCH(TRIM(C702),'02_REFERENTIEL_CLIENTS'!$A$2:$A$51,0)),"Non trouvé")</x:f>
        <x:v>Grands comptes</x:v>
      </x:c>
      <x:c r="Q702" t="str">
        <x:f>IFERROR(INDEX('02_REFERENTIEL_CLIENTS'!$C$2:$C$51,MATCH(TRIM(C702),'02_REFERENTIEL_CLIENTS'!$A$2:$A$51,0)),"Non trouvé")</x:f>
        <x:v>France</x:v>
      </x:c>
      <x:c r="R702" t="str">
        <x:f>IF(OR(F702&lt;=0,G702&lt;0,G702&gt;F702,N702&lt;0,P702="Non trouvé"),"À vérifier","OK")</x:f>
        <x:v>OK</x:v>
      </x:c>
    </x:row>
    <x:row r="703">
      <x:c r="A703" t="str">
        <x:v>DV-2025-00702</x:v>
      </x:c>
      <x:c r="B703" s="16" t="n">
        <x:v>45983</x:v>
      </x:c>
      <x:c r="C703" t="str">
        <x:v>Client 11</x:v>
      </x:c>
      <x:c r="D703" t="str">
        <x:v>Logistique</x:v>
      </x:c>
      <x:c r="E703" t="str">
        <x:v>Pôle A</x:v>
      </x:c>
      <x:c r="F703" s="18" t="n">
        <x:v>9200.08</x:v>
      </x:c>
      <x:c r="G703" s="18" t="n">
        <x:v>9200.08</x:v>
      </x:c>
      <x:c r="H703" t="str">
        <x:v>Client 11</x:v>
      </x:c>
      <x:c r="I703" s="16" t="n">
        <x:v>46026</x:v>
      </x:c>
      <x:c r="J703" t="n">
        <x:f>YEAR(B703)</x:f>
        <x:v>2025</x:v>
      </x:c>
      <x:c r="K703" s="20" t="n">
        <x:f>DATE(YEAR(B703),MONTH(B703),1)</x:f>
        <x:v>45962</x:v>
      </x:c>
      <x:c r="L703" s="18" t="n">
        <x:f>F703-G703</x:f>
        <x:v>0</x:v>
      </x:c>
      <x:c r="M703" t="str">
        <x:f>IF(L703&lt;=0,"Payée",IF(G703=0,"Impayée","Partielle"))</x:f>
        <x:v>Payée</x:v>
      </x:c>
      <x:c r="N703" t="n">
        <x:f>IF(I703="","",I703-B703)</x:f>
        <x:v>43</x:v>
      </x:c>
      <x:c r="O703" t="str">
        <x:f>IF(TRIM(C703)&lt;&gt;TRIM(H703),"Oui","Non")</x:f>
        <x:v>Non</x:v>
      </x:c>
      <x:c r="P703" t="str">
        <x:f>IFERROR(INDEX('02_REFERENTIEL_CLIENTS'!$B$2:$B$51,MATCH(TRIM(C703),'02_REFERENTIEL_CLIENTS'!$A$2:$A$51,0)),"Non trouvé")</x:f>
        <x:v>PME</x:v>
      </x:c>
      <x:c r="Q703" t="str">
        <x:f>IFERROR(INDEX('02_REFERENTIEL_CLIENTS'!$C$2:$C$51,MATCH(TRIM(C703),'02_REFERENTIEL_CLIENTS'!$A$2:$A$51,0)),"Non trouvé")</x:f>
        <x:v>Europe</x:v>
      </x:c>
      <x:c r="R703" t="str">
        <x:f>IF(OR(F703&lt;=0,G703&lt;0,G703&gt;F703,N703&lt;0,P703="Non trouvé"),"À vérifier","OK")</x:f>
        <x:v>OK</x:v>
      </x:c>
    </x:row>
    <x:row r="704">
      <x:c r="A704" t="str">
        <x:v>DV-2026-00703</x:v>
      </x:c>
      <x:c r="B704" s="16" t="n">
        <x:v>46110</x:v>
      </x:c>
      <x:c r="C704" t="str">
        <x:v>Client 41</x:v>
      </x:c>
      <x:c r="D704" t="str">
        <x:v>Fret maritime</x:v>
      </x:c>
      <x:c r="E704" t="str">
        <x:v>Pôle C</x:v>
      </x:c>
      <x:c r="F704" s="18" t="n">
        <x:v>2414</x:v>
      </x:c>
      <x:c r="G704" s="18" t="n">
        <x:v>2414</x:v>
      </x:c>
      <x:c r="H704" t="str">
        <x:v>Client 41</x:v>
      </x:c>
      <x:c r="I704" s="16" t="n">
        <x:v>46205</x:v>
      </x:c>
      <x:c r="J704" t="n">
        <x:f>YEAR(B704)</x:f>
        <x:v>2026</x:v>
      </x:c>
      <x:c r="K704" s="20" t="n">
        <x:f>DATE(YEAR(B704),MONTH(B704),1)</x:f>
        <x:v>46082</x:v>
      </x:c>
      <x:c r="L704" s="18" t="n">
        <x:f>F704-G704</x:f>
        <x:v>0</x:v>
      </x:c>
      <x:c r="M704" t="str">
        <x:f>IF(L704&lt;=0,"Payée",IF(G704=0,"Impayée","Partielle"))</x:f>
        <x:v>Payée</x:v>
      </x:c>
      <x:c r="N704" t="n">
        <x:f>IF(I704="","",I704-B704)</x:f>
        <x:v>95</x:v>
      </x:c>
      <x:c r="O704" t="str">
        <x:f>IF(TRIM(C704)&lt;&gt;TRIM(H704),"Oui","Non")</x:f>
        <x:v>Non</x:v>
      </x:c>
      <x:c r="P704" t="str">
        <x:f>IFERROR(INDEX('02_REFERENTIEL_CLIENTS'!$B$2:$B$51,MATCH(TRIM(C704),'02_REFERENTIEL_CLIENTS'!$A$2:$A$51,0)),"Non trouvé")</x:f>
        <x:v>PME</x:v>
      </x:c>
      <x:c r="Q704" t="str">
        <x:f>IFERROR(INDEX('02_REFERENTIEL_CLIENTS'!$C$2:$C$51,MATCH(TRIM(C704),'02_REFERENTIEL_CLIENTS'!$A$2:$A$51,0)),"Non trouvé")</x:f>
        <x:v>Europe</x:v>
      </x:c>
      <x:c r="R704" t="str">
        <x:f>IF(OR(F704&lt;=0,G704&lt;0,G704&gt;F704,N704&lt;0,P704="Non trouvé"),"À vérifier","OK")</x:f>
        <x:v>OK</x:v>
      </x:c>
    </x:row>
    <x:row r="705">
      <x:c r="A705" t="str">
        <x:v>DV-2024-00704</x:v>
      </x:c>
      <x:c r="B705" s="16" t="n">
        <x:v>45419</x:v>
      </x:c>
      <x:c r="C705" t="str">
        <x:v>Client 08</x:v>
      </x:c>
      <x:c r="D705" t="str">
        <x:v>Douane</x:v>
      </x:c>
      <x:c r="E705" t="str">
        <x:v>Pôle C</x:v>
      </x:c>
      <x:c r="F705" s="18" t="n">
        <x:v>14154.37</x:v>
      </x:c>
      <x:c r="G705" s="18" t="n">
        <x:v>11954.41</x:v>
      </x:c>
      <x:c r="H705" t="str">
        <x:v>Client 08</x:v>
      </x:c>
      <x:c r="I705" s="16" t="n">
        <x:v>45422</x:v>
      </x:c>
      <x:c r="J705" t="n">
        <x:f>YEAR(B705)</x:f>
        <x:v>2024</x:v>
      </x:c>
      <x:c r="K705" s="20" t="n">
        <x:f>DATE(YEAR(B705),MONTH(B705),1)</x:f>
        <x:v>45413</x:v>
      </x:c>
      <x:c r="L705" s="18" t="n">
        <x:f>F705-G705</x:f>
        <x:v>2199.960000000001</x:v>
      </x:c>
      <x:c r="M705" t="str">
        <x:f>IF(L705&lt;=0,"Payée",IF(G705=0,"Impayée","Partielle"))</x:f>
        <x:v>Partielle</x:v>
      </x:c>
      <x:c r="N705" t="n">
        <x:f>IF(I705="","",I705-B705)</x:f>
        <x:v>3</x:v>
      </x:c>
      <x:c r="O705" t="str">
        <x:f>IF(TRIM(C705)&lt;&gt;TRIM(H705),"Oui","Non")</x:f>
        <x:v>Non</x:v>
      </x:c>
      <x:c r="P705" t="str">
        <x:f>IFERROR(INDEX('02_REFERENTIEL_CLIENTS'!$B$2:$B$51,MATCH(TRIM(C705),'02_REFERENTIEL_CLIENTS'!$A$2:$A$51,0)),"Non trouvé")</x:f>
        <x:v>PME</x:v>
      </x:c>
      <x:c r="Q705" t="str">
        <x:f>IFERROR(INDEX('02_REFERENTIEL_CLIENTS'!$C$2:$C$51,MATCH(TRIM(C705),'02_REFERENTIEL_CLIENTS'!$A$2:$A$51,0)),"Non trouvé")</x:f>
        <x:v>Europe</x:v>
      </x:c>
      <x:c r="R705" t="str">
        <x:f>IF(OR(F705&lt;=0,G705&lt;0,G705&gt;F705,N705&lt;0,P705="Non trouvé"),"À vérifier","OK")</x:f>
        <x:v>OK</x:v>
      </x:c>
    </x:row>
    <x:row r="706">
      <x:c r="A706" t="str">
        <x:v>DV-2026-00705</x:v>
      </x:c>
      <x:c r="B706" s="16" t="n">
        <x:v>46218</x:v>
      </x:c>
      <x:c r="C706" t="str">
        <x:v>Client 16</x:v>
      </x:c>
      <x:c r="D706" t="str">
        <x:v>Douane</x:v>
      </x:c>
      <x:c r="E706" t="str">
        <x:v>Pôle B</x:v>
      </x:c>
      <x:c r="F706" s="18" t="n">
        <x:v>19600.75</x:v>
      </x:c>
      <x:c r="G706" s="18" t="n">
        <x:v>8620.73</x:v>
      </x:c>
      <x:c r="H706" t="str">
        <x:v>Client 16</x:v>
      </x:c>
      <x:c r="I706" s="16" t="n">
        <x:v>46292</x:v>
      </x:c>
      <x:c r="J706" t="n">
        <x:f>YEAR(B706)</x:f>
        <x:v>2026</x:v>
      </x:c>
      <x:c r="K706" s="20" t="n">
        <x:f>DATE(YEAR(B706),MONTH(B706),1)</x:f>
        <x:v>46204</x:v>
      </x:c>
      <x:c r="L706" s="18" t="n">
        <x:f>F706-G706</x:f>
        <x:v>10980.02</x:v>
      </x:c>
      <x:c r="M706" t="str">
        <x:f>IF(L706&lt;=0,"Payée",IF(G706=0,"Impayée","Partielle"))</x:f>
        <x:v>Partielle</x:v>
      </x:c>
      <x:c r="N706" t="n">
        <x:f>IF(I706="","",I706-B706)</x:f>
        <x:v>74</x:v>
      </x:c>
      <x:c r="O706" t="str">
        <x:f>IF(TRIM(C706)&lt;&gt;TRIM(H706),"Oui","Non")</x:f>
        <x:v>Non</x:v>
      </x:c>
      <x:c r="P706" t="str">
        <x:f>IFERROR(INDEX('02_REFERENTIEL_CLIENTS'!$B$2:$B$51,MATCH(TRIM(C706),'02_REFERENTIEL_CLIENTS'!$A$2:$A$51,0)),"Non trouvé")</x:f>
        <x:v>Grands comptes</x:v>
      </x:c>
      <x:c r="Q706" t="str">
        <x:f>IFERROR(INDEX('02_REFERENTIEL_CLIENTS'!$C$2:$C$51,MATCH(TRIM(C706),'02_REFERENTIEL_CLIENTS'!$A$2:$A$51,0)),"Non trouvé")</x:f>
        <x:v>France</x:v>
      </x:c>
      <x:c r="R706" t="str">
        <x:f>IF(OR(F706&lt;=0,G706&lt;0,G706&gt;F706,N706&lt;0,P706="Non trouvé"),"À vérifier","OK")</x:f>
        <x:v>OK</x:v>
      </x:c>
    </x:row>
    <x:row r="707">
      <x:c r="A707" t="str">
        <x:v>DV-2026-00706</x:v>
      </x:c>
      <x:c r="B707" s="16" t="n">
        <x:v>46097</x:v>
      </x:c>
      <x:c r="C707" t="str">
        <x:v>Client 06</x:v>
      </x:c>
      <x:c r="D707" t="str">
        <x:v>Douane</x:v>
      </x:c>
      <x:c r="E707" t="str">
        <x:v>Pôle B</x:v>
      </x:c>
      <x:c r="F707" s="18" t="n">
        <x:v>14647.02</x:v>
      </x:c>
      <x:c r="G707" s="18" t="n">
        <x:v>14647.02</x:v>
      </x:c>
      <x:c r="H707" t="str">
        <x:v>Client 06</x:v>
      </x:c>
      <x:c r="I707" s="16" t="n">
        <x:v>46114</x:v>
      </x:c>
      <x:c r="J707" t="n">
        <x:f>YEAR(B707)</x:f>
        <x:v>2026</x:v>
      </x:c>
      <x:c r="K707" s="20" t="n">
        <x:f>DATE(YEAR(B707),MONTH(B707),1)</x:f>
        <x:v>46082</x:v>
      </x:c>
      <x:c r="L707" s="18" t="n">
        <x:f>F707-G707</x:f>
        <x:v>0</x:v>
      </x:c>
      <x:c r="M707" t="str">
        <x:f>IF(L707&lt;=0,"Payée",IF(G707=0,"Impayée","Partielle"))</x:f>
        <x:v>Payée</x:v>
      </x:c>
      <x:c r="N707" t="n">
        <x:f>IF(I707="","",I707-B707)</x:f>
        <x:v>17</x:v>
      </x:c>
      <x:c r="O707" t="str">
        <x:f>IF(TRIM(C707)&lt;&gt;TRIM(H707),"Oui","Non")</x:f>
        <x:v>Non</x:v>
      </x:c>
      <x:c r="P707" t="str">
        <x:f>IFERROR(INDEX('02_REFERENTIEL_CLIENTS'!$B$2:$B$51,MATCH(TRIM(C707),'02_REFERENTIEL_CLIENTS'!$A$2:$A$51,0)),"Non trouvé")</x:f>
        <x:v>Particuliers</x:v>
      </x:c>
      <x:c r="Q707" t="str">
        <x:f>IFERROR(INDEX('02_REFERENTIEL_CLIENTS'!$C$2:$C$51,MATCH(TRIM(C707),'02_REFERENTIEL_CLIENTS'!$A$2:$A$51,0)),"Non trouvé")</x:f>
        <x:v>International</x:v>
      </x:c>
      <x:c r="R707" t="str">
        <x:f>IF(OR(F707&lt;=0,G707&lt;0,G707&gt;F707,N707&lt;0,P707="Non trouvé"),"À vérifier","OK")</x:f>
        <x:v>OK</x:v>
      </x:c>
    </x:row>
    <x:row r="708">
      <x:c r="A708" t="str">
        <x:v>DV-2024-00707</x:v>
      </x:c>
      <x:c r="B708" s="16" t="n">
        <x:v>45306</x:v>
      </x:c>
      <x:c r="C708" t="str">
        <x:v>Client 50</x:v>
      </x:c>
      <x:c r="D708" t="str">
        <x:v>Fret aérien</x:v>
      </x:c>
      <x:c r="E708" t="str">
        <x:v>Pôle A</x:v>
      </x:c>
      <x:c r="F708" s="18" t="n">
        <x:v>20318.93</x:v>
      </x:c>
      <x:c r="G708" s="18" t="n">
        <x:v>20318.93</x:v>
      </x:c>
      <x:c r="H708" t="str">
        <x:v>Client 50</x:v>
      </x:c>
      <x:c r="I708" s="16" t="n">
        <x:v>45326</x:v>
      </x:c>
      <x:c r="J708" t="n">
        <x:f>YEAR(B708)</x:f>
        <x:v>2024</x:v>
      </x:c>
      <x:c r="K708" s="20" t="n">
        <x:f>DATE(YEAR(B708),MONTH(B708),1)</x:f>
        <x:v>45292</x:v>
      </x:c>
      <x:c r="L708" s="18" t="n">
        <x:f>F708-G708</x:f>
        <x:v>0</x:v>
      </x:c>
      <x:c r="M708" t="str">
        <x:f>IF(L708&lt;=0,"Payée",IF(G708=0,"Impayée","Partielle"))</x:f>
        <x:v>Payée</x:v>
      </x:c>
      <x:c r="N708" t="n">
        <x:f>IF(I708="","",I708-B708)</x:f>
        <x:v>20</x:v>
      </x:c>
      <x:c r="O708" t="str">
        <x:f>IF(TRIM(C708)&lt;&gt;TRIM(H708),"Oui","Non")</x:f>
        <x:v>Non</x:v>
      </x:c>
      <x:c r="P708" t="str">
        <x:f>IFERROR(INDEX('02_REFERENTIEL_CLIENTS'!$B$2:$B$51,MATCH(TRIM(C708),'02_REFERENTIEL_CLIENTS'!$A$2:$A$51,0)),"Non trouvé")</x:f>
        <x:v>PME</x:v>
      </x:c>
      <x:c r="Q708" t="str">
        <x:f>IFERROR(INDEX('02_REFERENTIEL_CLIENTS'!$C$2:$C$51,MATCH(TRIM(C708),'02_REFERENTIEL_CLIENTS'!$A$2:$A$51,0)),"Non trouvé")</x:f>
        <x:v>Europe</x:v>
      </x:c>
      <x:c r="R708" t="str">
        <x:f>IF(OR(F708&lt;=0,G708&lt;0,G708&gt;F708,N708&lt;0,P708="Non trouvé"),"À vérifier","OK")</x:f>
        <x:v>OK</x:v>
      </x:c>
    </x:row>
    <x:row r="709">
      <x:c r="A709" t="str">
        <x:v>DV-2026-00708</x:v>
      </x:c>
      <x:c r="B709" s="16" t="n">
        <x:v>46272</x:v>
      </x:c>
      <x:c r="C709" t="str">
        <x:v>Client 30</x:v>
      </x:c>
      <x:c r="D709" t="str">
        <x:v>Express</x:v>
      </x:c>
      <x:c r="E709" t="str">
        <x:v>Pôle D</x:v>
      </x:c>
      <x:c r="F709" s="18" t="n">
        <x:v>22526.02</x:v>
      </x:c>
      <x:c r="G709" s="18" t="n">
        <x:v>0</x:v>
      </x:c>
      <x:c r="H709" t="str">
        <x:v>Client 30</x:v>
      </x:c>
      <x:c r="I709" s="16"/>
      <x:c r="J709" t="n">
        <x:f>YEAR(B709)</x:f>
        <x:v>2026</x:v>
      </x:c>
      <x:c r="K709" s="20" t="n">
        <x:f>DATE(YEAR(B709),MONTH(B709),1)</x:f>
        <x:v>46266</x:v>
      </x:c>
      <x:c r="L709" s="18" t="n">
        <x:f>F709-G709</x:f>
        <x:v>22526.02</x:v>
      </x:c>
      <x:c r="M709" t="str">
        <x:f>IF(L709&lt;=0,"Payée",IF(G709=0,"Impayée","Partielle"))</x:f>
        <x:v>Impayée</x:v>
      </x:c>
      <x:c r="N709" t="str">
        <x:f>IF(I709="","",I709-B709)</x:f>
      </x:c>
      <x:c r="O709" t="str">
        <x:f>IF(TRIM(C709)&lt;&gt;TRIM(H709),"Oui","Non")</x:f>
        <x:v>Non</x:v>
      </x:c>
      <x:c r="P709" t="str">
        <x:f>IFERROR(INDEX('02_REFERENTIEL_CLIENTS'!$B$2:$B$51,MATCH(TRIM(C709),'02_REFERENTIEL_CLIENTS'!$A$2:$A$51,0)),"Non trouvé")</x:f>
        <x:v>Particuliers</x:v>
      </x:c>
      <x:c r="Q709" t="str">
        <x:f>IFERROR(INDEX('02_REFERENTIEL_CLIENTS'!$C$2:$C$51,MATCH(TRIM(C709),'02_REFERENTIEL_CLIENTS'!$A$2:$A$51,0)),"Non trouvé")</x:f>
        <x:v>International</x:v>
      </x:c>
      <x:c r="R709" t="str">
        <x:f>IF(OR(F709&lt;=0,G709&lt;0,G709&gt;F709,N709&lt;0,P709="Non trouvé"),"À vérifier","OK")</x:f>
        <x:v>OK</x:v>
      </x:c>
    </x:row>
    <x:row r="710">
      <x:c r="A710" t="str">
        <x:v>DV-2024-00709</x:v>
      </x:c>
      <x:c r="B710" s="16" t="n">
        <x:v>45408</x:v>
      </x:c>
      <x:c r="C710" t="str">
        <x:v>Client 19</x:v>
      </x:c>
      <x:c r="D710" t="str">
        <x:v>Fret aérien</x:v>
      </x:c>
      <x:c r="E710" t="str">
        <x:v>Pôle C</x:v>
      </x:c>
      <x:c r="F710" s="18" t="n">
        <x:v>15122.29</x:v>
      </x:c>
      <x:c r="G710" s="18" t="n">
        <x:v>15122.29</x:v>
      </x:c>
      <x:c r="H710" t="str">
        <x:v>Client 19</x:v>
      </x:c>
      <x:c r="I710" s="16" t="n">
        <x:v>45434</x:v>
      </x:c>
      <x:c r="J710" t="n">
        <x:f>YEAR(B710)</x:f>
        <x:v>2024</x:v>
      </x:c>
      <x:c r="K710" s="20" t="n">
        <x:f>DATE(YEAR(B710),MONTH(B710),1)</x:f>
        <x:v>45383</x:v>
      </x:c>
      <x:c r="L710" s="18" t="n">
        <x:f>F710-G710</x:f>
        <x:v>0</x:v>
      </x:c>
      <x:c r="M710" t="str">
        <x:f>IF(L710&lt;=0,"Payée",IF(G710=0,"Impayée","Partielle"))</x:f>
        <x:v>Payée</x:v>
      </x:c>
      <x:c r="N710" t="n">
        <x:f>IF(I710="","",I710-B710)</x:f>
        <x:v>26</x:v>
      </x:c>
      <x:c r="O710" t="str">
        <x:f>IF(TRIM(C710)&lt;&gt;TRIM(H710),"Oui","Non")</x:f>
        <x:v>Non</x:v>
      </x:c>
      <x:c r="P710" t="str">
        <x:f>IFERROR(INDEX('02_REFERENTIEL_CLIENTS'!$B$2:$B$51,MATCH(TRIM(C710),'02_REFERENTIEL_CLIENTS'!$A$2:$A$51,0)),"Non trouvé")</x:f>
        <x:v>Grands comptes</x:v>
      </x:c>
      <x:c r="Q710" t="str">
        <x:f>IFERROR(INDEX('02_REFERENTIEL_CLIENTS'!$C$2:$C$51,MATCH(TRIM(C710),'02_REFERENTIEL_CLIENTS'!$A$2:$A$51,0)),"Non trouvé")</x:f>
        <x:v>France</x:v>
      </x:c>
      <x:c r="R710" t="str">
        <x:f>IF(OR(F710&lt;=0,G710&lt;0,G710&gt;F710,N710&lt;0,P710="Non trouvé"),"À vérifier","OK")</x:f>
        <x:v>OK</x:v>
      </x:c>
    </x:row>
    <x:row r="711">
      <x:c r="A711" t="str">
        <x:v>DV-2025-00710</x:v>
      </x:c>
      <x:c r="B711" s="16" t="n">
        <x:v>45929</x:v>
      </x:c>
      <x:c r="C711" t="str">
        <x:v>Client 06</x:v>
      </x:c>
      <x:c r="D711" t="str">
        <x:v>Express</x:v>
      </x:c>
      <x:c r="E711" t="str">
        <x:v>Pôle D</x:v>
      </x:c>
      <x:c r="F711" s="18" t="n">
        <x:v>16325.41</x:v>
      </x:c>
      <x:c r="G711" s="18" t="n">
        <x:v>16325.41</x:v>
      </x:c>
      <x:c r="H711" t="str">
        <x:v>Client 06</x:v>
      </x:c>
      <x:c r="I711" s="16" t="n">
        <x:v>46001</x:v>
      </x:c>
      <x:c r="J711" t="n">
        <x:f>YEAR(B711)</x:f>
        <x:v>2025</x:v>
      </x:c>
      <x:c r="K711" s="20" t="n">
        <x:f>DATE(YEAR(B711),MONTH(B711),1)</x:f>
        <x:v>45901</x:v>
      </x:c>
      <x:c r="L711" s="18" t="n">
        <x:f>F711-G711</x:f>
        <x:v>0</x:v>
      </x:c>
      <x:c r="M711" t="str">
        <x:f>IF(L711&lt;=0,"Payée",IF(G711=0,"Impayée","Partielle"))</x:f>
        <x:v>Payée</x:v>
      </x:c>
      <x:c r="N711" t="n">
        <x:f>IF(I711="","",I711-B711)</x:f>
        <x:v>72</x:v>
      </x:c>
      <x:c r="O711" t="str">
        <x:f>IF(TRIM(C711)&lt;&gt;TRIM(H711),"Oui","Non")</x:f>
        <x:v>Non</x:v>
      </x:c>
      <x:c r="P711" t="str">
        <x:f>IFERROR(INDEX('02_REFERENTIEL_CLIENTS'!$B$2:$B$51,MATCH(TRIM(C711),'02_REFERENTIEL_CLIENTS'!$A$2:$A$51,0)),"Non trouvé")</x:f>
        <x:v>Particuliers</x:v>
      </x:c>
      <x:c r="Q711" t="str">
        <x:f>IFERROR(INDEX('02_REFERENTIEL_CLIENTS'!$C$2:$C$51,MATCH(TRIM(C711),'02_REFERENTIEL_CLIENTS'!$A$2:$A$51,0)),"Non trouvé")</x:f>
        <x:v>International</x:v>
      </x:c>
      <x:c r="R711" t="str">
        <x:f>IF(OR(F711&lt;=0,G711&lt;0,G711&gt;F711,N711&lt;0,P711="Non trouvé"),"À vérifier","OK")</x:f>
        <x:v>OK</x:v>
      </x:c>
    </x:row>
    <x:row r="712">
      <x:c r="A712" t="str">
        <x:v>DV-2026-00711</x:v>
      </x:c>
      <x:c r="B712" s="16" t="n">
        <x:v>46269</x:v>
      </x:c>
      <x:c r="C712" t="str">
        <x:v>Client 14</x:v>
      </x:c>
      <x:c r="D712" t="str">
        <x:v>Fret aérien</x:v>
      </x:c>
      <x:c r="E712" t="str">
        <x:v>Pôle C</x:v>
      </x:c>
      <x:c r="F712" s="18" t="n">
        <x:v>24822.4</x:v>
      </x:c>
      <x:c r="G712" s="18" t="n">
        <x:v>24822.4</x:v>
      </x:c>
      <x:c r="H712" t="str">
        <x:v>Client 14</x:v>
      </x:c>
      <x:c r="I712" s="16" t="n">
        <x:v>46323</x:v>
      </x:c>
      <x:c r="J712" t="n">
        <x:f>YEAR(B712)</x:f>
        <x:v>2026</x:v>
      </x:c>
      <x:c r="K712" s="20" t="n">
        <x:f>DATE(YEAR(B712),MONTH(B712),1)</x:f>
        <x:v>46266</x:v>
      </x:c>
      <x:c r="L712" s="18" t="n">
        <x:f>F712-G712</x:f>
        <x:v>0</x:v>
      </x:c>
      <x:c r="M712" t="str">
        <x:f>IF(L712&lt;=0,"Payée",IF(G712=0,"Impayée","Partielle"))</x:f>
        <x:v>Payée</x:v>
      </x:c>
      <x:c r="N712" t="n">
        <x:f>IF(I712="","",I712-B712)</x:f>
        <x:v>54</x:v>
      </x:c>
      <x:c r="O712" t="str">
        <x:f>IF(TRIM(C712)&lt;&gt;TRIM(H712),"Oui","Non")</x:f>
        <x:v>Non</x:v>
      </x:c>
      <x:c r="P712" t="str">
        <x:f>IFERROR(INDEX('02_REFERENTIEL_CLIENTS'!$B$2:$B$51,MATCH(TRIM(C712),'02_REFERENTIEL_CLIENTS'!$A$2:$A$51,0)),"Non trouvé")</x:f>
        <x:v>PME</x:v>
      </x:c>
      <x:c r="Q712" t="str">
        <x:f>IFERROR(INDEX('02_REFERENTIEL_CLIENTS'!$C$2:$C$51,MATCH(TRIM(C712),'02_REFERENTIEL_CLIENTS'!$A$2:$A$51,0)),"Non trouvé")</x:f>
        <x:v>Europe</x:v>
      </x:c>
      <x:c r="R712" t="str">
        <x:f>IF(OR(F712&lt;=0,G712&lt;0,G712&gt;F712,N712&lt;0,P712="Non trouvé"),"À vérifier","OK")</x:f>
        <x:v>OK</x:v>
      </x:c>
    </x:row>
    <x:row r="713">
      <x:c r="A713" t="str">
        <x:v>DV-2024-00712</x:v>
      </x:c>
      <x:c r="B713" s="16" t="n">
        <x:v>45413</x:v>
      </x:c>
      <x:c r="C713" t="str">
        <x:v>Client 25</x:v>
      </x:c>
      <x:c r="D713" t="str">
        <x:v>Douane</x:v>
      </x:c>
      <x:c r="E713" t="str">
        <x:v>Pôle B</x:v>
      </x:c>
      <x:c r="F713" s="18" t="n">
        <x:v>10440.12</x:v>
      </x:c>
      <x:c r="G713" s="18" t="n">
        <x:v>10440.12</x:v>
      </x:c>
      <x:c r="H713" t="str">
        <x:v>Client 25</x:v>
      </x:c>
      <x:c r="I713" s="16" t="n">
        <x:v>45451</x:v>
      </x:c>
      <x:c r="J713" t="n">
        <x:f>YEAR(B713)</x:f>
        <x:v>2024</x:v>
      </x:c>
      <x:c r="K713" s="20" t="n">
        <x:f>DATE(YEAR(B713),MONTH(B713),1)</x:f>
        <x:v>45413</x:v>
      </x:c>
      <x:c r="L713" s="18" t="n">
        <x:f>F713-G713</x:f>
        <x:v>0</x:v>
      </x:c>
      <x:c r="M713" t="str">
        <x:f>IF(L713&lt;=0,"Payée",IF(G713=0,"Impayée","Partielle"))</x:f>
        <x:v>Payée</x:v>
      </x:c>
      <x:c r="N713" t="n">
        <x:f>IF(I713="","",I713-B713)</x:f>
        <x:v>38</x:v>
      </x:c>
      <x:c r="O713" t="str">
        <x:f>IF(TRIM(C713)&lt;&gt;TRIM(H713),"Oui","Non")</x:f>
        <x:v>Non</x:v>
      </x:c>
      <x:c r="P713" t="str">
        <x:f>IFERROR(INDEX('02_REFERENTIEL_CLIENTS'!$B$2:$B$51,MATCH(TRIM(C713),'02_REFERENTIEL_CLIENTS'!$A$2:$A$51,0)),"Non trouvé")</x:f>
        <x:v>Grands comptes</x:v>
      </x:c>
      <x:c r="Q713" t="str">
        <x:f>IFERROR(INDEX('02_REFERENTIEL_CLIENTS'!$C$2:$C$51,MATCH(TRIM(C713),'02_REFERENTIEL_CLIENTS'!$A$2:$A$51,0)),"Non trouvé")</x:f>
        <x:v>France</x:v>
      </x:c>
      <x:c r="R713" t="str">
        <x:f>IF(OR(F713&lt;=0,G713&lt;0,G713&gt;F713,N713&lt;0,P713="Non trouvé"),"À vérifier","OK")</x:f>
        <x:v>OK</x:v>
      </x:c>
    </x:row>
    <x:row r="714">
      <x:c r="A714" t="str">
        <x:v>DV-2026-00713</x:v>
      </x:c>
      <x:c r="B714" s="16" t="n">
        <x:v>46255</x:v>
      </x:c>
      <x:c r="C714" t="str">
        <x:v>Client 31</x:v>
      </x:c>
      <x:c r="D714" t="str">
        <x:v>Fret maritime</x:v>
      </x:c>
      <x:c r="E714" t="str">
        <x:v>Pôle D</x:v>
      </x:c>
      <x:c r="F714" s="18" t="n">
        <x:v>3739.39</x:v>
      </x:c>
      <x:c r="G714" s="18" t="n">
        <x:v>1175.65</x:v>
      </x:c>
      <x:c r="H714" t="str">
        <x:v>Client 31</x:v>
      </x:c>
      <x:c r="I714" s="16" t="n">
        <x:v>46291</x:v>
      </x:c>
      <x:c r="J714" t="n">
        <x:f>YEAR(B714)</x:f>
        <x:v>2026</x:v>
      </x:c>
      <x:c r="K714" s="20" t="n">
        <x:f>DATE(YEAR(B714),MONTH(B714),1)</x:f>
        <x:v>46235</x:v>
      </x:c>
      <x:c r="L714" s="18" t="n">
        <x:f>F714-G714</x:f>
        <x:v>2563.74</x:v>
      </x:c>
      <x:c r="M714" t="str">
        <x:f>IF(L714&lt;=0,"Payée",IF(G714=0,"Impayée","Partielle"))</x:f>
        <x:v>Partielle</x:v>
      </x:c>
      <x:c r="N714" t="n">
        <x:f>IF(I714="","",I714-B714)</x:f>
        <x:v>36</x:v>
      </x:c>
      <x:c r="O714" t="str">
        <x:f>IF(TRIM(C714)&lt;&gt;TRIM(H714),"Oui","Non")</x:f>
        <x:v>Non</x:v>
      </x:c>
      <x:c r="P714" t="str">
        <x:f>IFERROR(INDEX('02_REFERENTIEL_CLIENTS'!$B$2:$B$51,MATCH(TRIM(C714),'02_REFERENTIEL_CLIENTS'!$A$2:$A$51,0)),"Non trouvé")</x:f>
        <x:v>Grands comptes</x:v>
      </x:c>
      <x:c r="Q714" t="str">
        <x:f>IFERROR(INDEX('02_REFERENTIEL_CLIENTS'!$C$2:$C$51,MATCH(TRIM(C714),'02_REFERENTIEL_CLIENTS'!$A$2:$A$51,0)),"Non trouvé")</x:f>
        <x:v>France</x:v>
      </x:c>
      <x:c r="R714" t="str">
        <x:f>IF(OR(F714&lt;=0,G714&lt;0,G714&gt;F714,N714&lt;0,P714="Non trouvé"),"À vérifier","OK")</x:f>
        <x:v>OK</x:v>
      </x:c>
    </x:row>
    <x:row r="715">
      <x:c r="A715" t="str">
        <x:v>DV-2026-00714</x:v>
      </x:c>
      <x:c r="B715" s="16" t="n">
        <x:v>46068</x:v>
      </x:c>
      <x:c r="C715" t="str">
        <x:v>Client 26</x:v>
      </x:c>
      <x:c r="D715" t="str">
        <x:v>Douane</x:v>
      </x:c>
      <x:c r="E715" t="str">
        <x:v>Pôle B</x:v>
      </x:c>
      <x:c r="F715" s="18" t="n">
        <x:v>11543.41</x:v>
      </x:c>
      <x:c r="G715" s="18" t="n">
        <x:v>0</x:v>
      </x:c>
      <x:c r="H715" t="str">
        <x:v>Client 26</x:v>
      </x:c>
      <x:c r="I715" s="16"/>
      <x:c r="J715" t="n">
        <x:f>YEAR(B715)</x:f>
        <x:v>2026</x:v>
      </x:c>
      <x:c r="K715" s="20" t="n">
        <x:f>DATE(YEAR(B715),MONTH(B715),1)</x:f>
        <x:v>46054</x:v>
      </x:c>
      <x:c r="L715" s="18" t="n">
        <x:f>F715-G715</x:f>
        <x:v>11543.41</x:v>
      </x:c>
      <x:c r="M715" t="str">
        <x:f>IF(L715&lt;=0,"Payée",IF(G715=0,"Impayée","Partielle"))</x:f>
        <x:v>Impayée</x:v>
      </x:c>
      <x:c r="N715" t="str">
        <x:f>IF(I715="","",I715-B715)</x:f>
      </x:c>
      <x:c r="O715" t="str">
        <x:f>IF(TRIM(C715)&lt;&gt;TRIM(H715),"Oui","Non")</x:f>
        <x:v>Non</x:v>
      </x:c>
      <x:c r="P715" t="str">
        <x:f>IFERROR(INDEX('02_REFERENTIEL_CLIENTS'!$B$2:$B$51,MATCH(TRIM(C715),'02_REFERENTIEL_CLIENTS'!$A$2:$A$51,0)),"Non trouvé")</x:f>
        <x:v>PME</x:v>
      </x:c>
      <x:c r="Q715" t="str">
        <x:f>IFERROR(INDEX('02_REFERENTIEL_CLIENTS'!$C$2:$C$51,MATCH(TRIM(C715),'02_REFERENTIEL_CLIENTS'!$A$2:$A$51,0)),"Non trouvé")</x:f>
        <x:v>Europe</x:v>
      </x:c>
      <x:c r="R715" t="str">
        <x:f>IF(OR(F715&lt;=0,G715&lt;0,G715&gt;F715,N715&lt;0,P715="Non trouvé"),"À vérifier","OK")</x:f>
        <x:v>OK</x:v>
      </x:c>
    </x:row>
    <x:row r="716">
      <x:c r="A716" t="str">
        <x:v>DV-2025-00715</x:v>
      </x:c>
      <x:c r="B716" s="16" t="n">
        <x:v>45732</x:v>
      </x:c>
      <x:c r="C716" t="str">
        <x:v>Client 24</x:v>
      </x:c>
      <x:c r="D716" t="str">
        <x:v>Logistique</x:v>
      </x:c>
      <x:c r="E716" t="str">
        <x:v>Pôle B</x:v>
      </x:c>
      <x:c r="F716" s="18" t="n">
        <x:v>6551.31</x:v>
      </x:c>
      <x:c r="G716" s="18" t="n">
        <x:v>6551.31</x:v>
      </x:c>
      <x:c r="H716" t="str">
        <x:v>Client 24</x:v>
      </x:c>
      <x:c r="I716" s="16" t="n">
        <x:v>45737</x:v>
      </x:c>
      <x:c r="J716" t="n">
        <x:f>YEAR(B716)</x:f>
        <x:v>2025</x:v>
      </x:c>
      <x:c r="K716" s="20" t="n">
        <x:f>DATE(YEAR(B716),MONTH(B716),1)</x:f>
        <x:v>45717</x:v>
      </x:c>
      <x:c r="L716" s="18" t="n">
        <x:f>F716-G716</x:f>
        <x:v>0</x:v>
      </x:c>
      <x:c r="M716" t="str">
        <x:f>IF(L716&lt;=0,"Payée",IF(G716=0,"Impayée","Partielle"))</x:f>
        <x:v>Payée</x:v>
      </x:c>
      <x:c r="N716" t="n">
        <x:f>IF(I716="","",I716-B716)</x:f>
        <x:v>5</x:v>
      </x:c>
      <x:c r="O716" t="str">
        <x:f>IF(TRIM(C716)&lt;&gt;TRIM(H716),"Oui","Non")</x:f>
        <x:v>Non</x:v>
      </x:c>
      <x:c r="P716" t="str">
        <x:f>IFERROR(INDEX('02_REFERENTIEL_CLIENTS'!$B$2:$B$51,MATCH(TRIM(C716),'02_REFERENTIEL_CLIENTS'!$A$2:$A$51,0)),"Non trouvé")</x:f>
        <x:v>Particuliers</x:v>
      </x:c>
      <x:c r="Q716" t="str">
        <x:f>IFERROR(INDEX('02_REFERENTIEL_CLIENTS'!$C$2:$C$51,MATCH(TRIM(C716),'02_REFERENTIEL_CLIENTS'!$A$2:$A$51,0)),"Non trouvé")</x:f>
        <x:v>International</x:v>
      </x:c>
      <x:c r="R716" t="str">
        <x:f>IF(OR(F716&lt;=0,G716&lt;0,G716&gt;F716,N716&lt;0,P716="Non trouvé"),"À vérifier","OK")</x:f>
        <x:v>OK</x:v>
      </x:c>
    </x:row>
    <x:row r="717">
      <x:c r="A717" t="str">
        <x:v>DV-2026-00716</x:v>
      </x:c>
      <x:c r="B717" s="16" t="n">
        <x:v>46041</x:v>
      </x:c>
      <x:c r="C717" t="str">
        <x:v>Client 42</x:v>
      </x:c>
      <x:c r="D717" t="str">
        <x:v>Logistique</x:v>
      </x:c>
      <x:c r="E717" t="str">
        <x:v>Pôle A</x:v>
      </x:c>
      <x:c r="F717" s="18" t="n">
        <x:v>6884.02</x:v>
      </x:c>
      <x:c r="G717" s="18" t="n">
        <x:v>6884.02</x:v>
      </x:c>
      <x:c r="H717" t="str">
        <x:v>Client 42</x:v>
      </x:c>
      <x:c r="I717" s="16" t="n">
        <x:v>46127</x:v>
      </x:c>
      <x:c r="J717" t="n">
        <x:f>YEAR(B717)</x:f>
        <x:v>2026</x:v>
      </x:c>
      <x:c r="K717" s="20" t="n">
        <x:f>DATE(YEAR(B717),MONTH(B717),1)</x:f>
        <x:v>46023</x:v>
      </x:c>
      <x:c r="L717" s="18" t="n">
        <x:f>F717-G717</x:f>
        <x:v>0</x:v>
      </x:c>
      <x:c r="M717" t="str">
        <x:f>IF(L717&lt;=0,"Payée",IF(G717=0,"Impayée","Partielle"))</x:f>
        <x:v>Payée</x:v>
      </x:c>
      <x:c r="N717" t="n">
        <x:f>IF(I717="","",I717-B717)</x:f>
        <x:v>86</x:v>
      </x:c>
      <x:c r="O717" t="str">
        <x:f>IF(TRIM(C717)&lt;&gt;TRIM(H717),"Oui","Non")</x:f>
        <x:v>Non</x:v>
      </x:c>
      <x:c r="P717" t="str">
        <x:f>IFERROR(INDEX('02_REFERENTIEL_CLIENTS'!$B$2:$B$51,MATCH(TRIM(C717),'02_REFERENTIEL_CLIENTS'!$A$2:$A$51,0)),"Non trouvé")</x:f>
        <x:v>Particuliers</x:v>
      </x:c>
      <x:c r="Q717" t="str">
        <x:f>IFERROR(INDEX('02_REFERENTIEL_CLIENTS'!$C$2:$C$51,MATCH(TRIM(C717),'02_REFERENTIEL_CLIENTS'!$A$2:$A$51,0)),"Non trouvé")</x:f>
        <x:v>International</x:v>
      </x:c>
      <x:c r="R717" t="str">
        <x:f>IF(OR(F717&lt;=0,G717&lt;0,G717&gt;F717,N717&lt;0,P717="Non trouvé"),"À vérifier","OK")</x:f>
        <x:v>OK</x:v>
      </x:c>
    </x:row>
    <x:row r="718">
      <x:c r="A718" t="str">
        <x:v>DV-2026-00717</x:v>
      </x:c>
      <x:c r="B718" s="16" t="n">
        <x:v>46248</x:v>
      </x:c>
      <x:c r="C718" t="str">
        <x:v>Client 25</x:v>
      </x:c>
      <x:c r="D718" t="str">
        <x:v>Fret aérien</x:v>
      </x:c>
      <x:c r="E718" t="str">
        <x:v>Pôle B</x:v>
      </x:c>
      <x:c r="F718" s="18" t="n">
        <x:v>2402.93</x:v>
      </x:c>
      <x:c r="G718" s="18" t="n">
        <x:v>2402.93</x:v>
      </x:c>
      <x:c r="H718" t="str">
        <x:v>Client 25</x:v>
      </x:c>
      <x:c r="I718" s="16" t="n">
        <x:v>46255</x:v>
      </x:c>
      <x:c r="J718" t="n">
        <x:f>YEAR(B718)</x:f>
        <x:v>2026</x:v>
      </x:c>
      <x:c r="K718" s="20" t="n">
        <x:f>DATE(YEAR(B718),MONTH(B718),1)</x:f>
        <x:v>46235</x:v>
      </x:c>
      <x:c r="L718" s="18" t="n">
        <x:f>F718-G718</x:f>
        <x:v>0</x:v>
      </x:c>
      <x:c r="M718" t="str">
        <x:f>IF(L718&lt;=0,"Payée",IF(G718=0,"Impayée","Partielle"))</x:f>
        <x:v>Payée</x:v>
      </x:c>
      <x:c r="N718" t="n">
        <x:f>IF(I718="","",I718-B718)</x:f>
        <x:v>7</x:v>
      </x:c>
      <x:c r="O718" t="str">
        <x:f>IF(TRIM(C718)&lt;&gt;TRIM(H718),"Oui","Non")</x:f>
        <x:v>Non</x:v>
      </x:c>
      <x:c r="P718" t="str">
        <x:f>IFERROR(INDEX('02_REFERENTIEL_CLIENTS'!$B$2:$B$51,MATCH(TRIM(C718),'02_REFERENTIEL_CLIENTS'!$A$2:$A$51,0)),"Non trouvé")</x:f>
        <x:v>Grands comptes</x:v>
      </x:c>
      <x:c r="Q718" t="str">
        <x:f>IFERROR(INDEX('02_REFERENTIEL_CLIENTS'!$C$2:$C$51,MATCH(TRIM(C718),'02_REFERENTIEL_CLIENTS'!$A$2:$A$51,0)),"Non trouvé")</x:f>
        <x:v>France</x:v>
      </x:c>
      <x:c r="R718" t="str">
        <x:f>IF(OR(F718&lt;=0,G718&lt;0,G718&gt;F718,N718&lt;0,P718="Non trouvé"),"À vérifier","OK")</x:f>
        <x:v>OK</x:v>
      </x:c>
    </x:row>
    <x:row r="719">
      <x:c r="A719" t="str">
        <x:v>DV-2026-00718</x:v>
      </x:c>
      <x:c r="B719" s="16" t="n">
        <x:v>46197</x:v>
      </x:c>
      <x:c r="C719" t="str">
        <x:v>Client 25</x:v>
      </x:c>
      <x:c r="D719" t="str">
        <x:v>Logistique</x:v>
      </x:c>
      <x:c r="E719" t="str">
        <x:v>Pôle E</x:v>
      </x:c>
      <x:c r="F719" s="18" t="n">
        <x:v>22427.24</x:v>
      </x:c>
      <x:c r="G719" s="18" t="n">
        <x:v>4745.55</x:v>
      </x:c>
      <x:c r="H719" t="str">
        <x:v>Client 25</x:v>
      </x:c>
      <x:c r="I719" s="16" t="n">
        <x:v>46246</x:v>
      </x:c>
      <x:c r="J719" t="n">
        <x:f>YEAR(B719)</x:f>
        <x:v>2026</x:v>
      </x:c>
      <x:c r="K719" s="20" t="n">
        <x:f>DATE(YEAR(B719),MONTH(B719),1)</x:f>
        <x:v>46174</x:v>
      </x:c>
      <x:c r="L719" s="18" t="n">
        <x:f>F719-G719</x:f>
        <x:v>17681.690000000002</x:v>
      </x:c>
      <x:c r="M719" t="str">
        <x:f>IF(L719&lt;=0,"Payée",IF(G719=0,"Impayée","Partielle"))</x:f>
        <x:v>Partielle</x:v>
      </x:c>
      <x:c r="N719" t="n">
        <x:f>IF(I719="","",I719-B719)</x:f>
        <x:v>49</x:v>
      </x:c>
      <x:c r="O719" t="str">
        <x:f>IF(TRIM(C719)&lt;&gt;TRIM(H719),"Oui","Non")</x:f>
        <x:v>Non</x:v>
      </x:c>
      <x:c r="P719" t="str">
        <x:f>IFERROR(INDEX('02_REFERENTIEL_CLIENTS'!$B$2:$B$51,MATCH(TRIM(C719),'02_REFERENTIEL_CLIENTS'!$A$2:$A$51,0)),"Non trouvé")</x:f>
        <x:v>Grands comptes</x:v>
      </x:c>
      <x:c r="Q719" t="str">
        <x:f>IFERROR(INDEX('02_REFERENTIEL_CLIENTS'!$C$2:$C$51,MATCH(TRIM(C719),'02_REFERENTIEL_CLIENTS'!$A$2:$A$51,0)),"Non trouvé")</x:f>
        <x:v>France</x:v>
      </x:c>
      <x:c r="R719" t="str">
        <x:f>IF(OR(F719&lt;=0,G719&lt;0,G719&gt;F719,N719&lt;0,P719="Non trouvé"),"À vérifier","OK")</x:f>
        <x:v>OK</x:v>
      </x:c>
    </x:row>
    <x:row r="720">
      <x:c r="A720" t="str">
        <x:v>DV-2025-00719</x:v>
      </x:c>
      <x:c r="B720" s="16" t="n">
        <x:v>45998</x:v>
      </x:c>
      <x:c r="C720" t="str">
        <x:v>Client 21</x:v>
      </x:c>
      <x:c r="D720" t="str">
        <x:v>Douane</x:v>
      </x:c>
      <x:c r="E720" t="str">
        <x:v>Pôle D</x:v>
      </x:c>
      <x:c r="F720" s="18" t="n">
        <x:v>13695.48</x:v>
      </x:c>
      <x:c r="G720" s="18" t="n">
        <x:v>2244.26</x:v>
      </x:c>
      <x:c r="H720" t="str">
        <x:v>Client 21</x:v>
      </x:c>
      <x:c r="I720" s="16" t="n">
        <x:v>46072</x:v>
      </x:c>
      <x:c r="J720" t="n">
        <x:f>YEAR(B720)</x:f>
        <x:v>2025</x:v>
      </x:c>
      <x:c r="K720" s="20" t="n">
        <x:f>DATE(YEAR(B720),MONTH(B720),1)</x:f>
        <x:v>45992</x:v>
      </x:c>
      <x:c r="L720" s="18" t="n">
        <x:f>F720-G720</x:f>
        <x:v>11451.22</x:v>
      </x:c>
      <x:c r="M720" t="str">
        <x:f>IF(L720&lt;=0,"Payée",IF(G720=0,"Impayée","Partielle"))</x:f>
        <x:v>Partielle</x:v>
      </x:c>
      <x:c r="N720" t="n">
        <x:f>IF(I720="","",I720-B720)</x:f>
        <x:v>74</x:v>
      </x:c>
      <x:c r="O720" t="str">
        <x:f>IF(TRIM(C720)&lt;&gt;TRIM(H720),"Oui","Non")</x:f>
        <x:v>Non</x:v>
      </x:c>
      <x:c r="P720" t="str">
        <x:f>IFERROR(INDEX('02_REFERENTIEL_CLIENTS'!$B$2:$B$51,MATCH(TRIM(C720),'02_REFERENTIEL_CLIENTS'!$A$2:$A$51,0)),"Non trouvé")</x:f>
        <x:v>Particuliers</x:v>
      </x:c>
      <x:c r="Q720" t="str">
        <x:f>IFERROR(INDEX('02_REFERENTIEL_CLIENTS'!$C$2:$C$51,MATCH(TRIM(C720),'02_REFERENTIEL_CLIENTS'!$A$2:$A$51,0)),"Non trouvé")</x:f>
        <x:v>International</x:v>
      </x:c>
      <x:c r="R720" t="str">
        <x:f>IF(OR(F720&lt;=0,G720&lt;0,G720&gt;F720,N720&lt;0,P720="Non trouvé"),"À vérifier","OK")</x:f>
        <x:v>OK</x:v>
      </x:c>
    </x:row>
    <x:row r="721">
      <x:c r="A721" t="str">
        <x:v>DV-2026-00720</x:v>
      </x:c>
      <x:c r="B721" s="16" t="n">
        <x:v>46109</x:v>
      </x:c>
      <x:c r="C721" t="str">
        <x:v>Client 18</x:v>
      </x:c>
      <x:c r="D721" t="str">
        <x:v>Express</x:v>
      </x:c>
      <x:c r="E721" t="str">
        <x:v>Pôle B</x:v>
      </x:c>
      <x:c r="F721" s="18" t="n">
        <x:v>19930.61</x:v>
      </x:c>
      <x:c r="G721" s="18" t="n">
        <x:v>19930.61</x:v>
      </x:c>
      <x:c r="H721" t="str">
        <x:v>Client 18</x:v>
      </x:c>
      <x:c r="I721" s="16" t="n">
        <x:v>46137</x:v>
      </x:c>
      <x:c r="J721" t="n">
        <x:f>YEAR(B721)</x:f>
        <x:v>2026</x:v>
      </x:c>
      <x:c r="K721" s="20" t="n">
        <x:f>DATE(YEAR(B721),MONTH(B721),1)</x:f>
        <x:v>46082</x:v>
      </x:c>
      <x:c r="L721" s="18" t="n">
        <x:f>F721-G721</x:f>
        <x:v>0</x:v>
      </x:c>
      <x:c r="M721" t="str">
        <x:f>IF(L721&lt;=0,"Payée",IF(G721=0,"Impayée","Partielle"))</x:f>
        <x:v>Payée</x:v>
      </x:c>
      <x:c r="N721" t="n">
        <x:f>IF(I721="","",I721-B721)</x:f>
        <x:v>28</x:v>
      </x:c>
      <x:c r="O721" t="str">
        <x:f>IF(TRIM(C721)&lt;&gt;TRIM(H721),"Oui","Non")</x:f>
        <x:v>Non</x:v>
      </x:c>
      <x:c r="P721" t="str">
        <x:f>IFERROR(INDEX('02_REFERENTIEL_CLIENTS'!$B$2:$B$51,MATCH(TRIM(C721),'02_REFERENTIEL_CLIENTS'!$A$2:$A$51,0)),"Non trouvé")</x:f>
        <x:v>Particuliers</x:v>
      </x:c>
      <x:c r="Q721" t="str">
        <x:f>IFERROR(INDEX('02_REFERENTIEL_CLIENTS'!$C$2:$C$51,MATCH(TRIM(C721),'02_REFERENTIEL_CLIENTS'!$A$2:$A$51,0)),"Non trouvé")</x:f>
        <x:v>International</x:v>
      </x:c>
      <x:c r="R721" t="str">
        <x:f>IF(OR(F721&lt;=0,G721&lt;0,G721&gt;F721,N721&lt;0,P721="Non trouvé"),"À vérifier","OK")</x:f>
        <x:v>OK</x:v>
      </x:c>
    </x:row>
    <x:row r="722">
      <x:c r="A722" t="str">
        <x:v>DV-2025-00721</x:v>
      </x:c>
      <x:c r="B722" s="16" t="n">
        <x:v>45726</x:v>
      </x:c>
      <x:c r="C722" t="str">
        <x:v>Client 11</x:v>
      </x:c>
      <x:c r="D722" t="str">
        <x:v>Fret aérien</x:v>
      </x:c>
      <x:c r="E722" t="str">
        <x:v>Pôle D</x:v>
      </x:c>
      <x:c r="F722" s="18" t="n">
        <x:v>12989.37</x:v>
      </x:c>
      <x:c r="G722" s="18" t="n">
        <x:v>12989.37</x:v>
      </x:c>
      <x:c r="H722" t="str">
        <x:v>Client 11</x:v>
      </x:c>
      <x:c r="I722" s="16" t="n">
        <x:v>45790</x:v>
      </x:c>
      <x:c r="J722" t="n">
        <x:f>YEAR(B722)</x:f>
        <x:v>2025</x:v>
      </x:c>
      <x:c r="K722" s="20" t="n">
        <x:f>DATE(YEAR(B722),MONTH(B722),1)</x:f>
        <x:v>45717</x:v>
      </x:c>
      <x:c r="L722" s="18" t="n">
        <x:f>F722-G722</x:f>
        <x:v>0</x:v>
      </x:c>
      <x:c r="M722" t="str">
        <x:f>IF(L722&lt;=0,"Payée",IF(G722=0,"Impayée","Partielle"))</x:f>
        <x:v>Payée</x:v>
      </x:c>
      <x:c r="N722" t="n">
        <x:f>IF(I722="","",I722-B722)</x:f>
        <x:v>64</x:v>
      </x:c>
      <x:c r="O722" t="str">
        <x:f>IF(TRIM(C722)&lt;&gt;TRIM(H722),"Oui","Non")</x:f>
        <x:v>Non</x:v>
      </x:c>
      <x:c r="P722" t="str">
        <x:f>IFERROR(INDEX('02_REFERENTIEL_CLIENTS'!$B$2:$B$51,MATCH(TRIM(C722),'02_REFERENTIEL_CLIENTS'!$A$2:$A$51,0)),"Non trouvé")</x:f>
        <x:v>PME</x:v>
      </x:c>
      <x:c r="Q722" t="str">
        <x:f>IFERROR(INDEX('02_REFERENTIEL_CLIENTS'!$C$2:$C$51,MATCH(TRIM(C722),'02_REFERENTIEL_CLIENTS'!$A$2:$A$51,0)),"Non trouvé")</x:f>
        <x:v>Europe</x:v>
      </x:c>
      <x:c r="R722" t="str">
        <x:f>IF(OR(F722&lt;=0,G722&lt;0,G722&gt;F722,N722&lt;0,P722="Non trouvé"),"À vérifier","OK")</x:f>
        <x:v>OK</x:v>
      </x:c>
    </x:row>
    <x:row r="723">
      <x:c r="A723" t="str">
        <x:v>DV-2024-00722</x:v>
      </x:c>
      <x:c r="B723" s="16" t="n">
        <x:v>45570</x:v>
      </x:c>
      <x:c r="C723" t="str">
        <x:v>Client 17</x:v>
      </x:c>
      <x:c r="D723" t="str">
        <x:v>Douane</x:v>
      </x:c>
      <x:c r="E723" t="str">
        <x:v>Pôle C</x:v>
      </x:c>
      <x:c r="F723" s="18" t="n">
        <x:v>14738.69</x:v>
      </x:c>
      <x:c r="G723" s="18" t="n">
        <x:v>10986.07</x:v>
      </x:c>
      <x:c r="H723" t="str">
        <x:v>Client 17</x:v>
      </x:c>
      <x:c r="I723" s="16" t="n">
        <x:v>45637</x:v>
      </x:c>
      <x:c r="J723" t="n">
        <x:f>YEAR(B723)</x:f>
        <x:v>2024</x:v>
      </x:c>
      <x:c r="K723" s="20" t="n">
        <x:f>DATE(YEAR(B723),MONTH(B723),1)</x:f>
        <x:v>45566</x:v>
      </x:c>
      <x:c r="L723" s="18" t="n">
        <x:f>F723-G723</x:f>
        <x:v>3752.620000000001</x:v>
      </x:c>
      <x:c r="M723" t="str">
        <x:f>IF(L723&lt;=0,"Payée",IF(G723=0,"Impayée","Partielle"))</x:f>
        <x:v>Partielle</x:v>
      </x:c>
      <x:c r="N723" t="n">
        <x:f>IF(I723="","",I723-B723)</x:f>
        <x:v>67</x:v>
      </x:c>
      <x:c r="O723" t="str">
        <x:f>IF(TRIM(C723)&lt;&gt;TRIM(H723),"Oui","Non")</x:f>
        <x:v>Non</x:v>
      </x:c>
      <x:c r="P723" t="str">
        <x:f>IFERROR(INDEX('02_REFERENTIEL_CLIENTS'!$B$2:$B$51,MATCH(TRIM(C723),'02_REFERENTIEL_CLIENTS'!$A$2:$A$51,0)),"Non trouvé")</x:f>
        <x:v>PME</x:v>
      </x:c>
      <x:c r="Q723" t="str">
        <x:f>IFERROR(INDEX('02_REFERENTIEL_CLIENTS'!$C$2:$C$51,MATCH(TRIM(C723),'02_REFERENTIEL_CLIENTS'!$A$2:$A$51,0)),"Non trouvé")</x:f>
        <x:v>Europe</x:v>
      </x:c>
      <x:c r="R723" t="str">
        <x:f>IF(OR(F723&lt;=0,G723&lt;0,G723&gt;F723,N723&lt;0,P723="Non trouvé"),"À vérifier","OK")</x:f>
        <x:v>OK</x:v>
      </x:c>
    </x:row>
    <x:row r="724">
      <x:c r="A724" t="str">
        <x:v>DV-2026-00723</x:v>
      </x:c>
      <x:c r="B724" s="16" t="n">
        <x:v>46180</x:v>
      </x:c>
      <x:c r="C724" t="str">
        <x:v>Client 39</x:v>
      </x:c>
      <x:c r="D724" t="str">
        <x:v>Fret maritime</x:v>
      </x:c>
      <x:c r="E724" t="str">
        <x:v>Pôle D</x:v>
      </x:c>
      <x:c r="F724" s="18" t="n">
        <x:v>22832.77</x:v>
      </x:c>
      <x:c r="G724" s="18" t="n">
        <x:v>13271.83</x:v>
      </x:c>
      <x:c r="H724" t="str">
        <x:v>Client 39</x:v>
      </x:c>
      <x:c r="I724" s="16" t="n">
        <x:v>46270</x:v>
      </x:c>
      <x:c r="J724" t="n">
        <x:f>YEAR(B724)</x:f>
        <x:v>2026</x:v>
      </x:c>
      <x:c r="K724" s="20" t="n">
        <x:f>DATE(YEAR(B724),MONTH(B724),1)</x:f>
        <x:v>46174</x:v>
      </x:c>
      <x:c r="L724" s="18" t="n">
        <x:f>F724-G724</x:f>
        <x:v>9560.94</x:v>
      </x:c>
      <x:c r="M724" t="str">
        <x:f>IF(L724&lt;=0,"Payée",IF(G724=0,"Impayée","Partielle"))</x:f>
        <x:v>Partielle</x:v>
      </x:c>
      <x:c r="N724" t="n">
        <x:f>IF(I724="","",I724-B724)</x:f>
        <x:v>90</x:v>
      </x:c>
      <x:c r="O724" t="str">
        <x:f>IF(TRIM(C724)&lt;&gt;TRIM(H724),"Oui","Non")</x:f>
        <x:v>Non</x:v>
      </x:c>
      <x:c r="P724" t="str">
        <x:f>IFERROR(INDEX('02_REFERENTIEL_CLIENTS'!$B$2:$B$51,MATCH(TRIM(C724),'02_REFERENTIEL_CLIENTS'!$A$2:$A$51,0)),"Non trouvé")</x:f>
        <x:v>Particuliers</x:v>
      </x:c>
      <x:c r="Q724" t="str">
        <x:f>IFERROR(INDEX('02_REFERENTIEL_CLIENTS'!$C$2:$C$51,MATCH(TRIM(C724),'02_REFERENTIEL_CLIENTS'!$A$2:$A$51,0)),"Non trouvé")</x:f>
        <x:v>International</x:v>
      </x:c>
      <x:c r="R724" t="str">
        <x:f>IF(OR(F724&lt;=0,G724&lt;0,G724&gt;F724,N724&lt;0,P724="Non trouvé"),"À vérifier","OK")</x:f>
        <x:v>OK</x:v>
      </x:c>
    </x:row>
    <x:row r="725">
      <x:c r="A725" t="str">
        <x:v>DV-2026-00724</x:v>
      </x:c>
      <x:c r="B725" s="16" t="n">
        <x:v>46235</x:v>
      </x:c>
      <x:c r="C725" t="str">
        <x:v>Client 32</x:v>
      </x:c>
      <x:c r="D725" t="str">
        <x:v>Express</x:v>
      </x:c>
      <x:c r="E725" t="str">
        <x:v>Pôle B</x:v>
      </x:c>
      <x:c r="F725" s="18" t="n">
        <x:v>13148.61</x:v>
      </x:c>
      <x:c r="G725" s="18" t="n">
        <x:v>13148.61</x:v>
      </x:c>
      <x:c r="H725" t="str">
        <x:v>Client 32</x:v>
      </x:c>
      <x:c r="I725" s="16" t="n">
        <x:v>46293</x:v>
      </x:c>
      <x:c r="J725" t="n">
        <x:f>YEAR(B725)</x:f>
        <x:v>2026</x:v>
      </x:c>
      <x:c r="K725" s="20" t="n">
        <x:f>DATE(YEAR(B725),MONTH(B725),1)</x:f>
        <x:v>46235</x:v>
      </x:c>
      <x:c r="L725" s="18" t="n">
        <x:f>F725-G725</x:f>
        <x:v>0</x:v>
      </x:c>
      <x:c r="M725" t="str">
        <x:f>IF(L725&lt;=0,"Payée",IF(G725=0,"Impayée","Partielle"))</x:f>
        <x:v>Payée</x:v>
      </x:c>
      <x:c r="N725" t="n">
        <x:f>IF(I725="","",I725-B725)</x:f>
        <x:v>58</x:v>
      </x:c>
      <x:c r="O725" t="str">
        <x:f>IF(TRIM(C725)&lt;&gt;TRIM(H725),"Oui","Non")</x:f>
        <x:v>Non</x:v>
      </x:c>
      <x:c r="P725" t="str">
        <x:f>IFERROR(INDEX('02_REFERENTIEL_CLIENTS'!$B$2:$B$51,MATCH(TRIM(C725),'02_REFERENTIEL_CLIENTS'!$A$2:$A$51,0)),"Non trouvé")</x:f>
        <x:v>PME</x:v>
      </x:c>
      <x:c r="Q725" t="str">
        <x:f>IFERROR(INDEX('02_REFERENTIEL_CLIENTS'!$C$2:$C$51,MATCH(TRIM(C725),'02_REFERENTIEL_CLIENTS'!$A$2:$A$51,0)),"Non trouvé")</x:f>
        <x:v>Europe</x:v>
      </x:c>
      <x:c r="R725" t="str">
        <x:f>IF(OR(F725&lt;=0,G725&lt;0,G725&gt;F725,N725&lt;0,P725="Non trouvé"),"À vérifier","OK")</x:f>
        <x:v>OK</x:v>
      </x:c>
    </x:row>
    <x:row r="726">
      <x:c r="A726" t="str">
        <x:v>DV-2024-00725</x:v>
      </x:c>
      <x:c r="B726" s="16" t="n">
        <x:v>45654</x:v>
      </x:c>
      <x:c r="C726" t="str">
        <x:v>Client 45</x:v>
      </x:c>
      <x:c r="D726" t="str">
        <x:v>Douane</x:v>
      </x:c>
      <x:c r="E726" t="str">
        <x:v>Pôle B</x:v>
      </x:c>
      <x:c r="F726" s="18" t="n">
        <x:v>23890.19</x:v>
      </x:c>
      <x:c r="G726" s="18" t="n">
        <x:v>4129.41</x:v>
      </x:c>
      <x:c r="H726" t="str">
        <x:v>Client 45</x:v>
      </x:c>
      <x:c r="I726" s="16" t="n">
        <x:v>45691</x:v>
      </x:c>
      <x:c r="J726" t="n">
        <x:f>YEAR(B726)</x:f>
        <x:v>2024</x:v>
      </x:c>
      <x:c r="K726" s="20" t="n">
        <x:f>DATE(YEAR(B726),MONTH(B726),1)</x:f>
        <x:v>45627</x:v>
      </x:c>
      <x:c r="L726" s="18" t="n">
        <x:f>F726-G726</x:f>
        <x:v>19760.78</x:v>
      </x:c>
      <x:c r="M726" t="str">
        <x:f>IF(L726&lt;=0,"Payée",IF(G726=0,"Impayée","Partielle"))</x:f>
        <x:v>Partielle</x:v>
      </x:c>
      <x:c r="N726" t="n">
        <x:f>IF(I726="","",I726-B726)</x:f>
        <x:v>37</x:v>
      </x:c>
      <x:c r="O726" t="str">
        <x:f>IF(TRIM(C726)&lt;&gt;TRIM(H726),"Oui","Non")</x:f>
        <x:v>Non</x:v>
      </x:c>
      <x:c r="P726" t="str">
        <x:f>IFERROR(INDEX('02_REFERENTIEL_CLIENTS'!$B$2:$B$51,MATCH(TRIM(C726),'02_REFERENTIEL_CLIENTS'!$A$2:$A$51,0)),"Non trouvé")</x:f>
        <x:v>Particuliers</x:v>
      </x:c>
      <x:c r="Q726" t="str">
        <x:f>IFERROR(INDEX('02_REFERENTIEL_CLIENTS'!$C$2:$C$51,MATCH(TRIM(C726),'02_REFERENTIEL_CLIENTS'!$A$2:$A$51,0)),"Non trouvé")</x:f>
        <x:v>International</x:v>
      </x:c>
      <x:c r="R726" t="str">
        <x:f>IF(OR(F726&lt;=0,G726&lt;0,G726&gt;F726,N726&lt;0,P726="Non trouvé"),"À vérifier","OK")</x:f>
        <x:v>OK</x:v>
      </x:c>
    </x:row>
    <x:row r="727">
      <x:c r="A727" t="str">
        <x:v>DV-2024-00726</x:v>
      </x:c>
      <x:c r="B727" s="16" t="n">
        <x:v>45626</x:v>
      </x:c>
      <x:c r="C727" t="str">
        <x:v>Client 16</x:v>
      </x:c>
      <x:c r="D727" t="str">
        <x:v>Express</x:v>
      </x:c>
      <x:c r="E727" t="str">
        <x:v>Pôle A</x:v>
      </x:c>
      <x:c r="F727" s="18" t="n">
        <x:v>13720.5</x:v>
      </x:c>
      <x:c r="G727" s="18" t="n">
        <x:v>9227.29</x:v>
      </x:c>
      <x:c r="H727" t="str">
        <x:v>Client 34</x:v>
      </x:c>
      <x:c r="I727" s="16" t="n">
        <x:v>45627</x:v>
      </x:c>
      <x:c r="J727" t="n">
        <x:f>YEAR(B727)</x:f>
        <x:v>2024</x:v>
      </x:c>
      <x:c r="K727" s="20" t="n">
        <x:f>DATE(YEAR(B727),MONTH(B727),1)</x:f>
        <x:v>45597</x:v>
      </x:c>
      <x:c r="L727" s="18" t="n">
        <x:f>F727-G727</x:f>
        <x:v>4493.209999999999</x:v>
      </x:c>
      <x:c r="M727" t="str">
        <x:f>IF(L727&lt;=0,"Payée",IF(G727=0,"Impayée","Partielle"))</x:f>
        <x:v>Partielle</x:v>
      </x:c>
      <x:c r="N727" t="n">
        <x:f>IF(I727="","",I727-B727)</x:f>
        <x:v>1</x:v>
      </x:c>
      <x:c r="O727" t="str">
        <x:f>IF(TRIM(C727)&lt;&gt;TRIM(H727),"Oui","Non")</x:f>
        <x:v>Oui</x:v>
      </x:c>
      <x:c r="P727" t="str">
        <x:f>IFERROR(INDEX('02_REFERENTIEL_CLIENTS'!$B$2:$B$51,MATCH(TRIM(C727),'02_REFERENTIEL_CLIENTS'!$A$2:$A$51,0)),"Non trouvé")</x:f>
        <x:v>Grands comptes</x:v>
      </x:c>
      <x:c r="Q727" t="str">
        <x:f>IFERROR(INDEX('02_REFERENTIEL_CLIENTS'!$C$2:$C$51,MATCH(TRIM(C727),'02_REFERENTIEL_CLIENTS'!$A$2:$A$51,0)),"Non trouvé")</x:f>
        <x:v>France</x:v>
      </x:c>
      <x:c r="R727" t="str">
        <x:f>IF(OR(F727&lt;=0,G727&lt;0,G727&gt;F727,N727&lt;0,P727="Non trouvé"),"À vérifier","OK")</x:f>
        <x:v>OK</x:v>
      </x:c>
    </x:row>
    <x:row r="728">
      <x:c r="A728" t="str">
        <x:v>DV-2026-00727</x:v>
      </x:c>
      <x:c r="B728" s="16" t="n">
        <x:v>46100</x:v>
      </x:c>
      <x:c r="C728" t="str">
        <x:v>Client 35</x:v>
      </x:c>
      <x:c r="D728" t="str">
        <x:v>Fret aérien</x:v>
      </x:c>
      <x:c r="E728" t="str">
        <x:v>Pôle E</x:v>
      </x:c>
      <x:c r="F728" s="18" t="n">
        <x:v>8922.73</x:v>
      </x:c>
      <x:c r="G728" s="18" t="n">
        <x:v>6611.57</x:v>
      </x:c>
      <x:c r="H728" t="str">
        <x:v>Client 35</x:v>
      </x:c>
      <x:c r="I728" s="16" t="n">
        <x:v>46105</x:v>
      </x:c>
      <x:c r="J728" t="n">
        <x:f>YEAR(B728)</x:f>
        <x:v>2026</x:v>
      </x:c>
      <x:c r="K728" s="20" t="n">
        <x:f>DATE(YEAR(B728),MONTH(B728),1)</x:f>
        <x:v>46082</x:v>
      </x:c>
      <x:c r="L728" s="18" t="n">
        <x:f>F728-G728</x:f>
        <x:v>2311.16</x:v>
      </x:c>
      <x:c r="M728" t="str">
        <x:f>IF(L728&lt;=0,"Payée",IF(G728=0,"Impayée","Partielle"))</x:f>
        <x:v>Partielle</x:v>
      </x:c>
      <x:c r="N728" t="n">
        <x:f>IF(I728="","",I728-B728)</x:f>
        <x:v>5</x:v>
      </x:c>
      <x:c r="O728" t="str">
        <x:f>IF(TRIM(C728)&lt;&gt;TRIM(H728),"Oui","Non")</x:f>
        <x:v>Non</x:v>
      </x:c>
      <x:c r="P728" t="str">
        <x:f>IFERROR(INDEX('02_REFERENTIEL_CLIENTS'!$B$2:$B$51,MATCH(TRIM(C728),'02_REFERENTIEL_CLIENTS'!$A$2:$A$51,0)),"Non trouvé")</x:f>
        <x:v>PME</x:v>
      </x:c>
      <x:c r="Q728" t="str">
        <x:f>IFERROR(INDEX('02_REFERENTIEL_CLIENTS'!$C$2:$C$51,MATCH(TRIM(C728),'02_REFERENTIEL_CLIENTS'!$A$2:$A$51,0)),"Non trouvé")</x:f>
        <x:v>Europe</x:v>
      </x:c>
      <x:c r="R728" t="str">
        <x:f>IF(OR(F728&lt;=0,G728&lt;0,G728&gt;F728,N728&lt;0,P728="Non trouvé"),"À vérifier","OK")</x:f>
        <x:v>OK</x:v>
      </x:c>
    </x:row>
    <x:row r="729">
      <x:c r="A729" t="str">
        <x:v>DV-2026-00728</x:v>
      </x:c>
      <x:c r="B729" s="16" t="n">
        <x:v>46058</x:v>
      </x:c>
      <x:c r="C729" t="str">
        <x:v>Client 42</x:v>
      </x:c>
      <x:c r="D729" t="str">
        <x:v>Fret maritime</x:v>
      </x:c>
      <x:c r="E729" t="str">
        <x:v>Pôle D</x:v>
      </x:c>
      <x:c r="F729" s="18" t="n">
        <x:v>23234.73</x:v>
      </x:c>
      <x:c r="G729" s="18" t="n">
        <x:v>23234.73</x:v>
      </x:c>
      <x:c r="H729" t="str">
        <x:v>Client 42</x:v>
      </x:c>
      <x:c r="I729" s="16" t="n">
        <x:v>46141</x:v>
      </x:c>
      <x:c r="J729" t="n">
        <x:f>YEAR(B729)</x:f>
        <x:v>2026</x:v>
      </x:c>
      <x:c r="K729" s="20" t="n">
        <x:f>DATE(YEAR(B729),MONTH(B729),1)</x:f>
        <x:v>46054</x:v>
      </x:c>
      <x:c r="L729" s="18" t="n">
        <x:f>F729-G729</x:f>
        <x:v>0</x:v>
      </x:c>
      <x:c r="M729" t="str">
        <x:f>IF(L729&lt;=0,"Payée",IF(G729=0,"Impayée","Partielle"))</x:f>
        <x:v>Payée</x:v>
      </x:c>
      <x:c r="N729" t="n">
        <x:f>IF(I729="","",I729-B729)</x:f>
        <x:v>83</x:v>
      </x:c>
      <x:c r="O729" t="str">
        <x:f>IF(TRIM(C729)&lt;&gt;TRIM(H729),"Oui","Non")</x:f>
        <x:v>Non</x:v>
      </x:c>
      <x:c r="P729" t="str">
        <x:f>IFERROR(INDEX('02_REFERENTIEL_CLIENTS'!$B$2:$B$51,MATCH(TRIM(C729),'02_REFERENTIEL_CLIENTS'!$A$2:$A$51,0)),"Non trouvé")</x:f>
        <x:v>Particuliers</x:v>
      </x:c>
      <x:c r="Q729" t="str">
        <x:f>IFERROR(INDEX('02_REFERENTIEL_CLIENTS'!$C$2:$C$51,MATCH(TRIM(C729),'02_REFERENTIEL_CLIENTS'!$A$2:$A$51,0)),"Non trouvé")</x:f>
        <x:v>International</x:v>
      </x:c>
      <x:c r="R729" t="str">
        <x:f>IF(OR(F729&lt;=0,G729&lt;0,G729&gt;F729,N729&lt;0,P729="Non trouvé"),"À vérifier","OK")</x:f>
        <x:v>OK</x:v>
      </x:c>
    </x:row>
    <x:row r="730">
      <x:c r="A730" t="str">
        <x:v>DV-2024-00729</x:v>
      </x:c>
      <x:c r="B730" s="16" t="n">
        <x:v>45533</x:v>
      </x:c>
      <x:c r="C730" t="str">
        <x:v>Client 17</x:v>
      </x:c>
      <x:c r="D730" t="str">
        <x:v>Express</x:v>
      </x:c>
      <x:c r="E730" t="str">
        <x:v>Pôle E</x:v>
      </x:c>
      <x:c r="F730" s="18" t="n">
        <x:v>3257.57</x:v>
      </x:c>
      <x:c r="G730" s="18" t="n">
        <x:v>2533.51</x:v>
      </x:c>
      <x:c r="H730" t="str">
        <x:v>Client 17</x:v>
      </x:c>
      <x:c r="I730" s="16" t="n">
        <x:v>45603</x:v>
      </x:c>
      <x:c r="J730" t="n">
        <x:f>YEAR(B730)</x:f>
        <x:v>2024</x:v>
      </x:c>
      <x:c r="K730" s="20" t="n">
        <x:f>DATE(YEAR(B730),MONTH(B730),1)</x:f>
        <x:v>45505</x:v>
      </x:c>
      <x:c r="L730" s="18" t="n">
        <x:f>F730-G730</x:f>
        <x:v>724.06</x:v>
      </x:c>
      <x:c r="M730" t="str">
        <x:f>IF(L730&lt;=0,"Payée",IF(G730=0,"Impayée","Partielle"))</x:f>
        <x:v>Partielle</x:v>
      </x:c>
      <x:c r="N730" t="n">
        <x:f>IF(I730="","",I730-B730)</x:f>
        <x:v>70</x:v>
      </x:c>
      <x:c r="O730" t="str">
        <x:f>IF(TRIM(C730)&lt;&gt;TRIM(H730),"Oui","Non")</x:f>
        <x:v>Non</x:v>
      </x:c>
      <x:c r="P730" t="str">
        <x:f>IFERROR(INDEX('02_REFERENTIEL_CLIENTS'!$B$2:$B$51,MATCH(TRIM(C730),'02_REFERENTIEL_CLIENTS'!$A$2:$A$51,0)),"Non trouvé")</x:f>
        <x:v>PME</x:v>
      </x:c>
      <x:c r="Q730" t="str">
        <x:f>IFERROR(INDEX('02_REFERENTIEL_CLIENTS'!$C$2:$C$51,MATCH(TRIM(C730),'02_REFERENTIEL_CLIENTS'!$A$2:$A$51,0)),"Non trouvé")</x:f>
        <x:v>Europe</x:v>
      </x:c>
      <x:c r="R730" t="str">
        <x:f>IF(OR(F730&lt;=0,G730&lt;0,G730&gt;F730,N730&lt;0,P730="Non trouvé"),"À vérifier","OK")</x:f>
        <x:v>OK</x:v>
      </x:c>
    </x:row>
    <x:row r="731">
      <x:c r="A731" t="str">
        <x:v>DV-2026-00730</x:v>
      </x:c>
      <x:c r="B731" s="16" t="n">
        <x:v>46217</x:v>
      </x:c>
      <x:c r="C731" t="str">
        <x:v>Client 25</x:v>
      </x:c>
      <x:c r="D731" t="str">
        <x:v>Fret maritime</x:v>
      </x:c>
      <x:c r="E731" t="str">
        <x:v>Pôle C</x:v>
      </x:c>
      <x:c r="F731" s="18" t="n">
        <x:v>15190.81</x:v>
      </x:c>
      <x:c r="G731" s="18" t="n">
        <x:v>3083.22</x:v>
      </x:c>
      <x:c r="H731" t="str">
        <x:v>Client 25</x:v>
      </x:c>
      <x:c r="I731" s="16" t="n">
        <x:v>46240</x:v>
      </x:c>
      <x:c r="J731" t="n">
        <x:f>YEAR(B731)</x:f>
        <x:v>2026</x:v>
      </x:c>
      <x:c r="K731" s="20" t="n">
        <x:f>DATE(YEAR(B731),MONTH(B731),1)</x:f>
        <x:v>46204</x:v>
      </x:c>
      <x:c r="L731" s="18" t="n">
        <x:f>F731-G731</x:f>
        <x:v>12107.59</x:v>
      </x:c>
      <x:c r="M731" t="str">
        <x:f>IF(L731&lt;=0,"Payée",IF(G731=0,"Impayée","Partielle"))</x:f>
        <x:v>Partielle</x:v>
      </x:c>
      <x:c r="N731" t="n">
        <x:f>IF(I731="","",I731-B731)</x:f>
        <x:v>23</x:v>
      </x:c>
      <x:c r="O731" t="str">
        <x:f>IF(TRIM(C731)&lt;&gt;TRIM(H731),"Oui","Non")</x:f>
        <x:v>Non</x:v>
      </x:c>
      <x:c r="P731" t="str">
        <x:f>IFERROR(INDEX('02_REFERENTIEL_CLIENTS'!$B$2:$B$51,MATCH(TRIM(C731),'02_REFERENTIEL_CLIENTS'!$A$2:$A$51,0)),"Non trouvé")</x:f>
        <x:v>Grands comptes</x:v>
      </x:c>
      <x:c r="Q731" t="str">
        <x:f>IFERROR(INDEX('02_REFERENTIEL_CLIENTS'!$C$2:$C$51,MATCH(TRIM(C731),'02_REFERENTIEL_CLIENTS'!$A$2:$A$51,0)),"Non trouvé")</x:f>
        <x:v>France</x:v>
      </x:c>
      <x:c r="R731" t="str">
        <x:f>IF(OR(F731&lt;=0,G731&lt;0,G731&gt;F731,N731&lt;0,P731="Non trouvé"),"À vérifier","OK")</x:f>
        <x:v>OK</x:v>
      </x:c>
    </x:row>
    <x:row r="732">
      <x:c r="A732" t="str">
        <x:v>DV-2025-00731</x:v>
      </x:c>
      <x:c r="B732" s="16" t="n">
        <x:v>45916</x:v>
      </x:c>
      <x:c r="C732" t="str">
        <x:v>Client 18</x:v>
      </x:c>
      <x:c r="D732" t="str">
        <x:v>Express</x:v>
      </x:c>
      <x:c r="E732" t="str">
        <x:v>Pôle B</x:v>
      </x:c>
      <x:c r="F732" s="18" t="n">
        <x:v>22128.22</x:v>
      </x:c>
      <x:c r="G732" s="18" t="n">
        <x:v>22128.22</x:v>
      </x:c>
      <x:c r="H732" t="str">
        <x:v>Client 18</x:v>
      </x:c>
      <x:c r="I732" s="16" t="n">
        <x:v>45927</x:v>
      </x:c>
      <x:c r="J732" t="n">
        <x:f>YEAR(B732)</x:f>
        <x:v>2025</x:v>
      </x:c>
      <x:c r="K732" s="20" t="n">
        <x:f>DATE(YEAR(B732),MONTH(B732),1)</x:f>
        <x:v>45901</x:v>
      </x:c>
      <x:c r="L732" s="18" t="n">
        <x:f>F732-G732</x:f>
        <x:v>0</x:v>
      </x:c>
      <x:c r="M732" t="str">
        <x:f>IF(L732&lt;=0,"Payée",IF(G732=0,"Impayée","Partielle"))</x:f>
        <x:v>Payée</x:v>
      </x:c>
      <x:c r="N732" t="n">
        <x:f>IF(I732="","",I732-B732)</x:f>
        <x:v>11</x:v>
      </x:c>
      <x:c r="O732" t="str">
        <x:f>IF(TRIM(C732)&lt;&gt;TRIM(H732),"Oui","Non")</x:f>
        <x:v>Non</x:v>
      </x:c>
      <x:c r="P732" t="str">
        <x:f>IFERROR(INDEX('02_REFERENTIEL_CLIENTS'!$B$2:$B$51,MATCH(TRIM(C732),'02_REFERENTIEL_CLIENTS'!$A$2:$A$51,0)),"Non trouvé")</x:f>
        <x:v>Particuliers</x:v>
      </x:c>
      <x:c r="Q732" t="str">
        <x:f>IFERROR(INDEX('02_REFERENTIEL_CLIENTS'!$C$2:$C$51,MATCH(TRIM(C732),'02_REFERENTIEL_CLIENTS'!$A$2:$A$51,0)),"Non trouvé")</x:f>
        <x:v>International</x:v>
      </x:c>
      <x:c r="R732" t="str">
        <x:f>IF(OR(F732&lt;=0,G732&lt;0,G732&gt;F732,N732&lt;0,P732="Non trouvé"),"À vérifier","OK")</x:f>
        <x:v>OK</x:v>
      </x:c>
    </x:row>
    <x:row r="733">
      <x:c r="A733" t="str">
        <x:v>DV-2024-00732</x:v>
      </x:c>
      <x:c r="B733" s="16" t="n">
        <x:v>45632</x:v>
      </x:c>
      <x:c r="C733" t="str">
        <x:v>Client 29</x:v>
      </x:c>
      <x:c r="D733" t="str">
        <x:v>Douane</x:v>
      </x:c>
      <x:c r="E733" t="str">
        <x:v>Pôle C</x:v>
      </x:c>
      <x:c r="F733" s="18" t="n">
        <x:v>5724.78</x:v>
      </x:c>
      <x:c r="G733" s="18" t="n">
        <x:v>0</x:v>
      </x:c>
      <x:c r="H733" t="str">
        <x:v>Client 29</x:v>
      </x:c>
      <x:c r="I733" s="16"/>
      <x:c r="J733" t="n">
        <x:f>YEAR(B733)</x:f>
        <x:v>2024</x:v>
      </x:c>
      <x:c r="K733" s="20" t="n">
        <x:f>DATE(YEAR(B733),MONTH(B733),1)</x:f>
        <x:v>45627</x:v>
      </x:c>
      <x:c r="L733" s="18" t="n">
        <x:f>F733-G733</x:f>
        <x:v>5724.78</x:v>
      </x:c>
      <x:c r="M733" t="str">
        <x:f>IF(L733&lt;=0,"Payée",IF(G733=0,"Impayée","Partielle"))</x:f>
        <x:v>Impayée</x:v>
      </x:c>
      <x:c r="N733" t="str">
        <x:f>IF(I733="","",I733-B733)</x:f>
      </x:c>
      <x:c r="O733" t="str">
        <x:f>IF(TRIM(C733)&lt;&gt;TRIM(H733),"Oui","Non")</x:f>
        <x:v>Non</x:v>
      </x:c>
      <x:c r="P733" t="str">
        <x:f>IFERROR(INDEX('02_REFERENTIEL_CLIENTS'!$B$2:$B$51,MATCH(TRIM(C733),'02_REFERENTIEL_CLIENTS'!$A$2:$A$51,0)),"Non trouvé")</x:f>
        <x:v>PME</x:v>
      </x:c>
      <x:c r="Q733" t="str">
        <x:f>IFERROR(INDEX('02_REFERENTIEL_CLIENTS'!$C$2:$C$51,MATCH(TRIM(C733),'02_REFERENTIEL_CLIENTS'!$A$2:$A$51,0)),"Non trouvé")</x:f>
        <x:v>Europe</x:v>
      </x:c>
      <x:c r="R733" t="str">
        <x:f>IF(OR(F733&lt;=0,G733&lt;0,G733&gt;F733,N733&lt;0,P733="Non trouvé"),"À vérifier","OK")</x:f>
        <x:v>OK</x:v>
      </x:c>
    </x:row>
    <x:row r="734">
      <x:c r="A734" t="str">
        <x:v>DV-2026-00733</x:v>
      </x:c>
      <x:c r="B734" s="16" t="n">
        <x:v>46043</x:v>
      </x:c>
      <x:c r="C734" t="str">
        <x:v>Client 26</x:v>
      </x:c>
      <x:c r="D734" t="str">
        <x:v>Fret maritime</x:v>
      </x:c>
      <x:c r="E734" t="str">
        <x:v>Pôle D</x:v>
      </x:c>
      <x:c r="F734" s="18" t="n">
        <x:v>426.34</x:v>
      </x:c>
      <x:c r="G734" s="18" t="n">
        <x:v>426.34</x:v>
      </x:c>
      <x:c r="H734" t="str">
        <x:v>Client 26</x:v>
      </x:c>
      <x:c r="I734" s="16" t="n">
        <x:v>46111</x:v>
      </x:c>
      <x:c r="J734" t="n">
        <x:f>YEAR(B734)</x:f>
        <x:v>2026</x:v>
      </x:c>
      <x:c r="K734" s="20" t="n">
        <x:f>DATE(YEAR(B734),MONTH(B734),1)</x:f>
        <x:v>46023</x:v>
      </x:c>
      <x:c r="L734" s="18" t="n">
        <x:f>F734-G734</x:f>
        <x:v>0</x:v>
      </x:c>
      <x:c r="M734" t="str">
        <x:f>IF(L734&lt;=0,"Payée",IF(G734=0,"Impayée","Partielle"))</x:f>
        <x:v>Payée</x:v>
      </x:c>
      <x:c r="N734" t="n">
        <x:f>IF(I734="","",I734-B734)</x:f>
        <x:v>68</x:v>
      </x:c>
      <x:c r="O734" t="str">
        <x:f>IF(TRIM(C734)&lt;&gt;TRIM(H734),"Oui","Non")</x:f>
        <x:v>Non</x:v>
      </x:c>
      <x:c r="P734" t="str">
        <x:f>IFERROR(INDEX('02_REFERENTIEL_CLIENTS'!$B$2:$B$51,MATCH(TRIM(C734),'02_REFERENTIEL_CLIENTS'!$A$2:$A$51,0)),"Non trouvé")</x:f>
        <x:v>PME</x:v>
      </x:c>
      <x:c r="Q734" t="str">
        <x:f>IFERROR(INDEX('02_REFERENTIEL_CLIENTS'!$C$2:$C$51,MATCH(TRIM(C734),'02_REFERENTIEL_CLIENTS'!$A$2:$A$51,0)),"Non trouvé")</x:f>
        <x:v>Europe</x:v>
      </x:c>
      <x:c r="R734" t="str">
        <x:f>IF(OR(F734&lt;=0,G734&lt;0,G734&gt;F734,N734&lt;0,P734="Non trouvé"),"À vérifier","OK")</x:f>
        <x:v>OK</x:v>
      </x:c>
    </x:row>
    <x:row r="735">
      <x:c r="A735" t="str">
        <x:v>DV-2025-00734</x:v>
      </x:c>
      <x:c r="B735" s="16" t="n">
        <x:v>45701</x:v>
      </x:c>
      <x:c r="C735" t="str">
        <x:v>Client 30</x:v>
      </x:c>
      <x:c r="D735" t="str">
        <x:v>Logistique</x:v>
      </x:c>
      <x:c r="E735" t="str">
        <x:v>Pôle B</x:v>
      </x:c>
      <x:c r="F735" s="18" t="n">
        <x:v>18492.79</x:v>
      </x:c>
      <x:c r="G735" s="18" t="n">
        <x:v>18492.79</x:v>
      </x:c>
      <x:c r="H735" t="str">
        <x:v>Client 30</x:v>
      </x:c>
      <x:c r="I735" s="16" t="n">
        <x:v>45778</x:v>
      </x:c>
      <x:c r="J735" t="n">
        <x:f>YEAR(B735)</x:f>
        <x:v>2025</x:v>
      </x:c>
      <x:c r="K735" s="20" t="n">
        <x:f>DATE(YEAR(B735),MONTH(B735),1)</x:f>
        <x:v>45689</x:v>
      </x:c>
      <x:c r="L735" s="18" t="n">
        <x:f>F735-G735</x:f>
        <x:v>0</x:v>
      </x:c>
      <x:c r="M735" t="str">
        <x:f>IF(L735&lt;=0,"Payée",IF(G735=0,"Impayée","Partielle"))</x:f>
        <x:v>Payée</x:v>
      </x:c>
      <x:c r="N735" t="n">
        <x:f>IF(I735="","",I735-B735)</x:f>
        <x:v>77</x:v>
      </x:c>
      <x:c r="O735" t="str">
        <x:f>IF(TRIM(C735)&lt;&gt;TRIM(H735),"Oui","Non")</x:f>
        <x:v>Non</x:v>
      </x:c>
      <x:c r="P735" t="str">
        <x:f>IFERROR(INDEX('02_REFERENTIEL_CLIENTS'!$B$2:$B$51,MATCH(TRIM(C735),'02_REFERENTIEL_CLIENTS'!$A$2:$A$51,0)),"Non trouvé")</x:f>
        <x:v>Particuliers</x:v>
      </x:c>
      <x:c r="Q735" t="str">
        <x:f>IFERROR(INDEX('02_REFERENTIEL_CLIENTS'!$C$2:$C$51,MATCH(TRIM(C735),'02_REFERENTIEL_CLIENTS'!$A$2:$A$51,0)),"Non trouvé")</x:f>
        <x:v>International</x:v>
      </x:c>
      <x:c r="R735" t="str">
        <x:f>IF(OR(F735&lt;=0,G735&lt;0,G735&gt;F735,N735&lt;0,P735="Non trouvé"),"À vérifier","OK")</x:f>
        <x:v>OK</x:v>
      </x:c>
    </x:row>
    <x:row r="736">
      <x:c r="A736" t="str">
        <x:v>DV-2024-00735</x:v>
      </x:c>
      <x:c r="B736" s="16" t="n">
        <x:v>45558</x:v>
      </x:c>
      <x:c r="C736" t="str">
        <x:v>Client 47</x:v>
      </x:c>
      <x:c r="D736" t="str">
        <x:v>Fret aérien</x:v>
      </x:c>
      <x:c r="E736" t="str">
        <x:v>Pôle E</x:v>
      </x:c>
      <x:c r="F736" s="18" t="n">
        <x:v>19998.12</x:v>
      </x:c>
      <x:c r="G736" s="18" t="n">
        <x:v>19998.12</x:v>
      </x:c>
      <x:c r="H736" t="str">
        <x:v>Client 47</x:v>
      </x:c>
      <x:c r="I736" s="16" t="n">
        <x:v>45649</x:v>
      </x:c>
      <x:c r="J736" t="n">
        <x:f>YEAR(B736)</x:f>
        <x:v>2024</x:v>
      </x:c>
      <x:c r="K736" s="20" t="n">
        <x:f>DATE(YEAR(B736),MONTH(B736),1)</x:f>
        <x:v>45536</x:v>
      </x:c>
      <x:c r="L736" s="18" t="n">
        <x:f>F736-G736</x:f>
        <x:v>0</x:v>
      </x:c>
      <x:c r="M736" t="str">
        <x:f>IF(L736&lt;=0,"Payée",IF(G736=0,"Impayée","Partielle"))</x:f>
        <x:v>Payée</x:v>
      </x:c>
      <x:c r="N736" t="n">
        <x:f>IF(I736="","",I736-B736)</x:f>
        <x:v>91</x:v>
      </x:c>
      <x:c r="O736" t="str">
        <x:f>IF(TRIM(C736)&lt;&gt;TRIM(H736),"Oui","Non")</x:f>
        <x:v>Non</x:v>
      </x:c>
      <x:c r="P736" t="str">
        <x:f>IFERROR(INDEX('02_REFERENTIEL_CLIENTS'!$B$2:$B$51,MATCH(TRIM(C736),'02_REFERENTIEL_CLIENTS'!$A$2:$A$51,0)),"Non trouvé")</x:f>
        <x:v>PME</x:v>
      </x:c>
      <x:c r="Q736" t="str">
        <x:f>IFERROR(INDEX('02_REFERENTIEL_CLIENTS'!$C$2:$C$51,MATCH(TRIM(C736),'02_REFERENTIEL_CLIENTS'!$A$2:$A$51,0)),"Non trouvé")</x:f>
        <x:v>Europe</x:v>
      </x:c>
      <x:c r="R736" t="str">
        <x:f>IF(OR(F736&lt;=0,G736&lt;0,G736&gt;F736,N736&lt;0,P736="Non trouvé"),"À vérifier","OK")</x:f>
        <x:v>OK</x:v>
      </x:c>
    </x:row>
    <x:row r="737">
      <x:c r="A737" t="str">
        <x:v>DV-2026-00736</x:v>
      </x:c>
      <x:c r="B737" s="16" t="n">
        <x:v>46045</x:v>
      </x:c>
      <x:c r="C737" t="str">
        <x:v>Client 22</x:v>
      </x:c>
      <x:c r="D737" t="str">
        <x:v>Logistique</x:v>
      </x:c>
      <x:c r="E737" t="str">
        <x:v>Pôle A</x:v>
      </x:c>
      <x:c r="F737" s="18" t="n">
        <x:v>807.07</x:v>
      </x:c>
      <x:c r="G737" s="18" t="n">
        <x:v>807.07</x:v>
      </x:c>
      <x:c r="H737" t="str">
        <x:v>Client 22</x:v>
      </x:c>
      <x:c r="I737" s="16" t="n">
        <x:v>46112</x:v>
      </x:c>
      <x:c r="J737" t="n">
        <x:f>YEAR(B737)</x:f>
        <x:v>2026</x:v>
      </x:c>
      <x:c r="K737" s="20" t="n">
        <x:f>DATE(YEAR(B737),MONTH(B737),1)</x:f>
        <x:v>46023</x:v>
      </x:c>
      <x:c r="L737" s="18" t="n">
        <x:f>F737-G737</x:f>
        <x:v>0</x:v>
      </x:c>
      <x:c r="M737" t="str">
        <x:f>IF(L737&lt;=0,"Payée",IF(G737=0,"Impayée","Partielle"))</x:f>
        <x:v>Payée</x:v>
      </x:c>
      <x:c r="N737" t="n">
        <x:f>IF(I737="","",I737-B737)</x:f>
        <x:v>67</x:v>
      </x:c>
      <x:c r="O737" t="str">
        <x:f>IF(TRIM(C737)&lt;&gt;TRIM(H737),"Oui","Non")</x:f>
        <x:v>Non</x:v>
      </x:c>
      <x:c r="P737" t="str">
        <x:f>IFERROR(INDEX('02_REFERENTIEL_CLIENTS'!$B$2:$B$51,MATCH(TRIM(C737),'02_REFERENTIEL_CLIENTS'!$A$2:$A$51,0)),"Non trouvé")</x:f>
        <x:v>Grands comptes</x:v>
      </x:c>
      <x:c r="Q737" t="str">
        <x:f>IFERROR(INDEX('02_REFERENTIEL_CLIENTS'!$C$2:$C$51,MATCH(TRIM(C737),'02_REFERENTIEL_CLIENTS'!$A$2:$A$51,0)),"Non trouvé")</x:f>
        <x:v>France</x:v>
      </x:c>
      <x:c r="R737" t="str">
        <x:f>IF(OR(F737&lt;=0,G737&lt;0,G737&gt;F737,N737&lt;0,P737="Non trouvé"),"À vérifier","OK")</x:f>
        <x:v>OK</x:v>
      </x:c>
    </x:row>
    <x:row r="738">
      <x:c r="A738" t="str">
        <x:v>DV-2026-00737</x:v>
      </x:c>
      <x:c r="B738" s="16" t="n">
        <x:v>46139</x:v>
      </x:c>
      <x:c r="C738" t="str">
        <x:v>Client 09</x:v>
      </x:c>
      <x:c r="D738" t="str">
        <x:v>Logistique</x:v>
      </x:c>
      <x:c r="E738" t="str">
        <x:v>Pôle D</x:v>
      </x:c>
      <x:c r="F738" s="18" t="n">
        <x:v>4662.87</x:v>
      </x:c>
      <x:c r="G738" s="18" t="n">
        <x:v>2360.19</x:v>
      </x:c>
      <x:c r="H738" t="str">
        <x:v>Client 09</x:v>
      </x:c>
      <x:c r="I738" s="16" t="n">
        <x:v>46214</x:v>
      </x:c>
      <x:c r="J738" t="n">
        <x:f>YEAR(B738)</x:f>
        <x:v>2026</x:v>
      </x:c>
      <x:c r="K738" s="20" t="n">
        <x:f>DATE(YEAR(B738),MONTH(B738),1)</x:f>
        <x:v>46113</x:v>
      </x:c>
      <x:c r="L738" s="18" t="n">
        <x:f>F738-G738</x:f>
        <x:v>2302.68</x:v>
      </x:c>
      <x:c r="M738" t="str">
        <x:f>IF(L738&lt;=0,"Payée",IF(G738=0,"Impayée","Partielle"))</x:f>
        <x:v>Partielle</x:v>
      </x:c>
      <x:c r="N738" t="n">
        <x:f>IF(I738="","",I738-B738)</x:f>
        <x:v>75</x:v>
      </x:c>
      <x:c r="O738" t="str">
        <x:f>IF(TRIM(C738)&lt;&gt;TRIM(H738),"Oui","Non")</x:f>
        <x:v>Non</x:v>
      </x:c>
      <x:c r="P738" t="str">
        <x:f>IFERROR(INDEX('02_REFERENTIEL_CLIENTS'!$B$2:$B$51,MATCH(TRIM(C738),'02_REFERENTIEL_CLIENTS'!$A$2:$A$51,0)),"Non trouvé")</x:f>
        <x:v>Particuliers</x:v>
      </x:c>
      <x:c r="Q738" t="str">
        <x:f>IFERROR(INDEX('02_REFERENTIEL_CLIENTS'!$C$2:$C$51,MATCH(TRIM(C738),'02_REFERENTIEL_CLIENTS'!$A$2:$A$51,0)),"Non trouvé")</x:f>
        <x:v>International</x:v>
      </x:c>
      <x:c r="R738" t="str">
        <x:f>IF(OR(F738&lt;=0,G738&lt;0,G738&gt;F738,N738&lt;0,P738="Non trouvé"),"À vérifier","OK")</x:f>
        <x:v>OK</x:v>
      </x:c>
    </x:row>
    <x:row r="739">
      <x:c r="A739" t="str">
        <x:v>DV-2026-00738</x:v>
      </x:c>
      <x:c r="B739" s="16" t="n">
        <x:v>46277</x:v>
      </x:c>
      <x:c r="C739" t="str">
        <x:v>Client 16</x:v>
      </x:c>
      <x:c r="D739" t="str">
        <x:v>Fret aérien</x:v>
      </x:c>
      <x:c r="E739" t="str">
        <x:v>Pôle B</x:v>
      </x:c>
      <x:c r="F739" s="18" t="n">
        <x:v>18676.66</x:v>
      </x:c>
      <x:c r="G739" s="18" t="n">
        <x:v>7448.27</x:v>
      </x:c>
      <x:c r="H739" t="str">
        <x:v>Client 16</x:v>
      </x:c>
      <x:c r="I739" s="16" t="n">
        <x:v>46311</x:v>
      </x:c>
      <x:c r="J739" t="n">
        <x:f>YEAR(B739)</x:f>
        <x:v>2026</x:v>
      </x:c>
      <x:c r="K739" s="20" t="n">
        <x:f>DATE(YEAR(B739),MONTH(B739),1)</x:f>
        <x:v>46266</x:v>
      </x:c>
      <x:c r="L739" s="18" t="n">
        <x:f>F739-G739</x:f>
        <x:v>11228.39</x:v>
      </x:c>
      <x:c r="M739" t="str">
        <x:f>IF(L739&lt;=0,"Payée",IF(G739=0,"Impayée","Partielle"))</x:f>
        <x:v>Partielle</x:v>
      </x:c>
      <x:c r="N739" t="n">
        <x:f>IF(I739="","",I739-B739)</x:f>
        <x:v>34</x:v>
      </x:c>
      <x:c r="O739" t="str">
        <x:f>IF(TRIM(C739)&lt;&gt;TRIM(H739),"Oui","Non")</x:f>
        <x:v>Non</x:v>
      </x:c>
      <x:c r="P739" t="str">
        <x:f>IFERROR(INDEX('02_REFERENTIEL_CLIENTS'!$B$2:$B$51,MATCH(TRIM(C739),'02_REFERENTIEL_CLIENTS'!$A$2:$A$51,0)),"Non trouvé")</x:f>
        <x:v>Grands comptes</x:v>
      </x:c>
      <x:c r="Q739" t="str">
        <x:f>IFERROR(INDEX('02_REFERENTIEL_CLIENTS'!$C$2:$C$51,MATCH(TRIM(C739),'02_REFERENTIEL_CLIENTS'!$A$2:$A$51,0)),"Non trouvé")</x:f>
        <x:v>France</x:v>
      </x:c>
      <x:c r="R739" t="str">
        <x:f>IF(OR(F739&lt;=0,G739&lt;0,G739&gt;F739,N739&lt;0,P739="Non trouvé"),"À vérifier","OK")</x:f>
        <x:v>OK</x:v>
      </x:c>
    </x:row>
    <x:row r="740">
      <x:c r="A740" t="str">
        <x:v>DV-2025-00739</x:v>
      </x:c>
      <x:c r="B740" s="16" t="n">
        <x:v>45836</x:v>
      </x:c>
      <x:c r="C740" t="str">
        <x:v>Client 43</x:v>
      </x:c>
      <x:c r="D740" t="str">
        <x:v>Fret maritime</x:v>
      </x:c>
      <x:c r="E740" t="str">
        <x:v>Pôle C</x:v>
      </x:c>
      <x:c r="F740" s="18" t="n">
        <x:v>8111.45</x:v>
      </x:c>
      <x:c r="G740" s="18" t="n">
        <x:v>8111.45</x:v>
      </x:c>
      <x:c r="H740" t="str">
        <x:v>Client 43</x:v>
      </x:c>
      <x:c r="I740" s="16" t="n">
        <x:v>45892</x:v>
      </x:c>
      <x:c r="J740" t="n">
        <x:f>YEAR(B740)</x:f>
        <x:v>2025</x:v>
      </x:c>
      <x:c r="K740" s="20" t="n">
        <x:f>DATE(YEAR(B740),MONTH(B740),1)</x:f>
        <x:v>45809</x:v>
      </x:c>
      <x:c r="L740" s="18" t="n">
        <x:f>F740-G740</x:f>
        <x:v>0</x:v>
      </x:c>
      <x:c r="M740" t="str">
        <x:f>IF(L740&lt;=0,"Payée",IF(G740=0,"Impayée","Partielle"))</x:f>
        <x:v>Payée</x:v>
      </x:c>
      <x:c r="N740" t="n">
        <x:f>IF(I740="","",I740-B740)</x:f>
        <x:v>56</x:v>
      </x:c>
      <x:c r="O740" t="str">
        <x:f>IF(TRIM(C740)&lt;&gt;TRIM(H740),"Oui","Non")</x:f>
        <x:v>Non</x:v>
      </x:c>
      <x:c r="P740" t="str">
        <x:f>IFERROR(INDEX('02_REFERENTIEL_CLIENTS'!$B$2:$B$51,MATCH(TRIM(C740),'02_REFERENTIEL_CLIENTS'!$A$2:$A$51,0)),"Non trouvé")</x:f>
        <x:v>Grands comptes</x:v>
      </x:c>
      <x:c r="Q740" t="str">
        <x:f>IFERROR(INDEX('02_REFERENTIEL_CLIENTS'!$C$2:$C$51,MATCH(TRIM(C740),'02_REFERENTIEL_CLIENTS'!$A$2:$A$51,0)),"Non trouvé")</x:f>
        <x:v>France</x:v>
      </x:c>
      <x:c r="R740" t="str">
        <x:f>IF(OR(F740&lt;=0,G740&lt;0,G740&gt;F740,N740&lt;0,P740="Non trouvé"),"À vérifier","OK")</x:f>
        <x:v>OK</x:v>
      </x:c>
    </x:row>
    <x:row r="741">
      <x:c r="A741" t="str">
        <x:v>DV-2024-00740</x:v>
      </x:c>
      <x:c r="B741" s="16" t="n">
        <x:v>45622</x:v>
      </x:c>
      <x:c r="C741" t="str">
        <x:v>Client 24</x:v>
      </x:c>
      <x:c r="D741" t="str">
        <x:v>Douane</x:v>
      </x:c>
      <x:c r="E741" t="str">
        <x:v>Pôle C</x:v>
      </x:c>
      <x:c r="F741" s="18" t="n">
        <x:v>7017.47</x:v>
      </x:c>
      <x:c r="G741" s="18" t="n">
        <x:v>7017.47</x:v>
      </x:c>
      <x:c r="H741" t="str">
        <x:v>Client 24</x:v>
      </x:c>
      <x:c r="I741" s="16" t="n">
        <x:v>45697</x:v>
      </x:c>
      <x:c r="J741" t="n">
        <x:f>YEAR(B741)</x:f>
        <x:v>2024</x:v>
      </x:c>
      <x:c r="K741" s="20" t="n">
        <x:f>DATE(YEAR(B741),MONTH(B741),1)</x:f>
        <x:v>45597</x:v>
      </x:c>
      <x:c r="L741" s="18" t="n">
        <x:f>F741-G741</x:f>
        <x:v>0</x:v>
      </x:c>
      <x:c r="M741" t="str">
        <x:f>IF(L741&lt;=0,"Payée",IF(G741=0,"Impayée","Partielle"))</x:f>
        <x:v>Payée</x:v>
      </x:c>
      <x:c r="N741" t="n">
        <x:f>IF(I741="","",I741-B741)</x:f>
        <x:v>75</x:v>
      </x:c>
      <x:c r="O741" t="str">
        <x:f>IF(TRIM(C741)&lt;&gt;TRIM(H741),"Oui","Non")</x:f>
        <x:v>Non</x:v>
      </x:c>
      <x:c r="P741" t="str">
        <x:f>IFERROR(INDEX('02_REFERENTIEL_CLIENTS'!$B$2:$B$51,MATCH(TRIM(C741),'02_REFERENTIEL_CLIENTS'!$A$2:$A$51,0)),"Non trouvé")</x:f>
        <x:v>Particuliers</x:v>
      </x:c>
      <x:c r="Q741" t="str">
        <x:f>IFERROR(INDEX('02_REFERENTIEL_CLIENTS'!$C$2:$C$51,MATCH(TRIM(C741),'02_REFERENTIEL_CLIENTS'!$A$2:$A$51,0)),"Non trouvé")</x:f>
        <x:v>International</x:v>
      </x:c>
      <x:c r="R741" t="str">
        <x:f>IF(OR(F741&lt;=0,G741&lt;0,G741&gt;F741,N741&lt;0,P741="Non trouvé"),"À vérifier","OK")</x:f>
        <x:v>OK</x:v>
      </x:c>
    </x:row>
    <x:row r="742">
      <x:c r="A742" t="str">
        <x:v>DV-2024-00741</x:v>
      </x:c>
      <x:c r="B742" s="16" t="n">
        <x:v>45536</x:v>
      </x:c>
      <x:c r="C742" t="str">
        <x:v>Client 40</x:v>
      </x:c>
      <x:c r="D742" t="str">
        <x:v>Douane</x:v>
      </x:c>
      <x:c r="E742" t="str">
        <x:v>Pôle E</x:v>
      </x:c>
      <x:c r="F742" s="18" t="n">
        <x:v>3875.85</x:v>
      </x:c>
      <x:c r="G742" s="18" t="n">
        <x:v>3875.85</x:v>
      </x:c>
      <x:c r="H742" t="str">
        <x:v>Client 40</x:v>
      </x:c>
      <x:c r="I742" s="16" t="n">
        <x:v>45556</x:v>
      </x:c>
      <x:c r="J742" t="n">
        <x:f>YEAR(B742)</x:f>
        <x:v>2024</x:v>
      </x:c>
      <x:c r="K742" s="20" t="n">
        <x:f>DATE(YEAR(B742),MONTH(B742),1)</x:f>
        <x:v>45536</x:v>
      </x:c>
      <x:c r="L742" s="18" t="n">
        <x:f>F742-G742</x:f>
        <x:v>0</x:v>
      </x:c>
      <x:c r="M742" t="str">
        <x:f>IF(L742&lt;=0,"Payée",IF(G742=0,"Impayée","Partielle"))</x:f>
        <x:v>Payée</x:v>
      </x:c>
      <x:c r="N742" t="n">
        <x:f>IF(I742="","",I742-B742)</x:f>
        <x:v>20</x:v>
      </x:c>
      <x:c r="O742" t="str">
        <x:f>IF(TRIM(C742)&lt;&gt;TRIM(H742),"Oui","Non")</x:f>
        <x:v>Non</x:v>
      </x:c>
      <x:c r="P742" t="str">
        <x:f>IFERROR(INDEX('02_REFERENTIEL_CLIENTS'!$B$2:$B$51,MATCH(TRIM(C742),'02_REFERENTIEL_CLIENTS'!$A$2:$A$51,0)),"Non trouvé")</x:f>
        <x:v>Grands comptes</x:v>
      </x:c>
      <x:c r="Q742" t="str">
        <x:f>IFERROR(INDEX('02_REFERENTIEL_CLIENTS'!$C$2:$C$51,MATCH(TRIM(C742),'02_REFERENTIEL_CLIENTS'!$A$2:$A$51,0)),"Non trouvé")</x:f>
        <x:v>France</x:v>
      </x:c>
      <x:c r="R742" t="str">
        <x:f>IF(OR(F742&lt;=0,G742&lt;0,G742&gt;F742,N742&lt;0,P742="Non trouvé"),"À vérifier","OK")</x:f>
        <x:v>OK</x:v>
      </x:c>
    </x:row>
    <x:row r="743">
      <x:c r="A743" t="str">
        <x:v>DV-2025-00742</x:v>
      </x:c>
      <x:c r="B743" s="16" t="n">
        <x:v>45928</x:v>
      </x:c>
      <x:c r="C743" t="str">
        <x:v>Client 22</x:v>
      </x:c>
      <x:c r="D743" t="str">
        <x:v>Express</x:v>
      </x:c>
      <x:c r="E743" t="str">
        <x:v>Pôle A</x:v>
      </x:c>
      <x:c r="F743" s="18" t="n">
        <x:v>15902.28</x:v>
      </x:c>
      <x:c r="G743" s="18" t="n">
        <x:v>8709.67</x:v>
      </x:c>
      <x:c r="H743" t="str">
        <x:v>Client 22</x:v>
      </x:c>
      <x:c r="I743" s="16" t="n">
        <x:v>45931</x:v>
      </x:c>
      <x:c r="J743" t="n">
        <x:f>YEAR(B743)</x:f>
        <x:v>2025</x:v>
      </x:c>
      <x:c r="K743" s="20" t="n">
        <x:f>DATE(YEAR(B743),MONTH(B743),1)</x:f>
        <x:v>45901</x:v>
      </x:c>
      <x:c r="L743" s="18" t="n">
        <x:f>F743-G743</x:f>
        <x:v>7192.610000000001</x:v>
      </x:c>
      <x:c r="M743" t="str">
        <x:f>IF(L743&lt;=0,"Payée",IF(G743=0,"Impayée","Partielle"))</x:f>
        <x:v>Partielle</x:v>
      </x:c>
      <x:c r="N743" t="n">
        <x:f>IF(I743="","",I743-B743)</x:f>
        <x:v>3</x:v>
      </x:c>
      <x:c r="O743" t="str">
        <x:f>IF(TRIM(C743)&lt;&gt;TRIM(H743),"Oui","Non")</x:f>
        <x:v>Non</x:v>
      </x:c>
      <x:c r="P743" t="str">
        <x:f>IFERROR(INDEX('02_REFERENTIEL_CLIENTS'!$B$2:$B$51,MATCH(TRIM(C743),'02_REFERENTIEL_CLIENTS'!$A$2:$A$51,0)),"Non trouvé")</x:f>
        <x:v>Grands comptes</x:v>
      </x:c>
      <x:c r="Q743" t="str">
        <x:f>IFERROR(INDEX('02_REFERENTIEL_CLIENTS'!$C$2:$C$51,MATCH(TRIM(C743),'02_REFERENTIEL_CLIENTS'!$A$2:$A$51,0)),"Non trouvé")</x:f>
        <x:v>France</x:v>
      </x:c>
      <x:c r="R743" t="str">
        <x:f>IF(OR(F743&lt;=0,G743&lt;0,G743&gt;F743,N743&lt;0,P743="Non trouvé"),"À vérifier","OK")</x:f>
        <x:v>OK</x:v>
      </x:c>
    </x:row>
    <x:row r="744">
      <x:c r="A744" t="str">
        <x:v>DV-2025-00743</x:v>
      </x:c>
      <x:c r="B744" s="16" t="n">
        <x:v>45819</x:v>
      </x:c>
      <x:c r="C744" t="str">
        <x:v>Client 27</x:v>
      </x:c>
      <x:c r="D744" t="str">
        <x:v>Express</x:v>
      </x:c>
      <x:c r="E744" t="str">
        <x:v>Pôle A</x:v>
      </x:c>
      <x:c r="F744" s="18" t="n">
        <x:v>22902.55</x:v>
      </x:c>
      <x:c r="G744" s="18" t="n">
        <x:v>8487.67</x:v>
      </x:c>
      <x:c r="H744" t="str">
        <x:v>Client 27</x:v>
      </x:c>
      <x:c r="I744" s="16" t="n">
        <x:v>45891</x:v>
      </x:c>
      <x:c r="J744" t="n">
        <x:f>YEAR(B744)</x:f>
        <x:v>2025</x:v>
      </x:c>
      <x:c r="K744" s="20" t="n">
        <x:f>DATE(YEAR(B744),MONTH(B744),1)</x:f>
        <x:v>45809</x:v>
      </x:c>
      <x:c r="L744" s="18" t="n">
        <x:f>F744-G744</x:f>
        <x:v>14414.88</x:v>
      </x:c>
      <x:c r="M744" t="str">
        <x:f>IF(L744&lt;=0,"Payée",IF(G744=0,"Impayée","Partielle"))</x:f>
        <x:v>Partielle</x:v>
      </x:c>
      <x:c r="N744" t="n">
        <x:f>IF(I744="","",I744-B744)</x:f>
        <x:v>72</x:v>
      </x:c>
      <x:c r="O744" t="str">
        <x:f>IF(TRIM(C744)&lt;&gt;TRIM(H744),"Oui","Non")</x:f>
        <x:v>Non</x:v>
      </x:c>
      <x:c r="P744" t="str">
        <x:f>IFERROR(INDEX('02_REFERENTIEL_CLIENTS'!$B$2:$B$51,MATCH(TRIM(C744),'02_REFERENTIEL_CLIENTS'!$A$2:$A$51,0)),"Non trouvé")</x:f>
        <x:v>Particuliers</x:v>
      </x:c>
      <x:c r="Q744" t="str">
        <x:f>IFERROR(INDEX('02_REFERENTIEL_CLIENTS'!$C$2:$C$51,MATCH(TRIM(C744),'02_REFERENTIEL_CLIENTS'!$A$2:$A$51,0)),"Non trouvé")</x:f>
        <x:v>International</x:v>
      </x:c>
      <x:c r="R744" t="str">
        <x:f>IF(OR(F744&lt;=0,G744&lt;0,G744&gt;F744,N744&lt;0,P744="Non trouvé"),"À vérifier","OK")</x:f>
        <x:v>OK</x:v>
      </x:c>
    </x:row>
    <x:row r="745">
      <x:c r="A745" t="str">
        <x:v>DV-2025-00744</x:v>
      </x:c>
      <x:c r="B745" s="16" t="n">
        <x:v>45945</x:v>
      </x:c>
      <x:c r="C745" t="str">
        <x:v>Client 11</x:v>
      </x:c>
      <x:c r="D745" t="str">
        <x:v>Express</x:v>
      </x:c>
      <x:c r="E745" t="str">
        <x:v>Pôle C</x:v>
      </x:c>
      <x:c r="F745" s="18" t="n">
        <x:v>7104.7</x:v>
      </x:c>
      <x:c r="G745" s="18" t="n">
        <x:v>7104.7</x:v>
      </x:c>
      <x:c r="H745" t="str">
        <x:v>Client 11</x:v>
      </x:c>
      <x:c r="I745" s="16" t="n">
        <x:v>45988</x:v>
      </x:c>
      <x:c r="J745" t="n">
        <x:f>YEAR(B745)</x:f>
        <x:v>2025</x:v>
      </x:c>
      <x:c r="K745" s="20" t="n">
        <x:f>DATE(YEAR(B745),MONTH(B745),1)</x:f>
        <x:v>45931</x:v>
      </x:c>
      <x:c r="L745" s="18" t="n">
        <x:f>F745-G745</x:f>
        <x:v>0</x:v>
      </x:c>
      <x:c r="M745" t="str">
        <x:f>IF(L745&lt;=0,"Payée",IF(G745=0,"Impayée","Partielle"))</x:f>
        <x:v>Payée</x:v>
      </x:c>
      <x:c r="N745" t="n">
        <x:f>IF(I745="","",I745-B745)</x:f>
        <x:v>43</x:v>
      </x:c>
      <x:c r="O745" t="str">
        <x:f>IF(TRIM(C745)&lt;&gt;TRIM(H745),"Oui","Non")</x:f>
        <x:v>Non</x:v>
      </x:c>
      <x:c r="P745" t="str">
        <x:f>IFERROR(INDEX('02_REFERENTIEL_CLIENTS'!$B$2:$B$51,MATCH(TRIM(C745),'02_REFERENTIEL_CLIENTS'!$A$2:$A$51,0)),"Non trouvé")</x:f>
        <x:v>PME</x:v>
      </x:c>
      <x:c r="Q745" t="str">
        <x:f>IFERROR(INDEX('02_REFERENTIEL_CLIENTS'!$C$2:$C$51,MATCH(TRIM(C745),'02_REFERENTIEL_CLIENTS'!$A$2:$A$51,0)),"Non trouvé")</x:f>
        <x:v>Europe</x:v>
      </x:c>
      <x:c r="R745" t="str">
        <x:f>IF(OR(F745&lt;=0,G745&lt;0,G745&gt;F745,N745&lt;0,P745="Non trouvé"),"À vérifier","OK")</x:f>
        <x:v>OK</x:v>
      </x:c>
    </x:row>
    <x:row r="746">
      <x:c r="A746" t="str">
        <x:v>DV-2026-00745</x:v>
      </x:c>
      <x:c r="B746" s="16" t="n">
        <x:v>46055</x:v>
      </x:c>
      <x:c r="C746" t="str">
        <x:v>Client 47</x:v>
      </x:c>
      <x:c r="D746" t="str">
        <x:v>Fret maritime</x:v>
      </x:c>
      <x:c r="E746" t="str">
        <x:v>Pôle D</x:v>
      </x:c>
      <x:c r="F746" s="18" t="n">
        <x:v>24365.62</x:v>
      </x:c>
      <x:c r="G746" s="18" t="n">
        <x:v>0</x:v>
      </x:c>
      <x:c r="H746" t="str">
        <x:v>Client 47</x:v>
      </x:c>
      <x:c r="I746" s="16"/>
      <x:c r="J746" t="n">
        <x:f>YEAR(B746)</x:f>
        <x:v>2026</x:v>
      </x:c>
      <x:c r="K746" s="20" t="n">
        <x:f>DATE(YEAR(B746),MONTH(B746),1)</x:f>
        <x:v>46054</x:v>
      </x:c>
      <x:c r="L746" s="18" t="n">
        <x:f>F746-G746</x:f>
        <x:v>24365.62</x:v>
      </x:c>
      <x:c r="M746" t="str">
        <x:f>IF(L746&lt;=0,"Payée",IF(G746=0,"Impayée","Partielle"))</x:f>
        <x:v>Impayée</x:v>
      </x:c>
      <x:c r="N746" t="str">
        <x:f>IF(I746="","",I746-B746)</x:f>
      </x:c>
      <x:c r="O746" t="str">
        <x:f>IF(TRIM(C746)&lt;&gt;TRIM(H746),"Oui","Non")</x:f>
        <x:v>Non</x:v>
      </x:c>
      <x:c r="P746" t="str">
        <x:f>IFERROR(INDEX('02_REFERENTIEL_CLIENTS'!$B$2:$B$51,MATCH(TRIM(C746),'02_REFERENTIEL_CLIENTS'!$A$2:$A$51,0)),"Non trouvé")</x:f>
        <x:v>PME</x:v>
      </x:c>
      <x:c r="Q746" t="str">
        <x:f>IFERROR(INDEX('02_REFERENTIEL_CLIENTS'!$C$2:$C$51,MATCH(TRIM(C746),'02_REFERENTIEL_CLIENTS'!$A$2:$A$51,0)),"Non trouvé")</x:f>
        <x:v>Europe</x:v>
      </x:c>
      <x:c r="R746" t="str">
        <x:f>IF(OR(F746&lt;=0,G746&lt;0,G746&gt;F746,N746&lt;0,P746="Non trouvé"),"À vérifier","OK")</x:f>
        <x:v>OK</x:v>
      </x:c>
    </x:row>
    <x:row r="747">
      <x:c r="A747" t="str">
        <x:v>DV-2024-00746</x:v>
      </x:c>
      <x:c r="B747" s="16" t="n">
        <x:v>45342</x:v>
      </x:c>
      <x:c r="C747" t="str">
        <x:v>Client 34</x:v>
      </x:c>
      <x:c r="D747" t="str">
        <x:v>Fret maritime</x:v>
      </x:c>
      <x:c r="E747" t="str">
        <x:v>Pôle D</x:v>
      </x:c>
      <x:c r="F747" s="18" t="n">
        <x:v>18236.71</x:v>
      </x:c>
      <x:c r="G747" s="18" t="n">
        <x:v>0</x:v>
      </x:c>
      <x:c r="H747" t="str">
        <x:v>Client 34</x:v>
      </x:c>
      <x:c r="I747" s="16"/>
      <x:c r="J747" t="n">
        <x:f>YEAR(B747)</x:f>
        <x:v>2024</x:v>
      </x:c>
      <x:c r="K747" s="20" t="n">
        <x:f>DATE(YEAR(B747),MONTH(B747),1)</x:f>
        <x:v>45323</x:v>
      </x:c>
      <x:c r="L747" s="18" t="n">
        <x:f>F747-G747</x:f>
        <x:v>18236.71</x:v>
      </x:c>
      <x:c r="M747" t="str">
        <x:f>IF(L747&lt;=0,"Payée",IF(G747=0,"Impayée","Partielle"))</x:f>
        <x:v>Impayée</x:v>
      </x:c>
      <x:c r="N747" t="str">
        <x:f>IF(I747="","",I747-B747)</x:f>
      </x:c>
      <x:c r="O747" t="str">
        <x:f>IF(TRIM(C747)&lt;&gt;TRIM(H747),"Oui","Non")</x:f>
        <x:v>Non</x:v>
      </x:c>
      <x:c r="P747" t="str">
        <x:f>IFERROR(INDEX('02_REFERENTIEL_CLIENTS'!$B$2:$B$51,MATCH(TRIM(C747),'02_REFERENTIEL_CLIENTS'!$A$2:$A$51,0)),"Non trouvé")</x:f>
        <x:v>Grands comptes</x:v>
      </x:c>
      <x:c r="Q747" t="str">
        <x:f>IFERROR(INDEX('02_REFERENTIEL_CLIENTS'!$C$2:$C$51,MATCH(TRIM(C747),'02_REFERENTIEL_CLIENTS'!$A$2:$A$51,0)),"Non trouvé")</x:f>
        <x:v>France</x:v>
      </x:c>
      <x:c r="R747" t="str">
        <x:f>IF(OR(F747&lt;=0,G747&lt;0,G747&gt;F747,N747&lt;0,P747="Non trouvé"),"À vérifier","OK")</x:f>
        <x:v>OK</x:v>
      </x:c>
    </x:row>
    <x:row r="748">
      <x:c r="A748" t="str">
        <x:v>DV-2025-00747</x:v>
      </x:c>
      <x:c r="B748" s="16" t="n">
        <x:v>45853</x:v>
      </x:c>
      <x:c r="C748" t="str">
        <x:v>Client 12</x:v>
      </x:c>
      <x:c r="D748" t="str">
        <x:v>Express</x:v>
      </x:c>
      <x:c r="E748" t="str">
        <x:v>Pôle D</x:v>
      </x:c>
      <x:c r="F748" s="18" t="n">
        <x:v>22789.93</x:v>
      </x:c>
      <x:c r="G748" s="18" t="n">
        <x:v>22789.93</x:v>
      </x:c>
      <x:c r="H748" t="str">
        <x:v>Client 12</x:v>
      </x:c>
      <x:c r="I748" s="16" t="n">
        <x:v>45879</x:v>
      </x:c>
      <x:c r="J748" t="n">
        <x:f>YEAR(B748)</x:f>
        <x:v>2025</x:v>
      </x:c>
      <x:c r="K748" s="20" t="n">
        <x:f>DATE(YEAR(B748),MONTH(B748),1)</x:f>
        <x:v>45839</x:v>
      </x:c>
      <x:c r="L748" s="18" t="n">
        <x:f>F748-G748</x:f>
        <x:v>0</x:v>
      </x:c>
      <x:c r="M748" t="str">
        <x:f>IF(L748&lt;=0,"Payée",IF(G748=0,"Impayée","Partielle"))</x:f>
        <x:v>Payée</x:v>
      </x:c>
      <x:c r="N748" t="n">
        <x:f>IF(I748="","",I748-B748)</x:f>
        <x:v>26</x:v>
      </x:c>
      <x:c r="O748" t="str">
        <x:f>IF(TRIM(C748)&lt;&gt;TRIM(H748),"Oui","Non")</x:f>
        <x:v>Non</x:v>
      </x:c>
      <x:c r="P748" t="str">
        <x:f>IFERROR(INDEX('02_REFERENTIEL_CLIENTS'!$B$2:$B$51,MATCH(TRIM(C748),'02_REFERENTIEL_CLIENTS'!$A$2:$A$51,0)),"Non trouvé")</x:f>
        <x:v>Particuliers</x:v>
      </x:c>
      <x:c r="Q748" t="str">
        <x:f>IFERROR(INDEX('02_REFERENTIEL_CLIENTS'!$C$2:$C$51,MATCH(TRIM(C748),'02_REFERENTIEL_CLIENTS'!$A$2:$A$51,0)),"Non trouvé")</x:f>
        <x:v>International</x:v>
      </x:c>
      <x:c r="R748" t="str">
        <x:f>IF(OR(F748&lt;=0,G748&lt;0,G748&gt;F748,N748&lt;0,P748="Non trouvé"),"À vérifier","OK")</x:f>
        <x:v>OK</x:v>
      </x:c>
    </x:row>
    <x:row r="749">
      <x:c r="A749" t="str">
        <x:v>DV-2025-00748</x:v>
      </x:c>
      <x:c r="B749" s="16" t="n">
        <x:v>45884</x:v>
      </x:c>
      <x:c r="C749" t="str">
        <x:v>Client 03</x:v>
      </x:c>
      <x:c r="D749" t="str">
        <x:v>Fret maritime</x:v>
      </x:c>
      <x:c r="E749" t="str">
        <x:v>Pôle D</x:v>
      </x:c>
      <x:c r="F749" s="18" t="n">
        <x:v>5144.07</x:v>
      </x:c>
      <x:c r="G749" s="18" t="n">
        <x:v>5144.07</x:v>
      </x:c>
      <x:c r="H749" t="str">
        <x:v>Client 03</x:v>
      </x:c>
      <x:c r="I749" s="16" t="n">
        <x:v>45895</x:v>
      </x:c>
      <x:c r="J749" t="n">
        <x:f>YEAR(B749)</x:f>
        <x:v>2025</x:v>
      </x:c>
      <x:c r="K749" s="20" t="n">
        <x:f>DATE(YEAR(B749),MONTH(B749),1)</x:f>
        <x:v>45870</x:v>
      </x:c>
      <x:c r="L749" s="18" t="n">
        <x:f>F749-G749</x:f>
        <x:v>0</x:v>
      </x:c>
      <x:c r="M749" t="str">
        <x:f>IF(L749&lt;=0,"Payée",IF(G749=0,"Impayée","Partielle"))</x:f>
        <x:v>Payée</x:v>
      </x:c>
      <x:c r="N749" t="n">
        <x:f>IF(I749="","",I749-B749)</x:f>
        <x:v>11</x:v>
      </x:c>
      <x:c r="O749" t="str">
        <x:f>IF(TRIM(C749)&lt;&gt;TRIM(H749),"Oui","Non")</x:f>
        <x:v>Non</x:v>
      </x:c>
      <x:c r="P749" t="str">
        <x:f>IFERROR(INDEX('02_REFERENTIEL_CLIENTS'!$B$2:$B$51,MATCH(TRIM(C749),'02_REFERENTIEL_CLIENTS'!$A$2:$A$51,0)),"Non trouvé")</x:f>
        <x:v>Particuliers</x:v>
      </x:c>
      <x:c r="Q749" t="str">
        <x:f>IFERROR(INDEX('02_REFERENTIEL_CLIENTS'!$C$2:$C$51,MATCH(TRIM(C749),'02_REFERENTIEL_CLIENTS'!$A$2:$A$51,0)),"Non trouvé")</x:f>
        <x:v>International</x:v>
      </x:c>
      <x:c r="R749" t="str">
        <x:f>IF(OR(F749&lt;=0,G749&lt;0,G749&gt;F749,N749&lt;0,P749="Non trouvé"),"À vérifier","OK")</x:f>
        <x:v>OK</x:v>
      </x:c>
    </x:row>
    <x:row r="750">
      <x:c r="A750" t="str">
        <x:v>DV-2025-00749</x:v>
      </x:c>
      <x:c r="B750" s="16" t="n">
        <x:v>45777</x:v>
      </x:c>
      <x:c r="C750" t="str">
        <x:v>Client 33</x:v>
      </x:c>
      <x:c r="D750" t="str">
        <x:v>Express</x:v>
      </x:c>
      <x:c r="E750" t="str">
        <x:v>Pôle E</x:v>
      </x:c>
      <x:c r="F750" s="18" t="n">
        <x:v>1239.12</x:v>
      </x:c>
      <x:c r="G750" s="18" t="n">
        <x:v>1239.12</x:v>
      </x:c>
      <x:c r="H750" t="str">
        <x:v>Client 33</x:v>
      </x:c>
      <x:c r="I750" s="16" t="n">
        <x:v>45864</x:v>
      </x:c>
      <x:c r="J750" t="n">
        <x:f>YEAR(B750)</x:f>
        <x:v>2025</x:v>
      </x:c>
      <x:c r="K750" s="20" t="n">
        <x:f>DATE(YEAR(B750),MONTH(B750),1)</x:f>
        <x:v>45748</x:v>
      </x:c>
      <x:c r="L750" s="18" t="n">
        <x:f>F750-G750</x:f>
        <x:v>0</x:v>
      </x:c>
      <x:c r="M750" t="str">
        <x:f>IF(L750&lt;=0,"Payée",IF(G750=0,"Impayée","Partielle"))</x:f>
        <x:v>Payée</x:v>
      </x:c>
      <x:c r="N750" t="n">
        <x:f>IF(I750="","",I750-B750)</x:f>
        <x:v>87</x:v>
      </x:c>
      <x:c r="O750" t="str">
        <x:f>IF(TRIM(C750)&lt;&gt;TRIM(H750),"Oui","Non")</x:f>
        <x:v>Non</x:v>
      </x:c>
      <x:c r="P750" t="str">
        <x:f>IFERROR(INDEX('02_REFERENTIEL_CLIENTS'!$B$2:$B$51,MATCH(TRIM(C750),'02_REFERENTIEL_CLIENTS'!$A$2:$A$51,0)),"Non trouvé")</x:f>
        <x:v>Particuliers</x:v>
      </x:c>
      <x:c r="Q750" t="str">
        <x:f>IFERROR(INDEX('02_REFERENTIEL_CLIENTS'!$C$2:$C$51,MATCH(TRIM(C750),'02_REFERENTIEL_CLIENTS'!$A$2:$A$51,0)),"Non trouvé")</x:f>
        <x:v>International</x:v>
      </x:c>
      <x:c r="R750" t="str">
        <x:f>IF(OR(F750&lt;=0,G750&lt;0,G750&gt;F750,N750&lt;0,P750="Non trouvé"),"À vérifier","OK")</x:f>
        <x:v>OK</x:v>
      </x:c>
    </x:row>
    <x:row r="751">
      <x:c r="A751" t="str">
        <x:v>DV-2024-00750</x:v>
      </x:c>
      <x:c r="B751" s="16" t="n">
        <x:v>45387</x:v>
      </x:c>
      <x:c r="C751" t="str">
        <x:v>Client 17</x:v>
      </x:c>
      <x:c r="D751" t="str">
        <x:v>Douane</x:v>
      </x:c>
      <x:c r="E751" t="str">
        <x:v>Pôle E</x:v>
      </x:c>
      <x:c r="F751" s="18" t="n">
        <x:v>21604.65</x:v>
      </x:c>
      <x:c r="G751" s="18" t="n">
        <x:v>21604.65</x:v>
      </x:c>
      <x:c r="H751" t="str">
        <x:v>Client 11</x:v>
      </x:c>
      <x:c r="I751" s="16" t="n">
        <x:v>45430</x:v>
      </x:c>
      <x:c r="J751" t="n">
        <x:f>YEAR(B751)</x:f>
        <x:v>2024</x:v>
      </x:c>
      <x:c r="K751" s="20" t="n">
        <x:f>DATE(YEAR(B751),MONTH(B751),1)</x:f>
        <x:v>45383</x:v>
      </x:c>
      <x:c r="L751" s="18" t="n">
        <x:f>F751-G751</x:f>
        <x:v>0</x:v>
      </x:c>
      <x:c r="M751" t="str">
        <x:f>IF(L751&lt;=0,"Payée",IF(G751=0,"Impayée","Partielle"))</x:f>
        <x:v>Payée</x:v>
      </x:c>
      <x:c r="N751" t="n">
        <x:f>IF(I751="","",I751-B751)</x:f>
        <x:v>43</x:v>
      </x:c>
      <x:c r="O751" t="str">
        <x:f>IF(TRIM(C751)&lt;&gt;TRIM(H751),"Oui","Non")</x:f>
        <x:v>Oui</x:v>
      </x:c>
      <x:c r="P751" t="str">
        <x:f>IFERROR(INDEX('02_REFERENTIEL_CLIENTS'!$B$2:$B$51,MATCH(TRIM(C751),'02_REFERENTIEL_CLIENTS'!$A$2:$A$51,0)),"Non trouvé")</x:f>
        <x:v>PME</x:v>
      </x:c>
      <x:c r="Q751" t="str">
        <x:f>IFERROR(INDEX('02_REFERENTIEL_CLIENTS'!$C$2:$C$51,MATCH(TRIM(C751),'02_REFERENTIEL_CLIENTS'!$A$2:$A$51,0)),"Non trouvé")</x:f>
        <x:v>Europe</x:v>
      </x:c>
      <x:c r="R751" t="str">
        <x:f>IF(OR(F751&lt;=0,G751&lt;0,G751&gt;F751,N751&lt;0,P751="Non trouvé"),"À vérifier","OK")</x:f>
        <x:v>OK</x:v>
      </x:c>
    </x:row>
    <x:row r="752">
      <x:c r="A752" t="str">
        <x:v>DV-2024-00751</x:v>
      </x:c>
      <x:c r="B752" s="16" t="n">
        <x:v>45356</x:v>
      </x:c>
      <x:c r="C752" t="str">
        <x:v>Client 07</x:v>
      </x:c>
      <x:c r="D752" t="str">
        <x:v>Fret maritime</x:v>
      </x:c>
      <x:c r="E752" t="str">
        <x:v>Pôle A</x:v>
      </x:c>
      <x:c r="F752" s="18" t="n">
        <x:v>20710.54</x:v>
      </x:c>
      <x:c r="G752" s="18" t="n">
        <x:v>20710.54</x:v>
      </x:c>
      <x:c r="H752" t="str">
        <x:v>Client 11</x:v>
      </x:c>
      <x:c r="I752" s="16" t="n">
        <x:v>45374</x:v>
      </x:c>
      <x:c r="J752" t="n">
        <x:f>YEAR(B752)</x:f>
        <x:v>2024</x:v>
      </x:c>
      <x:c r="K752" s="20" t="n">
        <x:f>DATE(YEAR(B752),MONTH(B752),1)</x:f>
        <x:v>45352</x:v>
      </x:c>
      <x:c r="L752" s="18" t="n">
        <x:f>F752-G752</x:f>
        <x:v>0</x:v>
      </x:c>
      <x:c r="M752" t="str">
        <x:f>IF(L752&lt;=0,"Payée",IF(G752=0,"Impayée","Partielle"))</x:f>
        <x:v>Payée</x:v>
      </x:c>
      <x:c r="N752" t="n">
        <x:f>IF(I752="","",I752-B752)</x:f>
        <x:v>18</x:v>
      </x:c>
      <x:c r="O752" t="str">
        <x:f>IF(TRIM(C752)&lt;&gt;TRIM(H752),"Oui","Non")</x:f>
        <x:v>Oui</x:v>
      </x:c>
      <x:c r="P752" t="str">
        <x:f>IFERROR(INDEX('02_REFERENTIEL_CLIENTS'!$B$2:$B$51,MATCH(TRIM(C752),'02_REFERENTIEL_CLIENTS'!$A$2:$A$51,0)),"Non trouvé")</x:f>
        <x:v>Grands comptes</x:v>
      </x:c>
      <x:c r="Q752" t="str">
        <x:f>IFERROR(INDEX('02_REFERENTIEL_CLIENTS'!$C$2:$C$51,MATCH(TRIM(C752),'02_REFERENTIEL_CLIENTS'!$A$2:$A$51,0)),"Non trouvé")</x:f>
        <x:v>France</x:v>
      </x:c>
      <x:c r="R752" t="str">
        <x:f>IF(OR(F752&lt;=0,G752&lt;0,G752&gt;F752,N752&lt;0,P752="Non trouvé"),"À vérifier","OK")</x:f>
        <x:v>OK</x:v>
      </x:c>
    </x:row>
    <x:row r="753">
      <x:c r="A753" t="str">
        <x:v>DV-2024-00752</x:v>
      </x:c>
      <x:c r="B753" s="16" t="n">
        <x:v>45518</x:v>
      </x:c>
      <x:c r="C753" t="str">
        <x:v>Client 43</x:v>
      </x:c>
      <x:c r="D753" t="str">
        <x:v>Fret maritime</x:v>
      </x:c>
      <x:c r="E753" t="str">
        <x:v>Pôle B</x:v>
      </x:c>
      <x:c r="F753" s="18" t="n">
        <x:v>23338.82</x:v>
      </x:c>
      <x:c r="G753" s="18" t="n">
        <x:v>23338.82</x:v>
      </x:c>
      <x:c r="H753" t="str">
        <x:v>Client 43</x:v>
      </x:c>
      <x:c r="I753" s="16" t="n">
        <x:v>45590</x:v>
      </x:c>
      <x:c r="J753" t="n">
        <x:f>YEAR(B753)</x:f>
        <x:v>2024</x:v>
      </x:c>
      <x:c r="K753" s="20" t="n">
        <x:f>DATE(YEAR(B753),MONTH(B753),1)</x:f>
        <x:v>45505</x:v>
      </x:c>
      <x:c r="L753" s="18" t="n">
        <x:f>F753-G753</x:f>
        <x:v>0</x:v>
      </x:c>
      <x:c r="M753" t="str">
        <x:f>IF(L753&lt;=0,"Payée",IF(G753=0,"Impayée","Partielle"))</x:f>
        <x:v>Payée</x:v>
      </x:c>
      <x:c r="N753" t="n">
        <x:f>IF(I753="","",I753-B753)</x:f>
        <x:v>72</x:v>
      </x:c>
      <x:c r="O753" t="str">
        <x:f>IF(TRIM(C753)&lt;&gt;TRIM(H753),"Oui","Non")</x:f>
        <x:v>Non</x:v>
      </x:c>
      <x:c r="P753" t="str">
        <x:f>IFERROR(INDEX('02_REFERENTIEL_CLIENTS'!$B$2:$B$51,MATCH(TRIM(C753),'02_REFERENTIEL_CLIENTS'!$A$2:$A$51,0)),"Non trouvé")</x:f>
        <x:v>Grands comptes</x:v>
      </x:c>
      <x:c r="Q753" t="str">
        <x:f>IFERROR(INDEX('02_REFERENTIEL_CLIENTS'!$C$2:$C$51,MATCH(TRIM(C753),'02_REFERENTIEL_CLIENTS'!$A$2:$A$51,0)),"Non trouvé")</x:f>
        <x:v>France</x:v>
      </x:c>
      <x:c r="R753" t="str">
        <x:f>IF(OR(F753&lt;=0,G753&lt;0,G753&gt;F753,N753&lt;0,P753="Non trouvé"),"À vérifier","OK")</x:f>
        <x:v>OK</x:v>
      </x:c>
    </x:row>
    <x:row r="754">
      <x:c r="A754" t="str">
        <x:v>DV-2025-00753</x:v>
      </x:c>
      <x:c r="B754" s="16" t="n">
        <x:v>45871</x:v>
      </x:c>
      <x:c r="C754" t="str">
        <x:v>Client 21</x:v>
      </x:c>
      <x:c r="D754" t="str">
        <x:v>Logistique</x:v>
      </x:c>
      <x:c r="E754" t="str">
        <x:v>Pôle C</x:v>
      </x:c>
      <x:c r="F754" s="18" t="n">
        <x:v>7011.42</x:v>
      </x:c>
      <x:c r="G754" s="18" t="n">
        <x:v>7011.42</x:v>
      </x:c>
      <x:c r="H754" t="str">
        <x:v>Client 35</x:v>
      </x:c>
      <x:c r="I754" s="16" t="n">
        <x:v>45927</x:v>
      </x:c>
      <x:c r="J754" t="n">
        <x:f>YEAR(B754)</x:f>
        <x:v>2025</x:v>
      </x:c>
      <x:c r="K754" s="20" t="n">
        <x:f>DATE(YEAR(B754),MONTH(B754),1)</x:f>
        <x:v>45870</x:v>
      </x:c>
      <x:c r="L754" s="18" t="n">
        <x:f>F754-G754</x:f>
        <x:v>0</x:v>
      </x:c>
      <x:c r="M754" t="str">
        <x:f>IF(L754&lt;=0,"Payée",IF(G754=0,"Impayée","Partielle"))</x:f>
        <x:v>Payée</x:v>
      </x:c>
      <x:c r="N754" t="n">
        <x:f>IF(I754="","",I754-B754)</x:f>
        <x:v>56</x:v>
      </x:c>
      <x:c r="O754" t="str">
        <x:f>IF(TRIM(C754)&lt;&gt;TRIM(H754),"Oui","Non")</x:f>
        <x:v>Oui</x:v>
      </x:c>
      <x:c r="P754" t="str">
        <x:f>IFERROR(INDEX('02_REFERENTIEL_CLIENTS'!$B$2:$B$51,MATCH(TRIM(C754),'02_REFERENTIEL_CLIENTS'!$A$2:$A$51,0)),"Non trouvé")</x:f>
        <x:v>Particuliers</x:v>
      </x:c>
      <x:c r="Q754" t="str">
        <x:f>IFERROR(INDEX('02_REFERENTIEL_CLIENTS'!$C$2:$C$51,MATCH(TRIM(C754),'02_REFERENTIEL_CLIENTS'!$A$2:$A$51,0)),"Non trouvé")</x:f>
        <x:v>International</x:v>
      </x:c>
      <x:c r="R754" t="str">
        <x:f>IF(OR(F754&lt;=0,G754&lt;0,G754&gt;F754,N754&lt;0,P754="Non trouvé"),"À vérifier","OK")</x:f>
        <x:v>OK</x:v>
      </x:c>
    </x:row>
    <x:row r="755">
      <x:c r="A755" t="str">
        <x:v>DV-2026-00754</x:v>
      </x:c>
      <x:c r="B755" s="16" t="n">
        <x:v>46089</x:v>
      </x:c>
      <x:c r="C755" t="str">
        <x:v>Client 45</x:v>
      </x:c>
      <x:c r="D755" t="str">
        <x:v>Logistique</x:v>
      </x:c>
      <x:c r="E755" t="str">
        <x:v>Pôle B</x:v>
      </x:c>
      <x:c r="F755" s="18" t="n">
        <x:v>9113.98</x:v>
      </x:c>
      <x:c r="G755" s="18" t="n">
        <x:v>9113.98</x:v>
      </x:c>
      <x:c r="H755" t="str">
        <x:v>Client 16</x:v>
      </x:c>
      <x:c r="I755" s="16" t="n">
        <x:v>46152</x:v>
      </x:c>
      <x:c r="J755" t="n">
        <x:f>YEAR(B755)</x:f>
        <x:v>2026</x:v>
      </x:c>
      <x:c r="K755" s="20" t="n">
        <x:f>DATE(YEAR(B755),MONTH(B755),1)</x:f>
        <x:v>46082</x:v>
      </x:c>
      <x:c r="L755" s="18" t="n">
        <x:f>F755-G755</x:f>
        <x:v>0</x:v>
      </x:c>
      <x:c r="M755" t="str">
        <x:f>IF(L755&lt;=0,"Payée",IF(G755=0,"Impayée","Partielle"))</x:f>
        <x:v>Payée</x:v>
      </x:c>
      <x:c r="N755" t="n">
        <x:f>IF(I755="","",I755-B755)</x:f>
        <x:v>63</x:v>
      </x:c>
      <x:c r="O755" t="str">
        <x:f>IF(TRIM(C755)&lt;&gt;TRIM(H755),"Oui","Non")</x:f>
        <x:v>Oui</x:v>
      </x:c>
      <x:c r="P755" t="str">
        <x:f>IFERROR(INDEX('02_REFERENTIEL_CLIENTS'!$B$2:$B$51,MATCH(TRIM(C755),'02_REFERENTIEL_CLIENTS'!$A$2:$A$51,0)),"Non trouvé")</x:f>
        <x:v>Particuliers</x:v>
      </x:c>
      <x:c r="Q755" t="str">
        <x:f>IFERROR(INDEX('02_REFERENTIEL_CLIENTS'!$C$2:$C$51,MATCH(TRIM(C755),'02_REFERENTIEL_CLIENTS'!$A$2:$A$51,0)),"Non trouvé")</x:f>
        <x:v>International</x:v>
      </x:c>
      <x:c r="R755" t="str">
        <x:f>IF(OR(F755&lt;=0,G755&lt;0,G755&gt;F755,N755&lt;0,P755="Non trouvé"),"À vérifier","OK")</x:f>
        <x:v>OK</x:v>
      </x:c>
    </x:row>
    <x:row r="756">
      <x:c r="A756" t="str">
        <x:v>DV-2024-00755</x:v>
      </x:c>
      <x:c r="B756" s="16" t="n">
        <x:v>45465</x:v>
      </x:c>
      <x:c r="C756" t="str">
        <x:v>Client 28</x:v>
      </x:c>
      <x:c r="D756" t="str">
        <x:v>Logistique</x:v>
      </x:c>
      <x:c r="E756" t="str">
        <x:v>Pôle B</x:v>
      </x:c>
      <x:c r="F756" s="18" t="n">
        <x:v>3618.95</x:v>
      </x:c>
      <x:c r="G756" s="18" t="n">
        <x:v>3618.95</x:v>
      </x:c>
      <x:c r="H756" t="str">
        <x:v>Client 28</x:v>
      </x:c>
      <x:c r="I756" s="16" t="n">
        <x:v>45554</x:v>
      </x:c>
      <x:c r="J756" t="n">
        <x:f>YEAR(B756)</x:f>
        <x:v>2024</x:v>
      </x:c>
      <x:c r="K756" s="20" t="n">
        <x:f>DATE(YEAR(B756),MONTH(B756),1)</x:f>
        <x:v>45444</x:v>
      </x:c>
      <x:c r="L756" s="18" t="n">
        <x:f>F756-G756</x:f>
        <x:v>0</x:v>
      </x:c>
      <x:c r="M756" t="str">
        <x:f>IF(L756&lt;=0,"Payée",IF(G756=0,"Impayée","Partielle"))</x:f>
        <x:v>Payée</x:v>
      </x:c>
      <x:c r="N756" t="n">
        <x:f>IF(I756="","",I756-B756)</x:f>
        <x:v>89</x:v>
      </x:c>
      <x:c r="O756" t="str">
        <x:f>IF(TRIM(C756)&lt;&gt;TRIM(H756),"Oui","Non")</x:f>
        <x:v>Non</x:v>
      </x:c>
      <x:c r="P756" t="str">
        <x:f>IFERROR(INDEX('02_REFERENTIEL_CLIENTS'!$B$2:$B$51,MATCH(TRIM(C756),'02_REFERENTIEL_CLIENTS'!$A$2:$A$51,0)),"Non trouvé")</x:f>
        <x:v>Grands comptes</x:v>
      </x:c>
      <x:c r="Q756" t="str">
        <x:f>IFERROR(INDEX('02_REFERENTIEL_CLIENTS'!$C$2:$C$51,MATCH(TRIM(C756),'02_REFERENTIEL_CLIENTS'!$A$2:$A$51,0)),"Non trouvé")</x:f>
        <x:v>France</x:v>
      </x:c>
      <x:c r="R756" t="str">
        <x:f>IF(OR(F756&lt;=0,G756&lt;0,G756&gt;F756,N756&lt;0,P756="Non trouvé"),"À vérifier","OK")</x:f>
        <x:v>OK</x:v>
      </x:c>
    </x:row>
    <x:row r="757">
      <x:c r="A757" t="str">
        <x:v>DV-2024-00756</x:v>
      </x:c>
      <x:c r="B757" s="16" t="n">
        <x:v>45543</x:v>
      </x:c>
      <x:c r="C757" t="str">
        <x:v>Client 20</x:v>
      </x:c>
      <x:c r="D757" t="str">
        <x:v>Logistique</x:v>
      </x:c>
      <x:c r="E757" t="str">
        <x:v>Pôle C</x:v>
      </x:c>
      <x:c r="F757" s="18" t="n">
        <x:v>18940.68</x:v>
      </x:c>
      <x:c r="G757" s="18" t="n">
        <x:v>18940.68</x:v>
      </x:c>
      <x:c r="H757" t="str">
        <x:v>Client 20</x:v>
      </x:c>
      <x:c r="I757" s="16" t="n">
        <x:v>45546</x:v>
      </x:c>
      <x:c r="J757" t="n">
        <x:f>YEAR(B757)</x:f>
        <x:v>2024</x:v>
      </x:c>
      <x:c r="K757" s="20" t="n">
        <x:f>DATE(YEAR(B757),MONTH(B757),1)</x:f>
        <x:v>45536</x:v>
      </x:c>
      <x:c r="L757" s="18" t="n">
        <x:f>F757-G757</x:f>
        <x:v>0</x:v>
      </x:c>
      <x:c r="M757" t="str">
        <x:f>IF(L757&lt;=0,"Payée",IF(G757=0,"Impayée","Partielle"))</x:f>
        <x:v>Payée</x:v>
      </x:c>
      <x:c r="N757" t="n">
        <x:f>IF(I757="","",I757-B757)</x:f>
        <x:v>3</x:v>
      </x:c>
      <x:c r="O757" t="str">
        <x:f>IF(TRIM(C757)&lt;&gt;TRIM(H757),"Oui","Non")</x:f>
        <x:v>Non</x:v>
      </x:c>
      <x:c r="P757" t="str">
        <x:f>IFERROR(INDEX('02_REFERENTIEL_CLIENTS'!$B$2:$B$51,MATCH(TRIM(C757),'02_REFERENTIEL_CLIENTS'!$A$2:$A$51,0)),"Non trouvé")</x:f>
        <x:v>PME</x:v>
      </x:c>
      <x:c r="Q757" t="str">
        <x:f>IFERROR(INDEX('02_REFERENTIEL_CLIENTS'!$C$2:$C$51,MATCH(TRIM(C757),'02_REFERENTIEL_CLIENTS'!$A$2:$A$51,0)),"Non trouvé")</x:f>
        <x:v>Europe</x:v>
      </x:c>
      <x:c r="R757" t="str">
        <x:f>IF(OR(F757&lt;=0,G757&lt;0,G757&gt;F757,N757&lt;0,P757="Non trouvé"),"À vérifier","OK")</x:f>
        <x:v>OK</x:v>
      </x:c>
    </x:row>
    <x:row r="758">
      <x:c r="A758" t="str">
        <x:v>DV-2025-00757</x:v>
      </x:c>
      <x:c r="B758" s="16" t="n">
        <x:v>45802</x:v>
      </x:c>
      <x:c r="C758" t="str">
        <x:v>Client 02</x:v>
      </x:c>
      <x:c r="D758" t="str">
        <x:v>Logistique</x:v>
      </x:c>
      <x:c r="E758" t="str">
        <x:v>Pôle E</x:v>
      </x:c>
      <x:c r="F758" s="18" t="n">
        <x:v>12165.3</x:v>
      </x:c>
      <x:c r="G758" s="18" t="n">
        <x:v>12165.3</x:v>
      </x:c>
      <x:c r="H758" t="str">
        <x:v>Client 02</x:v>
      </x:c>
      <x:c r="I758" s="16" t="n">
        <x:v>45804</x:v>
      </x:c>
      <x:c r="J758" t="n">
        <x:f>YEAR(B758)</x:f>
        <x:v>2025</x:v>
      </x:c>
      <x:c r="K758" s="20" t="n">
        <x:f>DATE(YEAR(B758),MONTH(B758),1)</x:f>
        <x:v>45778</x:v>
      </x:c>
      <x:c r="L758" s="18" t="n">
        <x:f>F758-G758</x:f>
        <x:v>0</x:v>
      </x:c>
      <x:c r="M758" t="str">
        <x:f>IF(L758&lt;=0,"Payée",IF(G758=0,"Impayée","Partielle"))</x:f>
        <x:v>Payée</x:v>
      </x:c>
      <x:c r="N758" t="n">
        <x:f>IF(I758="","",I758-B758)</x:f>
        <x:v>2</x:v>
      </x:c>
      <x:c r="O758" t="str">
        <x:f>IF(TRIM(C758)&lt;&gt;TRIM(H758),"Oui","Non")</x:f>
        <x:v>Non</x:v>
      </x:c>
      <x:c r="P758" t="str">
        <x:f>IFERROR(INDEX('02_REFERENTIEL_CLIENTS'!$B$2:$B$51,MATCH(TRIM(C758),'02_REFERENTIEL_CLIENTS'!$A$2:$A$51,0)),"Non trouvé")</x:f>
        <x:v>PME</x:v>
      </x:c>
      <x:c r="Q758" t="str">
        <x:f>IFERROR(INDEX('02_REFERENTIEL_CLIENTS'!$C$2:$C$51,MATCH(TRIM(C758),'02_REFERENTIEL_CLIENTS'!$A$2:$A$51,0)),"Non trouvé")</x:f>
        <x:v>Europe</x:v>
      </x:c>
      <x:c r="R758" t="str">
        <x:f>IF(OR(F758&lt;=0,G758&lt;0,G758&gt;F758,N758&lt;0,P758="Non trouvé"),"À vérifier","OK")</x:f>
        <x:v>OK</x:v>
      </x:c>
    </x:row>
    <x:row r="759">
      <x:c r="A759" t="str">
        <x:v>DV-2024-00758</x:v>
      </x:c>
      <x:c r="B759" s="16" t="n">
        <x:v>45504</x:v>
      </x:c>
      <x:c r="C759" t="str">
        <x:v>Client 01</x:v>
      </x:c>
      <x:c r="D759" t="str">
        <x:v>Fret maritime</x:v>
      </x:c>
      <x:c r="E759" t="str">
        <x:v>Pôle E</x:v>
      </x:c>
      <x:c r="F759" s="18" t="n">
        <x:v>20496.63</x:v>
      </x:c>
      <x:c r="G759" s="18" t="n">
        <x:v>14808.67</x:v>
      </x:c>
      <x:c r="H759" t="str">
        <x:v>Client 01</x:v>
      </x:c>
      <x:c r="I759" s="16" t="n">
        <x:v>45523</x:v>
      </x:c>
      <x:c r="J759" t="n">
        <x:f>YEAR(B759)</x:f>
        <x:v>2024</x:v>
      </x:c>
      <x:c r="K759" s="20" t="n">
        <x:f>DATE(YEAR(B759),MONTH(B759),1)</x:f>
        <x:v>45474</x:v>
      </x:c>
      <x:c r="L759" s="18" t="n">
        <x:f>F759-G759</x:f>
        <x:v>5687.960000000001</x:v>
      </x:c>
      <x:c r="M759" t="str">
        <x:f>IF(L759&lt;=0,"Payée",IF(G759=0,"Impayée","Partielle"))</x:f>
        <x:v>Partielle</x:v>
      </x:c>
      <x:c r="N759" t="n">
        <x:f>IF(I759="","",I759-B759)</x:f>
        <x:v>19</x:v>
      </x:c>
      <x:c r="O759" t="str">
        <x:f>IF(TRIM(C759)&lt;&gt;TRIM(H759),"Oui","Non")</x:f>
        <x:v>Non</x:v>
      </x:c>
      <x:c r="P759" t="str">
        <x:f>IFERROR(INDEX('02_REFERENTIEL_CLIENTS'!$B$2:$B$51,MATCH(TRIM(C759),'02_REFERENTIEL_CLIENTS'!$A$2:$A$51,0)),"Non trouvé")</x:f>
        <x:v>Grands comptes</x:v>
      </x:c>
      <x:c r="Q759" t="str">
        <x:f>IFERROR(INDEX('02_REFERENTIEL_CLIENTS'!$C$2:$C$51,MATCH(TRIM(C759),'02_REFERENTIEL_CLIENTS'!$A$2:$A$51,0)),"Non trouvé")</x:f>
        <x:v>France</x:v>
      </x:c>
      <x:c r="R759" t="str">
        <x:f>IF(OR(F759&lt;=0,G759&lt;0,G759&gt;F759,N759&lt;0,P759="Non trouvé"),"À vérifier","OK")</x:f>
        <x:v>OK</x:v>
      </x:c>
    </x:row>
    <x:row r="760">
      <x:c r="A760" t="str">
        <x:v>DV-2025-00759</x:v>
      </x:c>
      <x:c r="B760" s="16" t="n">
        <x:v>45884</x:v>
      </x:c>
      <x:c r="C760" t="str">
        <x:v>Client 34</x:v>
      </x:c>
      <x:c r="D760" t="str">
        <x:v>Douane</x:v>
      </x:c>
      <x:c r="E760" t="str">
        <x:v>Pôle C</x:v>
      </x:c>
      <x:c r="F760" s="18" t="n">
        <x:v>3121.93</x:v>
      </x:c>
      <x:c r="G760" s="18" t="n">
        <x:v>3121.93</x:v>
      </x:c>
      <x:c r="H760" t="str">
        <x:v>Client 34</x:v>
      </x:c>
      <x:c r="I760" s="16" t="n">
        <x:v>45936</x:v>
      </x:c>
      <x:c r="J760" t="n">
        <x:f>YEAR(B760)</x:f>
        <x:v>2025</x:v>
      </x:c>
      <x:c r="K760" s="20" t="n">
        <x:f>DATE(YEAR(B760),MONTH(B760),1)</x:f>
        <x:v>45870</x:v>
      </x:c>
      <x:c r="L760" s="18" t="n">
        <x:f>F760-G760</x:f>
        <x:v>0</x:v>
      </x:c>
      <x:c r="M760" t="str">
        <x:f>IF(L760&lt;=0,"Payée",IF(G760=0,"Impayée","Partielle"))</x:f>
        <x:v>Payée</x:v>
      </x:c>
      <x:c r="N760" t="n">
        <x:f>IF(I760="","",I760-B760)</x:f>
        <x:v>52</x:v>
      </x:c>
      <x:c r="O760" t="str">
        <x:f>IF(TRIM(C760)&lt;&gt;TRIM(H760),"Oui","Non")</x:f>
        <x:v>Non</x:v>
      </x:c>
      <x:c r="P760" t="str">
        <x:f>IFERROR(INDEX('02_REFERENTIEL_CLIENTS'!$B$2:$B$51,MATCH(TRIM(C760),'02_REFERENTIEL_CLIENTS'!$A$2:$A$51,0)),"Non trouvé")</x:f>
        <x:v>Grands comptes</x:v>
      </x:c>
      <x:c r="Q760" t="str">
        <x:f>IFERROR(INDEX('02_REFERENTIEL_CLIENTS'!$C$2:$C$51,MATCH(TRIM(C760),'02_REFERENTIEL_CLIENTS'!$A$2:$A$51,0)),"Non trouvé")</x:f>
        <x:v>France</x:v>
      </x:c>
      <x:c r="R760" t="str">
        <x:f>IF(OR(F760&lt;=0,G760&lt;0,G760&gt;F760,N760&lt;0,P760="Non trouvé"),"À vérifier","OK")</x:f>
        <x:v>OK</x:v>
      </x:c>
    </x:row>
    <x:row r="761">
      <x:c r="A761" t="str">
        <x:v>DV-2026-00760</x:v>
      </x:c>
      <x:c r="B761" s="16" t="n">
        <x:v>46133</x:v>
      </x:c>
      <x:c r="C761" t="str">
        <x:v>Client 46</x:v>
      </x:c>
      <x:c r="D761" t="str">
        <x:v>Logistique</x:v>
      </x:c>
      <x:c r="E761" t="str">
        <x:v>Pôle D</x:v>
      </x:c>
      <x:c r="F761" s="18" t="n">
        <x:v>6883.21</x:v>
      </x:c>
      <x:c r="G761" s="18" t="n">
        <x:v>6883.21</x:v>
      </x:c>
      <x:c r="H761" t="str">
        <x:v>Client 15</x:v>
      </x:c>
      <x:c r="I761" s="16" t="n">
        <x:v>46182</x:v>
      </x:c>
      <x:c r="J761" t="n">
        <x:f>YEAR(B761)</x:f>
        <x:v>2026</x:v>
      </x:c>
      <x:c r="K761" s="20" t="n">
        <x:f>DATE(YEAR(B761),MONTH(B761),1)</x:f>
        <x:v>46113</x:v>
      </x:c>
      <x:c r="L761" s="18" t="n">
        <x:f>F761-G761</x:f>
        <x:v>0</x:v>
      </x:c>
      <x:c r="M761" t="str">
        <x:f>IF(L761&lt;=0,"Payée",IF(G761=0,"Impayée","Partielle"))</x:f>
        <x:v>Payée</x:v>
      </x:c>
      <x:c r="N761" t="n">
        <x:f>IF(I761="","",I761-B761)</x:f>
        <x:v>49</x:v>
      </x:c>
      <x:c r="O761" t="str">
        <x:f>IF(TRIM(C761)&lt;&gt;TRIM(H761),"Oui","Non")</x:f>
        <x:v>Oui</x:v>
      </x:c>
      <x:c r="P761" t="str">
        <x:f>IFERROR(INDEX('02_REFERENTIEL_CLIENTS'!$B$2:$B$51,MATCH(TRIM(C761),'02_REFERENTIEL_CLIENTS'!$A$2:$A$51,0)),"Non trouvé")</x:f>
        <x:v>Grands comptes</x:v>
      </x:c>
      <x:c r="Q761" t="str">
        <x:f>IFERROR(INDEX('02_REFERENTIEL_CLIENTS'!$C$2:$C$51,MATCH(TRIM(C761),'02_REFERENTIEL_CLIENTS'!$A$2:$A$51,0)),"Non trouvé")</x:f>
        <x:v>France</x:v>
      </x:c>
      <x:c r="R761" t="str">
        <x:f>IF(OR(F761&lt;=0,G761&lt;0,G761&gt;F761,N761&lt;0,P761="Non trouvé"),"À vérifier","OK")</x:f>
        <x:v>OK</x:v>
      </x:c>
    </x:row>
    <x:row r="762">
      <x:c r="A762" t="str">
        <x:v>DV-2026-00761</x:v>
      </x:c>
      <x:c r="B762" s="16" t="n">
        <x:v>46125</x:v>
      </x:c>
      <x:c r="C762" t="str">
        <x:v>Client 32</x:v>
      </x:c>
      <x:c r="D762" t="str">
        <x:v>Express</x:v>
      </x:c>
      <x:c r="E762" t="str">
        <x:v>Pôle C</x:v>
      </x:c>
      <x:c r="F762" s="18" t="n">
        <x:v>19868.63</x:v>
      </x:c>
      <x:c r="G762" s="18" t="n">
        <x:v>19868.63</x:v>
      </x:c>
      <x:c r="H762" t="str">
        <x:v>Client 32</x:v>
      </x:c>
      <x:c r="I762" s="16" t="n">
        <x:v>46161</x:v>
      </x:c>
      <x:c r="J762" t="n">
        <x:f>YEAR(B762)</x:f>
        <x:v>2026</x:v>
      </x:c>
      <x:c r="K762" s="20" t="n">
        <x:f>DATE(YEAR(B762),MONTH(B762),1)</x:f>
        <x:v>46113</x:v>
      </x:c>
      <x:c r="L762" s="18" t="n">
        <x:f>F762-G762</x:f>
        <x:v>0</x:v>
      </x:c>
      <x:c r="M762" t="str">
        <x:f>IF(L762&lt;=0,"Payée",IF(G762=0,"Impayée","Partielle"))</x:f>
        <x:v>Payée</x:v>
      </x:c>
      <x:c r="N762" t="n">
        <x:f>IF(I762="","",I762-B762)</x:f>
        <x:v>36</x:v>
      </x:c>
      <x:c r="O762" t="str">
        <x:f>IF(TRIM(C762)&lt;&gt;TRIM(H762),"Oui","Non")</x:f>
        <x:v>Non</x:v>
      </x:c>
      <x:c r="P762" t="str">
        <x:f>IFERROR(INDEX('02_REFERENTIEL_CLIENTS'!$B$2:$B$51,MATCH(TRIM(C762),'02_REFERENTIEL_CLIENTS'!$A$2:$A$51,0)),"Non trouvé")</x:f>
        <x:v>PME</x:v>
      </x:c>
      <x:c r="Q762" t="str">
        <x:f>IFERROR(INDEX('02_REFERENTIEL_CLIENTS'!$C$2:$C$51,MATCH(TRIM(C762),'02_REFERENTIEL_CLIENTS'!$A$2:$A$51,0)),"Non trouvé")</x:f>
        <x:v>Europe</x:v>
      </x:c>
      <x:c r="R762" t="str">
        <x:f>IF(OR(F762&lt;=0,G762&lt;0,G762&gt;F762,N762&lt;0,P762="Non trouvé"),"À vérifier","OK")</x:f>
        <x:v>OK</x:v>
      </x:c>
    </x:row>
    <x:row r="763">
      <x:c r="A763" t="str">
        <x:v>DV-2024-00762</x:v>
      </x:c>
      <x:c r="B763" s="16" t="n">
        <x:v>45414</x:v>
      </x:c>
      <x:c r="C763" t="str">
        <x:v>Client 17</x:v>
      </x:c>
      <x:c r="D763" t="str">
        <x:v>Logistique</x:v>
      </x:c>
      <x:c r="E763" t="str">
        <x:v>Pôle E</x:v>
      </x:c>
      <x:c r="F763" s="18" t="n">
        <x:v>11668.14</x:v>
      </x:c>
      <x:c r="G763" s="18" t="n">
        <x:v>11668.14</x:v>
      </x:c>
      <x:c r="H763" t="str">
        <x:v>Client 17</x:v>
      </x:c>
      <x:c r="I763" s="16" t="n">
        <x:v>45456</x:v>
      </x:c>
      <x:c r="J763" t="n">
        <x:f>YEAR(B763)</x:f>
        <x:v>2024</x:v>
      </x:c>
      <x:c r="K763" s="20" t="n">
        <x:f>DATE(YEAR(B763),MONTH(B763),1)</x:f>
        <x:v>45413</x:v>
      </x:c>
      <x:c r="L763" s="18" t="n">
        <x:f>F763-G763</x:f>
        <x:v>0</x:v>
      </x:c>
      <x:c r="M763" t="str">
        <x:f>IF(L763&lt;=0,"Payée",IF(G763=0,"Impayée","Partielle"))</x:f>
        <x:v>Payée</x:v>
      </x:c>
      <x:c r="N763" t="n">
        <x:f>IF(I763="","",I763-B763)</x:f>
        <x:v>42</x:v>
      </x:c>
      <x:c r="O763" t="str">
        <x:f>IF(TRIM(C763)&lt;&gt;TRIM(H763),"Oui","Non")</x:f>
        <x:v>Non</x:v>
      </x:c>
      <x:c r="P763" t="str">
        <x:f>IFERROR(INDEX('02_REFERENTIEL_CLIENTS'!$B$2:$B$51,MATCH(TRIM(C763),'02_REFERENTIEL_CLIENTS'!$A$2:$A$51,0)),"Non trouvé")</x:f>
        <x:v>PME</x:v>
      </x:c>
      <x:c r="Q763" t="str">
        <x:f>IFERROR(INDEX('02_REFERENTIEL_CLIENTS'!$C$2:$C$51,MATCH(TRIM(C763),'02_REFERENTIEL_CLIENTS'!$A$2:$A$51,0)),"Non trouvé")</x:f>
        <x:v>Europe</x:v>
      </x:c>
      <x:c r="R763" t="str">
        <x:f>IF(OR(F763&lt;=0,G763&lt;0,G763&gt;F763,N763&lt;0,P763="Non trouvé"),"À vérifier","OK")</x:f>
        <x:v>OK</x:v>
      </x:c>
    </x:row>
    <x:row r="764">
      <x:c r="A764" t="str">
        <x:v>DV-2024-00763</x:v>
      </x:c>
      <x:c r="B764" s="16" t="n">
        <x:v>45657</x:v>
      </x:c>
      <x:c r="C764" t="str">
        <x:v>Client 14</x:v>
      </x:c>
      <x:c r="D764" t="str">
        <x:v>Douane</x:v>
      </x:c>
      <x:c r="E764" t="str">
        <x:v>Pôle D</x:v>
      </x:c>
      <x:c r="F764" s="18" t="n">
        <x:v>18899.39</x:v>
      </x:c>
      <x:c r="G764" s="18" t="n">
        <x:v>7938.55</x:v>
      </x:c>
      <x:c r="H764" t="str">
        <x:v>Client 47</x:v>
      </x:c>
      <x:c r="I764" s="16" t="n">
        <x:v>45751</x:v>
      </x:c>
      <x:c r="J764" t="n">
        <x:f>YEAR(B764)</x:f>
        <x:v>2024</x:v>
      </x:c>
      <x:c r="K764" s="20" t="n">
        <x:f>DATE(YEAR(B764),MONTH(B764),1)</x:f>
        <x:v>45627</x:v>
      </x:c>
      <x:c r="L764" s="18" t="n">
        <x:f>F764-G764</x:f>
        <x:v>10960.84</x:v>
      </x:c>
      <x:c r="M764" t="str">
        <x:f>IF(L764&lt;=0,"Payée",IF(G764=0,"Impayée","Partielle"))</x:f>
        <x:v>Partielle</x:v>
      </x:c>
      <x:c r="N764" t="n">
        <x:f>IF(I764="","",I764-B764)</x:f>
        <x:v>94</x:v>
      </x:c>
      <x:c r="O764" t="str">
        <x:f>IF(TRIM(C764)&lt;&gt;TRIM(H764),"Oui","Non")</x:f>
        <x:v>Oui</x:v>
      </x:c>
      <x:c r="P764" t="str">
        <x:f>IFERROR(INDEX('02_REFERENTIEL_CLIENTS'!$B$2:$B$51,MATCH(TRIM(C764),'02_REFERENTIEL_CLIENTS'!$A$2:$A$51,0)),"Non trouvé")</x:f>
        <x:v>PME</x:v>
      </x:c>
      <x:c r="Q764" t="str">
        <x:f>IFERROR(INDEX('02_REFERENTIEL_CLIENTS'!$C$2:$C$51,MATCH(TRIM(C764),'02_REFERENTIEL_CLIENTS'!$A$2:$A$51,0)),"Non trouvé")</x:f>
        <x:v>Europe</x:v>
      </x:c>
      <x:c r="R764" t="str">
        <x:f>IF(OR(F764&lt;=0,G764&lt;0,G764&gt;F764,N764&lt;0,P764="Non trouvé"),"À vérifier","OK")</x:f>
        <x:v>OK</x:v>
      </x:c>
    </x:row>
    <x:row r="765">
      <x:c r="A765" t="str">
        <x:v>DV-2024-00764</x:v>
      </x:c>
      <x:c r="B765" s="16" t="n">
        <x:v>45469</x:v>
      </x:c>
      <x:c r="C765" t="str">
        <x:v>Client 46</x:v>
      </x:c>
      <x:c r="D765" t="str">
        <x:v>Fret aérien</x:v>
      </x:c>
      <x:c r="E765" t="str">
        <x:v>Pôle A</x:v>
      </x:c>
      <x:c r="F765" s="18" t="n">
        <x:v>22588.54</x:v>
      </x:c>
      <x:c r="G765" s="18" t="n">
        <x:v>6237.82</x:v>
      </x:c>
      <x:c r="H765" t="str">
        <x:v>Client 46</x:v>
      </x:c>
      <x:c r="I765" s="16" t="n">
        <x:v>45472</x:v>
      </x:c>
      <x:c r="J765" t="n">
        <x:f>YEAR(B765)</x:f>
        <x:v>2024</x:v>
      </x:c>
      <x:c r="K765" s="20" t="n">
        <x:f>DATE(YEAR(B765),MONTH(B765),1)</x:f>
        <x:v>45444</x:v>
      </x:c>
      <x:c r="L765" s="18" t="n">
        <x:f>F765-G765</x:f>
        <x:v>16350.720000000001</x:v>
      </x:c>
      <x:c r="M765" t="str">
        <x:f>IF(L765&lt;=0,"Payée",IF(G765=0,"Impayée","Partielle"))</x:f>
        <x:v>Partielle</x:v>
      </x:c>
      <x:c r="N765" t="n">
        <x:f>IF(I765="","",I765-B765)</x:f>
        <x:v>3</x:v>
      </x:c>
      <x:c r="O765" t="str">
        <x:f>IF(TRIM(C765)&lt;&gt;TRIM(H765),"Oui","Non")</x:f>
        <x:v>Non</x:v>
      </x:c>
      <x:c r="P765" t="str">
        <x:f>IFERROR(INDEX('02_REFERENTIEL_CLIENTS'!$B$2:$B$51,MATCH(TRIM(C765),'02_REFERENTIEL_CLIENTS'!$A$2:$A$51,0)),"Non trouvé")</x:f>
        <x:v>Grands comptes</x:v>
      </x:c>
      <x:c r="Q765" t="str">
        <x:f>IFERROR(INDEX('02_REFERENTIEL_CLIENTS'!$C$2:$C$51,MATCH(TRIM(C765),'02_REFERENTIEL_CLIENTS'!$A$2:$A$51,0)),"Non trouvé")</x:f>
        <x:v>France</x:v>
      </x:c>
      <x:c r="R765" t="str">
        <x:f>IF(OR(F765&lt;=0,G765&lt;0,G765&gt;F765,N765&lt;0,P765="Non trouvé"),"À vérifier","OK")</x:f>
        <x:v>OK</x:v>
      </x:c>
    </x:row>
    <x:row r="766">
      <x:c r="A766" t="str">
        <x:v>DV-2024-00765</x:v>
      </x:c>
      <x:c r="B766" s="16" t="n">
        <x:v>45626</x:v>
      </x:c>
      <x:c r="C766" t="str">
        <x:v>Client 16</x:v>
      </x:c>
      <x:c r="D766" t="str">
        <x:v>Logistique</x:v>
      </x:c>
      <x:c r="E766" t="str">
        <x:v>Pôle A</x:v>
      </x:c>
      <x:c r="F766" s="18" t="n">
        <x:v>7413.39</x:v>
      </x:c>
      <x:c r="G766" s="18" t="n">
        <x:v>7413.39</x:v>
      </x:c>
      <x:c r="H766" t="str">
        <x:v>Client 16</x:v>
      </x:c>
      <x:c r="I766" s="16" t="n">
        <x:v>45656</x:v>
      </x:c>
      <x:c r="J766" t="n">
        <x:f>YEAR(B766)</x:f>
        <x:v>2024</x:v>
      </x:c>
      <x:c r="K766" s="20" t="n">
        <x:f>DATE(YEAR(B766),MONTH(B766),1)</x:f>
        <x:v>45597</x:v>
      </x:c>
      <x:c r="L766" s="18" t="n">
        <x:f>F766-G766</x:f>
        <x:v>0</x:v>
      </x:c>
      <x:c r="M766" t="str">
        <x:f>IF(L766&lt;=0,"Payée",IF(G766=0,"Impayée","Partielle"))</x:f>
        <x:v>Payée</x:v>
      </x:c>
      <x:c r="N766" t="n">
        <x:f>IF(I766="","",I766-B766)</x:f>
        <x:v>30</x:v>
      </x:c>
      <x:c r="O766" t="str">
        <x:f>IF(TRIM(C766)&lt;&gt;TRIM(H766),"Oui","Non")</x:f>
        <x:v>Non</x:v>
      </x:c>
      <x:c r="P766" t="str">
        <x:f>IFERROR(INDEX('02_REFERENTIEL_CLIENTS'!$B$2:$B$51,MATCH(TRIM(C766),'02_REFERENTIEL_CLIENTS'!$A$2:$A$51,0)),"Non trouvé")</x:f>
        <x:v>Grands comptes</x:v>
      </x:c>
      <x:c r="Q766" t="str">
        <x:f>IFERROR(INDEX('02_REFERENTIEL_CLIENTS'!$C$2:$C$51,MATCH(TRIM(C766),'02_REFERENTIEL_CLIENTS'!$A$2:$A$51,0)),"Non trouvé")</x:f>
        <x:v>France</x:v>
      </x:c>
      <x:c r="R766" t="str">
        <x:f>IF(OR(F766&lt;=0,G766&lt;0,G766&gt;F766,N766&lt;0,P766="Non trouvé"),"À vérifier","OK")</x:f>
        <x:v>OK</x:v>
      </x:c>
    </x:row>
    <x:row r="767">
      <x:c r="A767" t="str">
        <x:v>DV-2024-00766</x:v>
      </x:c>
      <x:c r="B767" s="16" t="n">
        <x:v>45575</x:v>
      </x:c>
      <x:c r="C767" t="str">
        <x:v>Client 20</x:v>
      </x:c>
      <x:c r="D767" t="str">
        <x:v>Express</x:v>
      </x:c>
      <x:c r="E767" t="str">
        <x:v>Pôle E</x:v>
      </x:c>
      <x:c r="F767" s="18" t="n">
        <x:v>19674.02</x:v>
      </x:c>
      <x:c r="G767" s="18" t="n">
        <x:v>19674.02</x:v>
      </x:c>
      <x:c r="H767" t="str">
        <x:v>Client 20</x:v>
      </x:c>
      <x:c r="I767" s="16" t="n">
        <x:v>45612</x:v>
      </x:c>
      <x:c r="J767" t="n">
        <x:f>YEAR(B767)</x:f>
        <x:v>2024</x:v>
      </x:c>
      <x:c r="K767" s="20" t="n">
        <x:f>DATE(YEAR(B767),MONTH(B767),1)</x:f>
        <x:v>45566</x:v>
      </x:c>
      <x:c r="L767" s="18" t="n">
        <x:f>F767-G767</x:f>
        <x:v>0</x:v>
      </x:c>
      <x:c r="M767" t="str">
        <x:f>IF(L767&lt;=0,"Payée",IF(G767=0,"Impayée","Partielle"))</x:f>
        <x:v>Payée</x:v>
      </x:c>
      <x:c r="N767" t="n">
        <x:f>IF(I767="","",I767-B767)</x:f>
        <x:v>37</x:v>
      </x:c>
      <x:c r="O767" t="str">
        <x:f>IF(TRIM(C767)&lt;&gt;TRIM(H767),"Oui","Non")</x:f>
        <x:v>Non</x:v>
      </x:c>
      <x:c r="P767" t="str">
        <x:f>IFERROR(INDEX('02_REFERENTIEL_CLIENTS'!$B$2:$B$51,MATCH(TRIM(C767),'02_REFERENTIEL_CLIENTS'!$A$2:$A$51,0)),"Non trouvé")</x:f>
        <x:v>PME</x:v>
      </x:c>
      <x:c r="Q767" t="str">
        <x:f>IFERROR(INDEX('02_REFERENTIEL_CLIENTS'!$C$2:$C$51,MATCH(TRIM(C767),'02_REFERENTIEL_CLIENTS'!$A$2:$A$51,0)),"Non trouvé")</x:f>
        <x:v>Europe</x:v>
      </x:c>
      <x:c r="R767" t="str">
        <x:f>IF(OR(F767&lt;=0,G767&lt;0,G767&gt;F767,N767&lt;0,P767="Non trouvé"),"À vérifier","OK")</x:f>
        <x:v>OK</x:v>
      </x:c>
    </x:row>
    <x:row r="768">
      <x:c r="A768" t="str">
        <x:v>DV-2024-00767</x:v>
      </x:c>
      <x:c r="B768" s="16" t="n">
        <x:v>45476</x:v>
      </x:c>
      <x:c r="C768" t="str">
        <x:v>Client 04</x:v>
      </x:c>
      <x:c r="D768" t="str">
        <x:v>Logistique</x:v>
      </x:c>
      <x:c r="E768" t="str">
        <x:v>Pôle C</x:v>
      </x:c>
      <x:c r="F768" s="18" t="n">
        <x:v>2680.3</x:v>
      </x:c>
      <x:c r="G768" s="18" t="n">
        <x:v>2680.3</x:v>
      </x:c>
      <x:c r="H768" t="str">
        <x:v>Client 04</x:v>
      </x:c>
      <x:c r="I768" s="16" t="n">
        <x:v>45513</x:v>
      </x:c>
      <x:c r="J768" t="n">
        <x:f>YEAR(B768)</x:f>
        <x:v>2024</x:v>
      </x:c>
      <x:c r="K768" s="20" t="n">
        <x:f>DATE(YEAR(B768),MONTH(B768),1)</x:f>
        <x:v>45474</x:v>
      </x:c>
      <x:c r="L768" s="18" t="n">
        <x:f>F768-G768</x:f>
        <x:v>0</x:v>
      </x:c>
      <x:c r="M768" t="str">
        <x:f>IF(L768&lt;=0,"Payée",IF(G768=0,"Impayée","Partielle"))</x:f>
        <x:v>Payée</x:v>
      </x:c>
      <x:c r="N768" t="n">
        <x:f>IF(I768="","",I768-B768)</x:f>
        <x:v>37</x:v>
      </x:c>
      <x:c r="O768" t="str">
        <x:f>IF(TRIM(C768)&lt;&gt;TRIM(H768),"Oui","Non")</x:f>
        <x:v>Non</x:v>
      </x:c>
      <x:c r="P768" t="str">
        <x:f>IFERROR(INDEX('02_REFERENTIEL_CLIENTS'!$B$2:$B$51,MATCH(TRIM(C768),'02_REFERENTIEL_CLIENTS'!$A$2:$A$51,0)),"Non trouvé")</x:f>
        <x:v>Grands comptes</x:v>
      </x:c>
      <x:c r="Q768" t="str">
        <x:f>IFERROR(INDEX('02_REFERENTIEL_CLIENTS'!$C$2:$C$51,MATCH(TRIM(C768),'02_REFERENTIEL_CLIENTS'!$A$2:$A$51,0)),"Non trouvé")</x:f>
        <x:v>France</x:v>
      </x:c>
      <x:c r="R768" t="str">
        <x:f>IF(OR(F768&lt;=0,G768&lt;0,G768&gt;F768,N768&lt;0,P768="Non trouvé"),"À vérifier","OK")</x:f>
        <x:v>OK</x:v>
      </x:c>
    </x:row>
    <x:row r="769">
      <x:c r="A769" t="str">
        <x:v>DV-2024-00768</x:v>
      </x:c>
      <x:c r="B769" s="16" t="n">
        <x:v>45592</x:v>
      </x:c>
      <x:c r="C769" t="str">
        <x:v>Client 08</x:v>
      </x:c>
      <x:c r="D769" t="str">
        <x:v>Douane</x:v>
      </x:c>
      <x:c r="E769" t="str">
        <x:v>Pôle C</x:v>
      </x:c>
      <x:c r="F769" s="18" t="n">
        <x:v>13042.23</x:v>
      </x:c>
      <x:c r="G769" s="18" t="n">
        <x:v>7105.55</x:v>
      </x:c>
      <x:c r="H769" t="str">
        <x:v>Client 08</x:v>
      </x:c>
      <x:c r="I769" s="16" t="n">
        <x:v>45658</x:v>
      </x:c>
      <x:c r="J769" t="n">
        <x:f>YEAR(B769)</x:f>
        <x:v>2024</x:v>
      </x:c>
      <x:c r="K769" s="20" t="n">
        <x:f>DATE(YEAR(B769),MONTH(B769),1)</x:f>
        <x:v>45566</x:v>
      </x:c>
      <x:c r="L769" s="18" t="n">
        <x:f>F769-G769</x:f>
        <x:v>5936.679999999999</x:v>
      </x:c>
      <x:c r="M769" t="str">
        <x:f>IF(L769&lt;=0,"Payée",IF(G769=0,"Impayée","Partielle"))</x:f>
        <x:v>Partielle</x:v>
      </x:c>
      <x:c r="N769" t="n">
        <x:f>IF(I769="","",I769-B769)</x:f>
        <x:v>66</x:v>
      </x:c>
      <x:c r="O769" t="str">
        <x:f>IF(TRIM(C769)&lt;&gt;TRIM(H769),"Oui","Non")</x:f>
        <x:v>Non</x:v>
      </x:c>
      <x:c r="P769" t="str">
        <x:f>IFERROR(INDEX('02_REFERENTIEL_CLIENTS'!$B$2:$B$51,MATCH(TRIM(C769),'02_REFERENTIEL_CLIENTS'!$A$2:$A$51,0)),"Non trouvé")</x:f>
        <x:v>PME</x:v>
      </x:c>
      <x:c r="Q769" t="str">
        <x:f>IFERROR(INDEX('02_REFERENTIEL_CLIENTS'!$C$2:$C$51,MATCH(TRIM(C769),'02_REFERENTIEL_CLIENTS'!$A$2:$A$51,0)),"Non trouvé")</x:f>
        <x:v>Europe</x:v>
      </x:c>
      <x:c r="R769" t="str">
        <x:f>IF(OR(F769&lt;=0,G769&lt;0,G769&gt;F769,N769&lt;0,P769="Non trouvé"),"À vérifier","OK")</x:f>
        <x:v>OK</x:v>
      </x:c>
    </x:row>
    <x:row r="770">
      <x:c r="A770" t="str">
        <x:v>DV-2025-00769</x:v>
      </x:c>
      <x:c r="B770" s="16" t="n">
        <x:v>46002</x:v>
      </x:c>
      <x:c r="C770" t="str">
        <x:v>Client 48</x:v>
      </x:c>
      <x:c r="D770" t="str">
        <x:v>Douane</x:v>
      </x:c>
      <x:c r="E770" t="str">
        <x:v>Pôle B</x:v>
      </x:c>
      <x:c r="F770" s="18" t="n">
        <x:v>3578.13</x:v>
      </x:c>
      <x:c r="G770" s="18" t="n">
        <x:v>3578.13</x:v>
      </x:c>
      <x:c r="H770" t="str">
        <x:v>Client 48</x:v>
      </x:c>
      <x:c r="I770" s="16" t="n">
        <x:v>46041</x:v>
      </x:c>
      <x:c r="J770" t="n">
        <x:f>YEAR(B770)</x:f>
        <x:v>2025</x:v>
      </x:c>
      <x:c r="K770" s="20" t="n">
        <x:f>DATE(YEAR(B770),MONTH(B770),1)</x:f>
        <x:v>45992</x:v>
      </x:c>
      <x:c r="L770" s="18" t="n">
        <x:f>F770-G770</x:f>
        <x:v>0</x:v>
      </x:c>
      <x:c r="M770" t="str">
        <x:f>IF(L770&lt;=0,"Payée",IF(G770=0,"Impayée","Partielle"))</x:f>
        <x:v>Payée</x:v>
      </x:c>
      <x:c r="N770" t="n">
        <x:f>IF(I770="","",I770-B770)</x:f>
        <x:v>39</x:v>
      </x:c>
      <x:c r="O770" t="str">
        <x:f>IF(TRIM(C770)&lt;&gt;TRIM(H770),"Oui","Non")</x:f>
        <x:v>Non</x:v>
      </x:c>
      <x:c r="P770" t="str">
        <x:f>IFERROR(INDEX('02_REFERENTIEL_CLIENTS'!$B$2:$B$51,MATCH(TRIM(C770),'02_REFERENTIEL_CLIENTS'!$A$2:$A$51,0)),"Non trouvé")</x:f>
        <x:v>Particuliers</x:v>
      </x:c>
      <x:c r="Q770" t="str">
        <x:f>IFERROR(INDEX('02_REFERENTIEL_CLIENTS'!$C$2:$C$51,MATCH(TRIM(C770),'02_REFERENTIEL_CLIENTS'!$A$2:$A$51,0)),"Non trouvé")</x:f>
        <x:v>International</x:v>
      </x:c>
      <x:c r="R770" t="str">
        <x:f>IF(OR(F770&lt;=0,G770&lt;0,G770&gt;F770,N770&lt;0,P770="Non trouvé"),"À vérifier","OK")</x:f>
        <x:v>OK</x:v>
      </x:c>
    </x:row>
    <x:row r="771">
      <x:c r="A771" t="str">
        <x:v>DV-2025-00770</x:v>
      </x:c>
      <x:c r="B771" s="16" t="n">
        <x:v>45901</x:v>
      </x:c>
      <x:c r="C771" t="str">
        <x:v>Client 36</x:v>
      </x:c>
      <x:c r="D771" t="str">
        <x:v>Fret aérien</x:v>
      </x:c>
      <x:c r="E771" t="str">
        <x:v>Pôle D</x:v>
      </x:c>
      <x:c r="F771" s="18" t="n">
        <x:v>22529.5</x:v>
      </x:c>
      <x:c r="G771" s="18" t="n">
        <x:v>22529.5</x:v>
      </x:c>
      <x:c r="H771" t="str">
        <x:v>Client 16</x:v>
      </x:c>
      <x:c r="I771" s="16" t="n">
        <x:v>45919</x:v>
      </x:c>
      <x:c r="J771" t="n">
        <x:f>YEAR(B771)</x:f>
        <x:v>2025</x:v>
      </x:c>
      <x:c r="K771" s="20" t="n">
        <x:f>DATE(YEAR(B771),MONTH(B771),1)</x:f>
        <x:v>45901</x:v>
      </x:c>
      <x:c r="L771" s="18" t="n">
        <x:f>F771-G771</x:f>
        <x:v>0</x:v>
      </x:c>
      <x:c r="M771" t="str">
        <x:f>IF(L771&lt;=0,"Payée",IF(G771=0,"Impayée","Partielle"))</x:f>
        <x:v>Payée</x:v>
      </x:c>
      <x:c r="N771" t="n">
        <x:f>IF(I771="","",I771-B771)</x:f>
        <x:v>18</x:v>
      </x:c>
      <x:c r="O771" t="str">
        <x:f>IF(TRIM(C771)&lt;&gt;TRIM(H771),"Oui","Non")</x:f>
        <x:v>Oui</x:v>
      </x:c>
      <x:c r="P771" t="str">
        <x:f>IFERROR(INDEX('02_REFERENTIEL_CLIENTS'!$B$2:$B$51,MATCH(TRIM(C771),'02_REFERENTIEL_CLIENTS'!$A$2:$A$51,0)),"Non trouvé")</x:f>
        <x:v>Particuliers</x:v>
      </x:c>
      <x:c r="Q771" t="str">
        <x:f>IFERROR(INDEX('02_REFERENTIEL_CLIENTS'!$C$2:$C$51,MATCH(TRIM(C771),'02_REFERENTIEL_CLIENTS'!$A$2:$A$51,0)),"Non trouvé")</x:f>
        <x:v>International</x:v>
      </x:c>
      <x:c r="R771" t="str">
        <x:f>IF(OR(F771&lt;=0,G771&lt;0,G771&gt;F771,N771&lt;0,P771="Non trouvé"),"À vérifier","OK")</x:f>
        <x:v>OK</x:v>
      </x:c>
    </x:row>
    <x:row r="772">
      <x:c r="A772" t="str">
        <x:v>DV-2026-00771</x:v>
      </x:c>
      <x:c r="B772" s="16" t="n">
        <x:v>46089</x:v>
      </x:c>
      <x:c r="C772" t="str">
        <x:v>Client 04</x:v>
      </x:c>
      <x:c r="D772" t="str">
        <x:v>Douane</x:v>
      </x:c>
      <x:c r="E772" t="str">
        <x:v>Pôle B</x:v>
      </x:c>
      <x:c r="F772" s="18" t="n">
        <x:v>7211.71</x:v>
      </x:c>
      <x:c r="G772" s="18" t="n">
        <x:v>7211.71</x:v>
      </x:c>
      <x:c r="H772" t="str">
        <x:v>Client 04</x:v>
      </x:c>
      <x:c r="I772" s="16" t="n">
        <x:v>46184</x:v>
      </x:c>
      <x:c r="J772" t="n">
        <x:f>YEAR(B772)</x:f>
        <x:v>2026</x:v>
      </x:c>
      <x:c r="K772" s="20" t="n">
        <x:f>DATE(YEAR(B772),MONTH(B772),1)</x:f>
        <x:v>46082</x:v>
      </x:c>
      <x:c r="L772" s="18" t="n">
        <x:f>F772-G772</x:f>
        <x:v>0</x:v>
      </x:c>
      <x:c r="M772" t="str">
        <x:f>IF(L772&lt;=0,"Payée",IF(G772=0,"Impayée","Partielle"))</x:f>
        <x:v>Payée</x:v>
      </x:c>
      <x:c r="N772" t="n">
        <x:f>IF(I772="","",I772-B772)</x:f>
        <x:v>95</x:v>
      </x:c>
      <x:c r="O772" t="str">
        <x:f>IF(TRIM(C772)&lt;&gt;TRIM(H772),"Oui","Non")</x:f>
        <x:v>Non</x:v>
      </x:c>
      <x:c r="P772" t="str">
        <x:f>IFERROR(INDEX('02_REFERENTIEL_CLIENTS'!$B$2:$B$51,MATCH(TRIM(C772),'02_REFERENTIEL_CLIENTS'!$A$2:$A$51,0)),"Non trouvé")</x:f>
        <x:v>Grands comptes</x:v>
      </x:c>
      <x:c r="Q772" t="str">
        <x:f>IFERROR(INDEX('02_REFERENTIEL_CLIENTS'!$C$2:$C$51,MATCH(TRIM(C772),'02_REFERENTIEL_CLIENTS'!$A$2:$A$51,0)),"Non trouvé")</x:f>
        <x:v>France</x:v>
      </x:c>
      <x:c r="R772" t="str">
        <x:f>IF(OR(F772&lt;=0,G772&lt;0,G772&gt;F772,N772&lt;0,P772="Non trouvé"),"À vérifier","OK")</x:f>
        <x:v>OK</x:v>
      </x:c>
    </x:row>
    <x:row r="773">
      <x:c r="A773" t="str">
        <x:v>DV-2025-00772</x:v>
      </x:c>
      <x:c r="B773" s="16" t="n">
        <x:v>45708</x:v>
      </x:c>
      <x:c r="C773" t="str">
        <x:v>Client 27</x:v>
      </x:c>
      <x:c r="D773" t="str">
        <x:v>Fret maritime</x:v>
      </x:c>
      <x:c r="E773" t="str">
        <x:v>Pôle A</x:v>
      </x:c>
      <x:c r="F773" s="18" t="n">
        <x:v>13241.07</x:v>
      </x:c>
      <x:c r="G773" s="18" t="n">
        <x:v>13241.07</x:v>
      </x:c>
      <x:c r="H773" t="str">
        <x:v>Client 27</x:v>
      </x:c>
      <x:c r="I773" s="16" t="n">
        <x:v>45792</x:v>
      </x:c>
      <x:c r="J773" t="n">
        <x:f>YEAR(B773)</x:f>
        <x:v>2025</x:v>
      </x:c>
      <x:c r="K773" s="20" t="n">
        <x:f>DATE(YEAR(B773),MONTH(B773),1)</x:f>
        <x:v>45689</x:v>
      </x:c>
      <x:c r="L773" s="18" t="n">
        <x:f>F773-G773</x:f>
        <x:v>0</x:v>
      </x:c>
      <x:c r="M773" t="str">
        <x:f>IF(L773&lt;=0,"Payée",IF(G773=0,"Impayée","Partielle"))</x:f>
        <x:v>Payée</x:v>
      </x:c>
      <x:c r="N773" t="n">
        <x:f>IF(I773="","",I773-B773)</x:f>
        <x:v>84</x:v>
      </x:c>
      <x:c r="O773" t="str">
        <x:f>IF(TRIM(C773)&lt;&gt;TRIM(H773),"Oui","Non")</x:f>
        <x:v>Non</x:v>
      </x:c>
      <x:c r="P773" t="str">
        <x:f>IFERROR(INDEX('02_REFERENTIEL_CLIENTS'!$B$2:$B$51,MATCH(TRIM(C773),'02_REFERENTIEL_CLIENTS'!$A$2:$A$51,0)),"Non trouvé")</x:f>
        <x:v>Particuliers</x:v>
      </x:c>
      <x:c r="Q773" t="str">
        <x:f>IFERROR(INDEX('02_REFERENTIEL_CLIENTS'!$C$2:$C$51,MATCH(TRIM(C773),'02_REFERENTIEL_CLIENTS'!$A$2:$A$51,0)),"Non trouvé")</x:f>
        <x:v>International</x:v>
      </x:c>
      <x:c r="R773" t="str">
        <x:f>IF(OR(F773&lt;=0,G773&lt;0,G773&gt;F773,N773&lt;0,P773="Non trouvé"),"À vérifier","OK")</x:f>
        <x:v>OK</x:v>
      </x:c>
    </x:row>
    <x:row r="774">
      <x:c r="A774" t="str">
        <x:v>DV-2024-00773</x:v>
      </x:c>
      <x:c r="B774" s="16" t="n">
        <x:v>45619</x:v>
      </x:c>
      <x:c r="C774" t="str">
        <x:v>Client 04</x:v>
      </x:c>
      <x:c r="D774" t="str">
        <x:v>Logistique</x:v>
      </x:c>
      <x:c r="E774" t="str">
        <x:v>Pôle B</x:v>
      </x:c>
      <x:c r="F774" s="18" t="n">
        <x:v>16681.13</x:v>
      </x:c>
      <x:c r="G774" s="18" t="n">
        <x:v>16681.13</x:v>
      </x:c>
      <x:c r="H774" t="str">
        <x:v>Client 04</x:v>
      </x:c>
      <x:c r="I774" s="16" t="n">
        <x:v>45712</x:v>
      </x:c>
      <x:c r="J774" t="n">
        <x:f>YEAR(B774)</x:f>
        <x:v>2024</x:v>
      </x:c>
      <x:c r="K774" s="20" t="n">
        <x:f>DATE(YEAR(B774),MONTH(B774),1)</x:f>
        <x:v>45597</x:v>
      </x:c>
      <x:c r="L774" s="18" t="n">
        <x:f>F774-G774</x:f>
        <x:v>0</x:v>
      </x:c>
      <x:c r="M774" t="str">
        <x:f>IF(L774&lt;=0,"Payée",IF(G774=0,"Impayée","Partielle"))</x:f>
        <x:v>Payée</x:v>
      </x:c>
      <x:c r="N774" t="n">
        <x:f>IF(I774="","",I774-B774)</x:f>
        <x:v>93</x:v>
      </x:c>
      <x:c r="O774" t="str">
        <x:f>IF(TRIM(C774)&lt;&gt;TRIM(H774),"Oui","Non")</x:f>
        <x:v>Non</x:v>
      </x:c>
      <x:c r="P774" t="str">
        <x:f>IFERROR(INDEX('02_REFERENTIEL_CLIENTS'!$B$2:$B$51,MATCH(TRIM(C774),'02_REFERENTIEL_CLIENTS'!$A$2:$A$51,0)),"Non trouvé")</x:f>
        <x:v>Grands comptes</x:v>
      </x:c>
      <x:c r="Q774" t="str">
        <x:f>IFERROR(INDEX('02_REFERENTIEL_CLIENTS'!$C$2:$C$51,MATCH(TRIM(C774),'02_REFERENTIEL_CLIENTS'!$A$2:$A$51,0)),"Non trouvé")</x:f>
        <x:v>France</x:v>
      </x:c>
      <x:c r="R774" t="str">
        <x:f>IF(OR(F774&lt;=0,G774&lt;0,G774&gt;F774,N774&lt;0,P774="Non trouvé"),"À vérifier","OK")</x:f>
        <x:v>OK</x:v>
      </x:c>
    </x:row>
    <x:row r="775">
      <x:c r="A775" t="str">
        <x:v>DV-2025-00774</x:v>
      </x:c>
      <x:c r="B775" s="16" t="n">
        <x:v>45954</x:v>
      </x:c>
      <x:c r="C775" t="str">
        <x:v>Client 38</x:v>
      </x:c>
      <x:c r="D775" t="str">
        <x:v>Logistique</x:v>
      </x:c>
      <x:c r="E775" t="str">
        <x:v>Pôle A</x:v>
      </x:c>
      <x:c r="F775" s="18" t="n">
        <x:v>15581.7</x:v>
      </x:c>
      <x:c r="G775" s="18" t="n">
        <x:v>0</x:v>
      </x:c>
      <x:c r="H775" t="str">
        <x:v>Client 38</x:v>
      </x:c>
      <x:c r="I775" s="16"/>
      <x:c r="J775" t="n">
        <x:f>YEAR(B775)</x:f>
        <x:v>2025</x:v>
      </x:c>
      <x:c r="K775" s="20" t="n">
        <x:f>DATE(YEAR(B775),MONTH(B775),1)</x:f>
        <x:v>45931</x:v>
      </x:c>
      <x:c r="L775" s="18" t="n">
        <x:f>F775-G775</x:f>
        <x:v>15581.7</x:v>
      </x:c>
      <x:c r="M775" t="str">
        <x:f>IF(L775&lt;=0,"Payée",IF(G775=0,"Impayée","Partielle"))</x:f>
        <x:v>Impayée</x:v>
      </x:c>
      <x:c r="N775" t="str">
        <x:f>IF(I775="","",I775-B775)</x:f>
      </x:c>
      <x:c r="O775" t="str">
        <x:f>IF(TRIM(C775)&lt;&gt;TRIM(H775),"Oui","Non")</x:f>
        <x:v>Non</x:v>
      </x:c>
      <x:c r="P775" t="str">
        <x:f>IFERROR(INDEX('02_REFERENTIEL_CLIENTS'!$B$2:$B$51,MATCH(TRIM(C775),'02_REFERENTIEL_CLIENTS'!$A$2:$A$51,0)),"Non trouvé")</x:f>
        <x:v>PME</x:v>
      </x:c>
      <x:c r="Q775" t="str">
        <x:f>IFERROR(INDEX('02_REFERENTIEL_CLIENTS'!$C$2:$C$51,MATCH(TRIM(C775),'02_REFERENTIEL_CLIENTS'!$A$2:$A$51,0)),"Non trouvé")</x:f>
        <x:v>Europe</x:v>
      </x:c>
      <x:c r="R775" t="str">
        <x:f>IF(OR(F775&lt;=0,G775&lt;0,G775&gt;F775,N775&lt;0,P775="Non trouvé"),"À vérifier","OK")</x:f>
        <x:v>OK</x:v>
      </x:c>
    </x:row>
    <x:row r="776">
      <x:c r="A776" t="str">
        <x:v>DV-2025-00775</x:v>
      </x:c>
      <x:c r="B776" s="16" t="n">
        <x:v>45763</x:v>
      </x:c>
      <x:c r="C776" t="str">
        <x:v>Client 13</x:v>
      </x:c>
      <x:c r="D776" t="str">
        <x:v>Fret aérien</x:v>
      </x:c>
      <x:c r="E776" t="str">
        <x:v>Pôle C</x:v>
      </x:c>
      <x:c r="F776" s="18" t="n">
        <x:v>8515.65</x:v>
      </x:c>
      <x:c r="G776" s="18" t="n">
        <x:v>8515.65</x:v>
      </x:c>
      <x:c r="H776" t="str">
        <x:v>Client 36</x:v>
      </x:c>
      <x:c r="I776" s="16" t="n">
        <x:v>45810</x:v>
      </x:c>
      <x:c r="J776" t="n">
        <x:f>YEAR(B776)</x:f>
        <x:v>2025</x:v>
      </x:c>
      <x:c r="K776" s="20" t="n">
        <x:f>DATE(YEAR(B776),MONTH(B776),1)</x:f>
        <x:v>45748</x:v>
      </x:c>
      <x:c r="L776" s="18" t="n">
        <x:f>F776-G776</x:f>
        <x:v>0</x:v>
      </x:c>
      <x:c r="M776" t="str">
        <x:f>IF(L776&lt;=0,"Payée",IF(G776=0,"Impayée","Partielle"))</x:f>
        <x:v>Payée</x:v>
      </x:c>
      <x:c r="N776" t="n">
        <x:f>IF(I776="","",I776-B776)</x:f>
        <x:v>47</x:v>
      </x:c>
      <x:c r="O776" t="str">
        <x:f>IF(TRIM(C776)&lt;&gt;TRIM(H776),"Oui","Non")</x:f>
        <x:v>Oui</x:v>
      </x:c>
      <x:c r="P776" t="str">
        <x:f>IFERROR(INDEX('02_REFERENTIEL_CLIENTS'!$B$2:$B$51,MATCH(TRIM(C776),'02_REFERENTIEL_CLIENTS'!$A$2:$A$51,0)),"Non trouvé")</x:f>
        <x:v>Grands comptes</x:v>
      </x:c>
      <x:c r="Q776" t="str">
        <x:f>IFERROR(INDEX('02_REFERENTIEL_CLIENTS'!$C$2:$C$51,MATCH(TRIM(C776),'02_REFERENTIEL_CLIENTS'!$A$2:$A$51,0)),"Non trouvé")</x:f>
        <x:v>France</x:v>
      </x:c>
      <x:c r="R776" t="str">
        <x:f>IF(OR(F776&lt;=0,G776&lt;0,G776&gt;F776,N776&lt;0,P776="Non trouvé"),"À vérifier","OK")</x:f>
        <x:v>OK</x:v>
      </x:c>
    </x:row>
    <x:row r="777">
      <x:c r="A777" t="str">
        <x:v>DV-2025-00776</x:v>
      </x:c>
      <x:c r="B777" s="16" t="n">
        <x:v>45928</x:v>
      </x:c>
      <x:c r="C777" t="str">
        <x:v>Client 25</x:v>
      </x:c>
      <x:c r="D777" t="str">
        <x:v>Douane</x:v>
      </x:c>
      <x:c r="E777" t="str">
        <x:v>Pôle D</x:v>
      </x:c>
      <x:c r="F777" s="18" t="n">
        <x:v>3719.44</x:v>
      </x:c>
      <x:c r="G777" s="18" t="n">
        <x:v>3719.44</x:v>
      </x:c>
      <x:c r="H777" t="str">
        <x:v>Client 25</x:v>
      </x:c>
      <x:c r="I777" s="16" t="n">
        <x:v>45955</x:v>
      </x:c>
      <x:c r="J777" t="n">
        <x:f>YEAR(B777)</x:f>
        <x:v>2025</x:v>
      </x:c>
      <x:c r="K777" s="20" t="n">
        <x:f>DATE(YEAR(B777),MONTH(B777),1)</x:f>
        <x:v>45901</x:v>
      </x:c>
      <x:c r="L777" s="18" t="n">
        <x:f>F777-G777</x:f>
        <x:v>0</x:v>
      </x:c>
      <x:c r="M777" t="str">
        <x:f>IF(L777&lt;=0,"Payée",IF(G777=0,"Impayée","Partielle"))</x:f>
        <x:v>Payée</x:v>
      </x:c>
      <x:c r="N777" t="n">
        <x:f>IF(I777="","",I777-B777)</x:f>
        <x:v>27</x:v>
      </x:c>
      <x:c r="O777" t="str">
        <x:f>IF(TRIM(C777)&lt;&gt;TRIM(H777),"Oui","Non")</x:f>
        <x:v>Non</x:v>
      </x:c>
      <x:c r="P777" t="str">
        <x:f>IFERROR(INDEX('02_REFERENTIEL_CLIENTS'!$B$2:$B$51,MATCH(TRIM(C777),'02_REFERENTIEL_CLIENTS'!$A$2:$A$51,0)),"Non trouvé")</x:f>
        <x:v>Grands comptes</x:v>
      </x:c>
      <x:c r="Q777" t="str">
        <x:f>IFERROR(INDEX('02_REFERENTIEL_CLIENTS'!$C$2:$C$51,MATCH(TRIM(C777),'02_REFERENTIEL_CLIENTS'!$A$2:$A$51,0)),"Non trouvé")</x:f>
        <x:v>France</x:v>
      </x:c>
      <x:c r="R777" t="str">
        <x:f>IF(OR(F777&lt;=0,G777&lt;0,G777&gt;F777,N777&lt;0,P777="Non trouvé"),"À vérifier","OK")</x:f>
        <x:v>OK</x:v>
      </x:c>
    </x:row>
    <x:row r="778">
      <x:c r="A778" t="str">
        <x:v>DV-2026-00777</x:v>
      </x:c>
      <x:c r="B778" s="16" t="n">
        <x:v>46051</x:v>
      </x:c>
      <x:c r="C778" t="str">
        <x:v>Client 22</x:v>
      </x:c>
      <x:c r="D778" t="str">
        <x:v>Logistique</x:v>
      </x:c>
      <x:c r="E778" t="str">
        <x:v>Pôle E</x:v>
      </x:c>
      <x:c r="F778" s="18" t="n">
        <x:v>16833.1</x:v>
      </x:c>
      <x:c r="G778" s="18" t="n">
        <x:v>16833.1</x:v>
      </x:c>
      <x:c r="H778" t="str">
        <x:v>Client 22</x:v>
      </x:c>
      <x:c r="I778" s="16" t="n">
        <x:v>46094</x:v>
      </x:c>
      <x:c r="J778" t="n">
        <x:f>YEAR(B778)</x:f>
        <x:v>2026</x:v>
      </x:c>
      <x:c r="K778" s="20" t="n">
        <x:f>DATE(YEAR(B778),MONTH(B778),1)</x:f>
        <x:v>46023</x:v>
      </x:c>
      <x:c r="L778" s="18" t="n">
        <x:f>F778-G778</x:f>
        <x:v>0</x:v>
      </x:c>
      <x:c r="M778" t="str">
        <x:f>IF(L778&lt;=0,"Payée",IF(G778=0,"Impayée","Partielle"))</x:f>
        <x:v>Payée</x:v>
      </x:c>
      <x:c r="N778" t="n">
        <x:f>IF(I778="","",I778-B778)</x:f>
        <x:v>43</x:v>
      </x:c>
      <x:c r="O778" t="str">
        <x:f>IF(TRIM(C778)&lt;&gt;TRIM(H778),"Oui","Non")</x:f>
        <x:v>Non</x:v>
      </x:c>
      <x:c r="P778" t="str">
        <x:f>IFERROR(INDEX('02_REFERENTIEL_CLIENTS'!$B$2:$B$51,MATCH(TRIM(C778),'02_REFERENTIEL_CLIENTS'!$A$2:$A$51,0)),"Non trouvé")</x:f>
        <x:v>Grands comptes</x:v>
      </x:c>
      <x:c r="Q778" t="str">
        <x:f>IFERROR(INDEX('02_REFERENTIEL_CLIENTS'!$C$2:$C$51,MATCH(TRIM(C778),'02_REFERENTIEL_CLIENTS'!$A$2:$A$51,0)),"Non trouvé")</x:f>
        <x:v>France</x:v>
      </x:c>
      <x:c r="R778" t="str">
        <x:f>IF(OR(F778&lt;=0,G778&lt;0,G778&gt;F778,N778&lt;0,P778="Non trouvé"),"À vérifier","OK")</x:f>
        <x:v>OK</x:v>
      </x:c>
    </x:row>
    <x:row r="779">
      <x:c r="A779" t="str">
        <x:v>DV-2025-00778</x:v>
      </x:c>
      <x:c r="B779" s="16" t="n">
        <x:v>45930</x:v>
      </x:c>
      <x:c r="C779" t="str">
        <x:v>Client 24</x:v>
      </x:c>
      <x:c r="D779" t="str">
        <x:v>Douane</x:v>
      </x:c>
      <x:c r="E779" t="str">
        <x:v>Pôle B</x:v>
      </x:c>
      <x:c r="F779" s="18" t="n">
        <x:v>3595.62</x:v>
      </x:c>
      <x:c r="G779" s="18" t="n">
        <x:v>3595.62</x:v>
      </x:c>
      <x:c r="H779" t="str">
        <x:v>Client 24</x:v>
      </x:c>
      <x:c r="I779" s="16" t="n">
        <x:v>45989</x:v>
      </x:c>
      <x:c r="J779" t="n">
        <x:f>YEAR(B779)</x:f>
        <x:v>2025</x:v>
      </x:c>
      <x:c r="K779" s="20" t="n">
        <x:f>DATE(YEAR(B779),MONTH(B779),1)</x:f>
        <x:v>45901</x:v>
      </x:c>
      <x:c r="L779" s="18" t="n">
        <x:f>F779-G779</x:f>
        <x:v>0</x:v>
      </x:c>
      <x:c r="M779" t="str">
        <x:f>IF(L779&lt;=0,"Payée",IF(G779=0,"Impayée","Partielle"))</x:f>
        <x:v>Payée</x:v>
      </x:c>
      <x:c r="N779" t="n">
        <x:f>IF(I779="","",I779-B779)</x:f>
        <x:v>59</x:v>
      </x:c>
      <x:c r="O779" t="str">
        <x:f>IF(TRIM(C779)&lt;&gt;TRIM(H779),"Oui","Non")</x:f>
        <x:v>Non</x:v>
      </x:c>
      <x:c r="P779" t="str">
        <x:f>IFERROR(INDEX('02_REFERENTIEL_CLIENTS'!$B$2:$B$51,MATCH(TRIM(C779),'02_REFERENTIEL_CLIENTS'!$A$2:$A$51,0)),"Non trouvé")</x:f>
        <x:v>Particuliers</x:v>
      </x:c>
      <x:c r="Q779" t="str">
        <x:f>IFERROR(INDEX('02_REFERENTIEL_CLIENTS'!$C$2:$C$51,MATCH(TRIM(C779),'02_REFERENTIEL_CLIENTS'!$A$2:$A$51,0)),"Non trouvé")</x:f>
        <x:v>International</x:v>
      </x:c>
      <x:c r="R779" t="str">
        <x:f>IF(OR(F779&lt;=0,G779&lt;0,G779&gt;F779,N779&lt;0,P779="Non trouvé"),"À vérifier","OK")</x:f>
        <x:v>OK</x:v>
      </x:c>
    </x:row>
    <x:row r="780">
      <x:c r="A780" t="str">
        <x:v>DV-2024-00779</x:v>
      </x:c>
      <x:c r="B780" s="16" t="n">
        <x:v>45621</x:v>
      </x:c>
      <x:c r="C780" t="str">
        <x:v>Client 21</x:v>
      </x:c>
      <x:c r="D780" t="str">
        <x:v>Logistique</x:v>
      </x:c>
      <x:c r="E780" t="str">
        <x:v>Pôle C</x:v>
      </x:c>
      <x:c r="F780" s="18" t="n">
        <x:v>21697.08</x:v>
      </x:c>
      <x:c r="G780" s="18" t="n">
        <x:v>21697.08</x:v>
      </x:c>
      <x:c r="H780" t="str">
        <x:v>Client 21</x:v>
      </x:c>
      <x:c r="I780" s="16" t="n">
        <x:v>45688</x:v>
      </x:c>
      <x:c r="J780" t="n">
        <x:f>YEAR(B780)</x:f>
        <x:v>2024</x:v>
      </x:c>
      <x:c r="K780" s="20" t="n">
        <x:f>DATE(YEAR(B780),MONTH(B780),1)</x:f>
        <x:v>45597</x:v>
      </x:c>
      <x:c r="L780" s="18" t="n">
        <x:f>F780-G780</x:f>
        <x:v>0</x:v>
      </x:c>
      <x:c r="M780" t="str">
        <x:f>IF(L780&lt;=0,"Payée",IF(G780=0,"Impayée","Partielle"))</x:f>
        <x:v>Payée</x:v>
      </x:c>
      <x:c r="N780" t="n">
        <x:f>IF(I780="","",I780-B780)</x:f>
        <x:v>67</x:v>
      </x:c>
      <x:c r="O780" t="str">
        <x:f>IF(TRIM(C780)&lt;&gt;TRIM(H780),"Oui","Non")</x:f>
        <x:v>Non</x:v>
      </x:c>
      <x:c r="P780" t="str">
        <x:f>IFERROR(INDEX('02_REFERENTIEL_CLIENTS'!$B$2:$B$51,MATCH(TRIM(C780),'02_REFERENTIEL_CLIENTS'!$A$2:$A$51,0)),"Non trouvé")</x:f>
        <x:v>Particuliers</x:v>
      </x:c>
      <x:c r="Q780" t="str">
        <x:f>IFERROR(INDEX('02_REFERENTIEL_CLIENTS'!$C$2:$C$51,MATCH(TRIM(C780),'02_REFERENTIEL_CLIENTS'!$A$2:$A$51,0)),"Non trouvé")</x:f>
        <x:v>International</x:v>
      </x:c>
      <x:c r="R780" t="str">
        <x:f>IF(OR(F780&lt;=0,G780&lt;0,G780&gt;F780,N780&lt;0,P780="Non trouvé"),"À vérifier","OK")</x:f>
        <x:v>OK</x:v>
      </x:c>
    </x:row>
    <x:row r="781">
      <x:c r="A781" t="str">
        <x:v>DV-2026-00780</x:v>
      </x:c>
      <x:c r="B781" s="16" t="n">
        <x:v>46117</x:v>
      </x:c>
      <x:c r="C781" t="str">
        <x:v>Client 33</x:v>
      </x:c>
      <x:c r="D781" t="str">
        <x:v>Douane</x:v>
      </x:c>
      <x:c r="E781" t="str">
        <x:v>Pôle E</x:v>
      </x:c>
      <x:c r="F781" s="18" t="n">
        <x:v>7753.26</x:v>
      </x:c>
      <x:c r="G781" s="18" t="n">
        <x:v>7753.26</x:v>
      </x:c>
      <x:c r="H781" t="str">
        <x:v>Client 33</x:v>
      </x:c>
      <x:c r="I781" s="16" t="n">
        <x:v>46176</x:v>
      </x:c>
      <x:c r="J781" t="n">
        <x:f>YEAR(B781)</x:f>
        <x:v>2026</x:v>
      </x:c>
      <x:c r="K781" s="20" t="n">
        <x:f>DATE(YEAR(B781),MONTH(B781),1)</x:f>
        <x:v>46113</x:v>
      </x:c>
      <x:c r="L781" s="18" t="n">
        <x:f>F781-G781</x:f>
        <x:v>0</x:v>
      </x:c>
      <x:c r="M781" t="str">
        <x:f>IF(L781&lt;=0,"Payée",IF(G781=0,"Impayée","Partielle"))</x:f>
        <x:v>Payée</x:v>
      </x:c>
      <x:c r="N781" t="n">
        <x:f>IF(I781="","",I781-B781)</x:f>
        <x:v>59</x:v>
      </x:c>
      <x:c r="O781" t="str">
        <x:f>IF(TRIM(C781)&lt;&gt;TRIM(H781),"Oui","Non")</x:f>
        <x:v>Non</x:v>
      </x:c>
      <x:c r="P781" t="str">
        <x:f>IFERROR(INDEX('02_REFERENTIEL_CLIENTS'!$B$2:$B$51,MATCH(TRIM(C781),'02_REFERENTIEL_CLIENTS'!$A$2:$A$51,0)),"Non trouvé")</x:f>
        <x:v>Particuliers</x:v>
      </x:c>
      <x:c r="Q781" t="str">
        <x:f>IFERROR(INDEX('02_REFERENTIEL_CLIENTS'!$C$2:$C$51,MATCH(TRIM(C781),'02_REFERENTIEL_CLIENTS'!$A$2:$A$51,0)),"Non trouvé")</x:f>
        <x:v>International</x:v>
      </x:c>
      <x:c r="R781" t="str">
        <x:f>IF(OR(F781&lt;=0,G781&lt;0,G781&gt;F781,N781&lt;0,P781="Non trouvé"),"À vérifier","OK")</x:f>
        <x:v>OK</x:v>
      </x:c>
    </x:row>
    <x:row r="782">
      <x:c r="A782" t="str">
        <x:v>DV-2025-00781</x:v>
      </x:c>
      <x:c r="B782" s="16" t="n">
        <x:v>45876</x:v>
      </x:c>
      <x:c r="C782" t="str">
        <x:v>Client 11</x:v>
      </x:c>
      <x:c r="D782" t="str">
        <x:v>Fret maritime</x:v>
      </x:c>
      <x:c r="E782" t="str">
        <x:v>Pôle A</x:v>
      </x:c>
      <x:c r="F782" s="18" t="n">
        <x:v>14111.49</x:v>
      </x:c>
      <x:c r="G782" s="18" t="n">
        <x:v>14111.49</x:v>
      </x:c>
      <x:c r="H782" t="str">
        <x:v>Client 42</x:v>
      </x:c>
      <x:c r="I782" s="16" t="n">
        <x:v>45900</x:v>
      </x:c>
      <x:c r="J782" t="n">
        <x:f>YEAR(B782)</x:f>
        <x:v>2025</x:v>
      </x:c>
      <x:c r="K782" s="20" t="n">
        <x:f>DATE(YEAR(B782),MONTH(B782),1)</x:f>
        <x:v>45870</x:v>
      </x:c>
      <x:c r="L782" s="18" t="n">
        <x:f>F782-G782</x:f>
        <x:v>0</x:v>
      </x:c>
      <x:c r="M782" t="str">
        <x:f>IF(L782&lt;=0,"Payée",IF(G782=0,"Impayée","Partielle"))</x:f>
        <x:v>Payée</x:v>
      </x:c>
      <x:c r="N782" t="n">
        <x:f>IF(I782="","",I782-B782)</x:f>
        <x:v>24</x:v>
      </x:c>
      <x:c r="O782" t="str">
        <x:f>IF(TRIM(C782)&lt;&gt;TRIM(H782),"Oui","Non")</x:f>
        <x:v>Oui</x:v>
      </x:c>
      <x:c r="P782" t="str">
        <x:f>IFERROR(INDEX('02_REFERENTIEL_CLIENTS'!$B$2:$B$51,MATCH(TRIM(C782),'02_REFERENTIEL_CLIENTS'!$A$2:$A$51,0)),"Non trouvé")</x:f>
        <x:v>PME</x:v>
      </x:c>
      <x:c r="Q782" t="str">
        <x:f>IFERROR(INDEX('02_REFERENTIEL_CLIENTS'!$C$2:$C$51,MATCH(TRIM(C782),'02_REFERENTIEL_CLIENTS'!$A$2:$A$51,0)),"Non trouvé")</x:f>
        <x:v>Europe</x:v>
      </x:c>
      <x:c r="R782" t="str">
        <x:f>IF(OR(F782&lt;=0,G782&lt;0,G782&gt;F782,N782&lt;0,P782="Non trouvé"),"À vérifier","OK")</x:f>
        <x:v>OK</x:v>
      </x:c>
    </x:row>
    <x:row r="783">
      <x:c r="A783" t="str">
        <x:v>DV-2026-00782</x:v>
      </x:c>
      <x:c r="B783" s="16" t="n">
        <x:v>46214</x:v>
      </x:c>
      <x:c r="C783" t="str">
        <x:v>Client 10</x:v>
      </x:c>
      <x:c r="D783" t="str">
        <x:v>Fret maritime</x:v>
      </x:c>
      <x:c r="E783" t="str">
        <x:v>Pôle E</x:v>
      </x:c>
      <x:c r="F783" s="18" t="n">
        <x:v>10018.04</x:v>
      </x:c>
      <x:c r="G783" s="18" t="n">
        <x:v>5225.62</x:v>
      </x:c>
      <x:c r="H783" t="str">
        <x:v>Client 10</x:v>
      </x:c>
      <x:c r="I783" s="16" t="n">
        <x:v>46224</x:v>
      </x:c>
      <x:c r="J783" t="n">
        <x:f>YEAR(B783)</x:f>
        <x:v>2026</x:v>
      </x:c>
      <x:c r="K783" s="20" t="n">
        <x:f>DATE(YEAR(B783),MONTH(B783),1)</x:f>
        <x:v>46204</x:v>
      </x:c>
      <x:c r="L783" s="18" t="n">
        <x:f>F783-G783</x:f>
        <x:v>4792.420000000001</x:v>
      </x:c>
      <x:c r="M783" t="str">
        <x:f>IF(L783&lt;=0,"Payée",IF(G783=0,"Impayée","Partielle"))</x:f>
        <x:v>Partielle</x:v>
      </x:c>
      <x:c r="N783" t="n">
        <x:f>IF(I783="","",I783-B783)</x:f>
        <x:v>10</x:v>
      </x:c>
      <x:c r="O783" t="str">
        <x:f>IF(TRIM(C783)&lt;&gt;TRIM(H783),"Oui","Non")</x:f>
        <x:v>Non</x:v>
      </x:c>
      <x:c r="P783" t="str">
        <x:f>IFERROR(INDEX('02_REFERENTIEL_CLIENTS'!$B$2:$B$51,MATCH(TRIM(C783),'02_REFERENTIEL_CLIENTS'!$A$2:$A$51,0)),"Non trouvé")</x:f>
        <x:v>Grands comptes</x:v>
      </x:c>
      <x:c r="Q783" t="str">
        <x:f>IFERROR(INDEX('02_REFERENTIEL_CLIENTS'!$C$2:$C$51,MATCH(TRIM(C783),'02_REFERENTIEL_CLIENTS'!$A$2:$A$51,0)),"Non trouvé")</x:f>
        <x:v>France</x:v>
      </x:c>
      <x:c r="R783" t="str">
        <x:f>IF(OR(F783&lt;=0,G783&lt;0,G783&gt;F783,N783&lt;0,P783="Non trouvé"),"À vérifier","OK")</x:f>
        <x:v>OK</x:v>
      </x:c>
    </x:row>
    <x:row r="784">
      <x:c r="A784" t="str">
        <x:v>DV-2024-00783</x:v>
      </x:c>
      <x:c r="B784" s="16" t="n">
        <x:v>45583</x:v>
      </x:c>
      <x:c r="C784" t="str">
        <x:v>Client 23</x:v>
      </x:c>
      <x:c r="D784" t="str">
        <x:v>Logistique</x:v>
      </x:c>
      <x:c r="E784" t="str">
        <x:v>Pôle E</x:v>
      </x:c>
      <x:c r="F784" s="18" t="n">
        <x:v>21059.53</x:v>
      </x:c>
      <x:c r="G784" s="18" t="n">
        <x:v>0</x:v>
      </x:c>
      <x:c r="H784" t="str">
        <x:v>Client 23</x:v>
      </x:c>
      <x:c r="I784" s="16"/>
      <x:c r="J784" t="n">
        <x:f>YEAR(B784)</x:f>
        <x:v>2024</x:v>
      </x:c>
      <x:c r="K784" s="20" t="n">
        <x:f>DATE(YEAR(B784),MONTH(B784),1)</x:f>
        <x:v>45566</x:v>
      </x:c>
      <x:c r="L784" s="18" t="n">
        <x:f>F784-G784</x:f>
        <x:v>21059.53</x:v>
      </x:c>
      <x:c r="M784" t="str">
        <x:f>IF(L784&lt;=0,"Payée",IF(G784=0,"Impayée","Partielle"))</x:f>
        <x:v>Impayée</x:v>
      </x:c>
      <x:c r="N784" t="str">
        <x:f>IF(I784="","",I784-B784)</x:f>
      </x:c>
      <x:c r="O784" t="str">
        <x:f>IF(TRIM(C784)&lt;&gt;TRIM(H784),"Oui","Non")</x:f>
        <x:v>Non</x:v>
      </x:c>
      <x:c r="P784" t="str">
        <x:f>IFERROR(INDEX('02_REFERENTIEL_CLIENTS'!$B$2:$B$51,MATCH(TRIM(C784),'02_REFERENTIEL_CLIENTS'!$A$2:$A$51,0)),"Non trouvé")</x:f>
        <x:v>PME</x:v>
      </x:c>
      <x:c r="Q784" t="str">
        <x:f>IFERROR(INDEX('02_REFERENTIEL_CLIENTS'!$C$2:$C$51,MATCH(TRIM(C784),'02_REFERENTIEL_CLIENTS'!$A$2:$A$51,0)),"Non trouvé")</x:f>
        <x:v>Europe</x:v>
      </x:c>
      <x:c r="R784" t="str">
        <x:f>IF(OR(F784&lt;=0,G784&lt;0,G784&gt;F784,N784&lt;0,P784="Non trouvé"),"À vérifier","OK")</x:f>
        <x:v>OK</x:v>
      </x:c>
    </x:row>
    <x:row r="785">
      <x:c r="A785" t="str">
        <x:v>DV-2025-00784</x:v>
      </x:c>
      <x:c r="B785" s="16" t="n">
        <x:v>45946</x:v>
      </x:c>
      <x:c r="C785" t="str">
        <x:v>Client 04</x:v>
      </x:c>
      <x:c r="D785" t="str">
        <x:v>Douane</x:v>
      </x:c>
      <x:c r="E785" t="str">
        <x:v>Pôle B</x:v>
      </x:c>
      <x:c r="F785" s="18" t="n">
        <x:v>18556.96</x:v>
      </x:c>
      <x:c r="G785" s="18" t="n">
        <x:v>18556.96</x:v>
      </x:c>
      <x:c r="H785" t="str">
        <x:v>Client 04</x:v>
      </x:c>
      <x:c r="I785" s="16" t="n">
        <x:v>46037</x:v>
      </x:c>
      <x:c r="J785" t="n">
        <x:f>YEAR(B785)</x:f>
        <x:v>2025</x:v>
      </x:c>
      <x:c r="K785" s="20" t="n">
        <x:f>DATE(YEAR(B785),MONTH(B785),1)</x:f>
        <x:v>45931</x:v>
      </x:c>
      <x:c r="L785" s="18" t="n">
        <x:f>F785-G785</x:f>
        <x:v>0</x:v>
      </x:c>
      <x:c r="M785" t="str">
        <x:f>IF(L785&lt;=0,"Payée",IF(G785=0,"Impayée","Partielle"))</x:f>
        <x:v>Payée</x:v>
      </x:c>
      <x:c r="N785" t="n">
        <x:f>IF(I785="","",I785-B785)</x:f>
        <x:v>91</x:v>
      </x:c>
      <x:c r="O785" t="str">
        <x:f>IF(TRIM(C785)&lt;&gt;TRIM(H785),"Oui","Non")</x:f>
        <x:v>Non</x:v>
      </x:c>
      <x:c r="P785" t="str">
        <x:f>IFERROR(INDEX('02_REFERENTIEL_CLIENTS'!$B$2:$B$51,MATCH(TRIM(C785),'02_REFERENTIEL_CLIENTS'!$A$2:$A$51,0)),"Non trouvé")</x:f>
        <x:v>Grands comptes</x:v>
      </x:c>
      <x:c r="Q785" t="str">
        <x:f>IFERROR(INDEX('02_REFERENTIEL_CLIENTS'!$C$2:$C$51,MATCH(TRIM(C785),'02_REFERENTIEL_CLIENTS'!$A$2:$A$51,0)),"Non trouvé")</x:f>
        <x:v>France</x:v>
      </x:c>
      <x:c r="R785" t="str">
        <x:f>IF(OR(F785&lt;=0,G785&lt;0,G785&gt;F785,N785&lt;0,P785="Non trouvé"),"À vérifier","OK")</x:f>
        <x:v>OK</x:v>
      </x:c>
    </x:row>
    <x:row r="786">
      <x:c r="A786" t="str">
        <x:v>DV-2024-00785</x:v>
      </x:c>
      <x:c r="B786" s="16" t="n">
        <x:v>45400</x:v>
      </x:c>
      <x:c r="C786" t="str">
        <x:v>Client 10</x:v>
      </x:c>
      <x:c r="D786" t="str">
        <x:v>Logistique</x:v>
      </x:c>
      <x:c r="E786" t="str">
        <x:v>Pôle D</x:v>
      </x:c>
      <x:c r="F786" s="18" t="n">
        <x:v>16325.67</x:v>
      </x:c>
      <x:c r="G786" s="18" t="n">
        <x:v>16325.67</x:v>
      </x:c>
      <x:c r="H786" t="str">
        <x:v>Client 10</x:v>
      </x:c>
      <x:c r="I786" s="16" t="n">
        <x:v>45436</x:v>
      </x:c>
      <x:c r="J786" t="n">
        <x:f>YEAR(B786)</x:f>
        <x:v>2024</x:v>
      </x:c>
      <x:c r="K786" s="20" t="n">
        <x:f>DATE(YEAR(B786),MONTH(B786),1)</x:f>
        <x:v>45383</x:v>
      </x:c>
      <x:c r="L786" s="18" t="n">
        <x:f>F786-G786</x:f>
        <x:v>0</x:v>
      </x:c>
      <x:c r="M786" t="str">
        <x:f>IF(L786&lt;=0,"Payée",IF(G786=0,"Impayée","Partielle"))</x:f>
        <x:v>Payée</x:v>
      </x:c>
      <x:c r="N786" t="n">
        <x:f>IF(I786="","",I786-B786)</x:f>
        <x:v>36</x:v>
      </x:c>
      <x:c r="O786" t="str">
        <x:f>IF(TRIM(C786)&lt;&gt;TRIM(H786),"Oui","Non")</x:f>
        <x:v>Non</x:v>
      </x:c>
      <x:c r="P786" t="str">
        <x:f>IFERROR(INDEX('02_REFERENTIEL_CLIENTS'!$B$2:$B$51,MATCH(TRIM(C786),'02_REFERENTIEL_CLIENTS'!$A$2:$A$51,0)),"Non trouvé")</x:f>
        <x:v>Grands comptes</x:v>
      </x:c>
      <x:c r="Q786" t="str">
        <x:f>IFERROR(INDEX('02_REFERENTIEL_CLIENTS'!$C$2:$C$51,MATCH(TRIM(C786),'02_REFERENTIEL_CLIENTS'!$A$2:$A$51,0)),"Non trouvé")</x:f>
        <x:v>France</x:v>
      </x:c>
      <x:c r="R786" t="str">
        <x:f>IF(OR(F786&lt;=0,G786&lt;0,G786&gt;F786,N786&lt;0,P786="Non trouvé"),"À vérifier","OK")</x:f>
        <x:v>OK</x:v>
      </x:c>
    </x:row>
    <x:row r="787">
      <x:c r="A787" t="str">
        <x:v>DV-2026-00786</x:v>
      </x:c>
      <x:c r="B787" s="16" t="n">
        <x:v>46198</x:v>
      </x:c>
      <x:c r="C787" t="str">
        <x:v>Client 50</x:v>
      </x:c>
      <x:c r="D787" t="str">
        <x:v>Fret maritime</x:v>
      </x:c>
      <x:c r="E787" t="str">
        <x:v>Pôle E</x:v>
      </x:c>
      <x:c r="F787" s="18" t="n">
        <x:v>4676.16</x:v>
      </x:c>
      <x:c r="G787" s="18" t="n">
        <x:v>0</x:v>
      </x:c>
      <x:c r="H787" t="str">
        <x:v>Client 50</x:v>
      </x:c>
      <x:c r="I787" s="16"/>
      <x:c r="J787" t="n">
        <x:f>YEAR(B787)</x:f>
        <x:v>2026</x:v>
      </x:c>
      <x:c r="K787" s="20" t="n">
        <x:f>DATE(YEAR(B787),MONTH(B787),1)</x:f>
        <x:v>46174</x:v>
      </x:c>
      <x:c r="L787" s="18" t="n">
        <x:f>F787-G787</x:f>
        <x:v>4676.16</x:v>
      </x:c>
      <x:c r="M787" t="str">
        <x:f>IF(L787&lt;=0,"Payée",IF(G787=0,"Impayée","Partielle"))</x:f>
        <x:v>Impayée</x:v>
      </x:c>
      <x:c r="N787" t="str">
        <x:f>IF(I787="","",I787-B787)</x:f>
      </x:c>
      <x:c r="O787" t="str">
        <x:f>IF(TRIM(C787)&lt;&gt;TRIM(H787),"Oui","Non")</x:f>
        <x:v>Non</x:v>
      </x:c>
      <x:c r="P787" t="str">
        <x:f>IFERROR(INDEX('02_REFERENTIEL_CLIENTS'!$B$2:$B$51,MATCH(TRIM(C787),'02_REFERENTIEL_CLIENTS'!$A$2:$A$51,0)),"Non trouvé")</x:f>
        <x:v>PME</x:v>
      </x:c>
      <x:c r="Q787" t="str">
        <x:f>IFERROR(INDEX('02_REFERENTIEL_CLIENTS'!$C$2:$C$51,MATCH(TRIM(C787),'02_REFERENTIEL_CLIENTS'!$A$2:$A$51,0)),"Non trouvé")</x:f>
        <x:v>Europe</x:v>
      </x:c>
      <x:c r="R787" t="str">
        <x:f>IF(OR(F787&lt;=0,G787&lt;0,G787&gt;F787,N787&lt;0,P787="Non trouvé"),"À vérifier","OK")</x:f>
        <x:v>OK</x:v>
      </x:c>
    </x:row>
    <x:row r="788">
      <x:c r="A788" t="str">
        <x:v>DV-2025-00787</x:v>
      </x:c>
      <x:c r="B788" s="16" t="n">
        <x:v>45854</x:v>
      </x:c>
      <x:c r="C788" t="str">
        <x:v>Client 47</x:v>
      </x:c>
      <x:c r="D788" t="str">
        <x:v>Fret maritime</x:v>
      </x:c>
      <x:c r="E788" t="str">
        <x:v>Pôle E</x:v>
      </x:c>
      <x:c r="F788" s="18" t="n">
        <x:v>8016.33</x:v>
      </x:c>
      <x:c r="G788" s="18" t="n">
        <x:v>8016.33</x:v>
      </x:c>
      <x:c r="H788" t="str">
        <x:v>Client 47</x:v>
      </x:c>
      <x:c r="I788" s="16" t="n">
        <x:v>45942</x:v>
      </x:c>
      <x:c r="J788" t="n">
        <x:f>YEAR(B788)</x:f>
        <x:v>2025</x:v>
      </x:c>
      <x:c r="K788" s="20" t="n">
        <x:f>DATE(YEAR(B788),MONTH(B788),1)</x:f>
        <x:v>45839</x:v>
      </x:c>
      <x:c r="L788" s="18" t="n">
        <x:f>F788-G788</x:f>
        <x:v>0</x:v>
      </x:c>
      <x:c r="M788" t="str">
        <x:f>IF(L788&lt;=0,"Payée",IF(G788=0,"Impayée","Partielle"))</x:f>
        <x:v>Payée</x:v>
      </x:c>
      <x:c r="N788" t="n">
        <x:f>IF(I788="","",I788-B788)</x:f>
        <x:v>88</x:v>
      </x:c>
      <x:c r="O788" t="str">
        <x:f>IF(TRIM(C788)&lt;&gt;TRIM(H788),"Oui","Non")</x:f>
        <x:v>Non</x:v>
      </x:c>
      <x:c r="P788" t="str">
        <x:f>IFERROR(INDEX('02_REFERENTIEL_CLIENTS'!$B$2:$B$51,MATCH(TRIM(C788),'02_REFERENTIEL_CLIENTS'!$A$2:$A$51,0)),"Non trouvé")</x:f>
        <x:v>PME</x:v>
      </x:c>
      <x:c r="Q788" t="str">
        <x:f>IFERROR(INDEX('02_REFERENTIEL_CLIENTS'!$C$2:$C$51,MATCH(TRIM(C788),'02_REFERENTIEL_CLIENTS'!$A$2:$A$51,0)),"Non trouvé")</x:f>
        <x:v>Europe</x:v>
      </x:c>
      <x:c r="R788" t="str">
        <x:f>IF(OR(F788&lt;=0,G788&lt;0,G788&gt;F788,N788&lt;0,P788="Non trouvé"),"À vérifier","OK")</x:f>
        <x:v>OK</x:v>
      </x:c>
    </x:row>
    <x:row r="789">
      <x:c r="A789" t="str">
        <x:v>DV-2026-00788</x:v>
      </x:c>
      <x:c r="B789" s="16" t="n">
        <x:v>46111</x:v>
      </x:c>
      <x:c r="C789" t="str">
        <x:v>Client 31</x:v>
      </x:c>
      <x:c r="D789" t="str">
        <x:v>Fret aérien</x:v>
      </x:c>
      <x:c r="E789" t="str">
        <x:v>Pôle A</x:v>
      </x:c>
      <x:c r="F789" s="18" t="n">
        <x:v>18470.68</x:v>
      </x:c>
      <x:c r="G789" s="18" t="n">
        <x:v>18470.68</x:v>
      </x:c>
      <x:c r="H789" t="str">
        <x:v>Client 31</x:v>
      </x:c>
      <x:c r="I789" s="16" t="n">
        <x:v>46113</x:v>
      </x:c>
      <x:c r="J789" t="n">
        <x:f>YEAR(B789)</x:f>
        <x:v>2026</x:v>
      </x:c>
      <x:c r="K789" s="20" t="n">
        <x:f>DATE(YEAR(B789),MONTH(B789),1)</x:f>
        <x:v>46082</x:v>
      </x:c>
      <x:c r="L789" s="18" t="n">
        <x:f>F789-G789</x:f>
        <x:v>0</x:v>
      </x:c>
      <x:c r="M789" t="str">
        <x:f>IF(L789&lt;=0,"Payée",IF(G789=0,"Impayée","Partielle"))</x:f>
        <x:v>Payée</x:v>
      </x:c>
      <x:c r="N789" t="n">
        <x:f>IF(I789="","",I789-B789)</x:f>
        <x:v>2</x:v>
      </x:c>
      <x:c r="O789" t="str">
        <x:f>IF(TRIM(C789)&lt;&gt;TRIM(H789),"Oui","Non")</x:f>
        <x:v>Non</x:v>
      </x:c>
      <x:c r="P789" t="str">
        <x:f>IFERROR(INDEX('02_REFERENTIEL_CLIENTS'!$B$2:$B$51,MATCH(TRIM(C789),'02_REFERENTIEL_CLIENTS'!$A$2:$A$51,0)),"Non trouvé")</x:f>
        <x:v>Grands comptes</x:v>
      </x:c>
      <x:c r="Q789" t="str">
        <x:f>IFERROR(INDEX('02_REFERENTIEL_CLIENTS'!$C$2:$C$51,MATCH(TRIM(C789),'02_REFERENTIEL_CLIENTS'!$A$2:$A$51,0)),"Non trouvé")</x:f>
        <x:v>France</x:v>
      </x:c>
      <x:c r="R789" t="str">
        <x:f>IF(OR(F789&lt;=0,G789&lt;0,G789&gt;F789,N789&lt;0,P789="Non trouvé"),"À vérifier","OK")</x:f>
        <x:v>OK</x:v>
      </x:c>
    </x:row>
    <x:row r="790">
      <x:c r="A790" t="str">
        <x:v>DV-2026-00789</x:v>
      </x:c>
      <x:c r="B790" s="16" t="n">
        <x:v>46202</x:v>
      </x:c>
      <x:c r="C790" t="str">
        <x:v>Client 32</x:v>
      </x:c>
      <x:c r="D790" t="str">
        <x:v>Douane</x:v>
      </x:c>
      <x:c r="E790" t="str">
        <x:v>Pôle B</x:v>
      </x:c>
      <x:c r="F790" s="18" t="n">
        <x:v>21346.39</x:v>
      </x:c>
      <x:c r="G790" s="18" t="n">
        <x:v>0</x:v>
      </x:c>
      <x:c r="H790" t="str">
        <x:v>Client 32</x:v>
      </x:c>
      <x:c r="I790" s="16"/>
      <x:c r="J790" t="n">
        <x:f>YEAR(B790)</x:f>
        <x:v>2026</x:v>
      </x:c>
      <x:c r="K790" s="20" t="n">
        <x:f>DATE(YEAR(B790),MONTH(B790),1)</x:f>
        <x:v>46174</x:v>
      </x:c>
      <x:c r="L790" s="18" t="n">
        <x:f>F790-G790</x:f>
        <x:v>21346.39</x:v>
      </x:c>
      <x:c r="M790" t="str">
        <x:f>IF(L790&lt;=0,"Payée",IF(G790=0,"Impayée","Partielle"))</x:f>
        <x:v>Impayée</x:v>
      </x:c>
      <x:c r="N790" t="str">
        <x:f>IF(I790="","",I790-B790)</x:f>
      </x:c>
      <x:c r="O790" t="str">
        <x:f>IF(TRIM(C790)&lt;&gt;TRIM(H790),"Oui","Non")</x:f>
        <x:v>Non</x:v>
      </x:c>
      <x:c r="P790" t="str">
        <x:f>IFERROR(INDEX('02_REFERENTIEL_CLIENTS'!$B$2:$B$51,MATCH(TRIM(C790),'02_REFERENTIEL_CLIENTS'!$A$2:$A$51,0)),"Non trouvé")</x:f>
        <x:v>PME</x:v>
      </x:c>
      <x:c r="Q790" t="str">
        <x:f>IFERROR(INDEX('02_REFERENTIEL_CLIENTS'!$C$2:$C$51,MATCH(TRIM(C790),'02_REFERENTIEL_CLIENTS'!$A$2:$A$51,0)),"Non trouvé")</x:f>
        <x:v>Europe</x:v>
      </x:c>
      <x:c r="R790" t="str">
        <x:f>IF(OR(F790&lt;=0,G790&lt;0,G790&gt;F790,N790&lt;0,P790="Non trouvé"),"À vérifier","OK")</x:f>
        <x:v>OK</x:v>
      </x:c>
    </x:row>
    <x:row r="791">
      <x:c r="A791" t="str">
        <x:v>DV-2024-00790</x:v>
      </x:c>
      <x:c r="B791" s="16" t="n">
        <x:v>45367</x:v>
      </x:c>
      <x:c r="C791" t="str">
        <x:v>Client 20</x:v>
      </x:c>
      <x:c r="D791" t="str">
        <x:v>Fret aérien</x:v>
      </x:c>
      <x:c r="E791" t="str">
        <x:v>Pôle A</x:v>
      </x:c>
      <x:c r="F791" s="18" t="n">
        <x:v>16286.04</x:v>
      </x:c>
      <x:c r="G791" s="18" t="n">
        <x:v>16286.04</x:v>
      </x:c>
      <x:c r="H791" t="str">
        <x:v>Client 20</x:v>
      </x:c>
      <x:c r="I791" s="16" t="n">
        <x:v>45374</x:v>
      </x:c>
      <x:c r="J791" t="n">
        <x:f>YEAR(B791)</x:f>
        <x:v>2024</x:v>
      </x:c>
      <x:c r="K791" s="20" t="n">
        <x:f>DATE(YEAR(B791),MONTH(B791),1)</x:f>
        <x:v>45352</x:v>
      </x:c>
      <x:c r="L791" s="18" t="n">
        <x:f>F791-G791</x:f>
        <x:v>0</x:v>
      </x:c>
      <x:c r="M791" t="str">
        <x:f>IF(L791&lt;=0,"Payée",IF(G791=0,"Impayée","Partielle"))</x:f>
        <x:v>Payée</x:v>
      </x:c>
      <x:c r="N791" t="n">
        <x:f>IF(I791="","",I791-B791)</x:f>
        <x:v>7</x:v>
      </x:c>
      <x:c r="O791" t="str">
        <x:f>IF(TRIM(C791)&lt;&gt;TRIM(H791),"Oui","Non")</x:f>
        <x:v>Non</x:v>
      </x:c>
      <x:c r="P791" t="str">
        <x:f>IFERROR(INDEX('02_REFERENTIEL_CLIENTS'!$B$2:$B$51,MATCH(TRIM(C791),'02_REFERENTIEL_CLIENTS'!$A$2:$A$51,0)),"Non trouvé")</x:f>
        <x:v>PME</x:v>
      </x:c>
      <x:c r="Q791" t="str">
        <x:f>IFERROR(INDEX('02_REFERENTIEL_CLIENTS'!$C$2:$C$51,MATCH(TRIM(C791),'02_REFERENTIEL_CLIENTS'!$A$2:$A$51,0)),"Non trouvé")</x:f>
        <x:v>Europe</x:v>
      </x:c>
      <x:c r="R791" t="str">
        <x:f>IF(OR(F791&lt;=0,G791&lt;0,G791&gt;F791,N791&lt;0,P791="Non trouvé"),"À vérifier","OK")</x:f>
        <x:v>OK</x:v>
      </x:c>
    </x:row>
    <x:row r="792">
      <x:c r="A792" t="str">
        <x:v>DV-2025-00791</x:v>
      </x:c>
      <x:c r="B792" s="16" t="n">
        <x:v>45794</x:v>
      </x:c>
      <x:c r="C792" t="str">
        <x:v>Client 29</x:v>
      </x:c>
      <x:c r="D792" t="str">
        <x:v>Logistique</x:v>
      </x:c>
      <x:c r="E792" t="str">
        <x:v>Pôle D</x:v>
      </x:c>
      <x:c r="F792" s="18" t="n">
        <x:v>7528.72</x:v>
      </x:c>
      <x:c r="G792" s="18" t="n">
        <x:v>7528.72</x:v>
      </x:c>
      <x:c r="H792" t="str">
        <x:v>Client 29</x:v>
      </x:c>
      <x:c r="I792" s="16" t="n">
        <x:v>45839</x:v>
      </x:c>
      <x:c r="J792" t="n">
        <x:f>YEAR(B792)</x:f>
        <x:v>2025</x:v>
      </x:c>
      <x:c r="K792" s="20" t="n">
        <x:f>DATE(YEAR(B792),MONTH(B792),1)</x:f>
        <x:v>45778</x:v>
      </x:c>
      <x:c r="L792" s="18" t="n">
        <x:f>F792-G792</x:f>
        <x:v>0</x:v>
      </x:c>
      <x:c r="M792" t="str">
        <x:f>IF(L792&lt;=0,"Payée",IF(G792=0,"Impayée","Partielle"))</x:f>
        <x:v>Payée</x:v>
      </x:c>
      <x:c r="N792" t="n">
        <x:f>IF(I792="","",I792-B792)</x:f>
        <x:v>45</x:v>
      </x:c>
      <x:c r="O792" t="str">
        <x:f>IF(TRIM(C792)&lt;&gt;TRIM(H792),"Oui","Non")</x:f>
        <x:v>Non</x:v>
      </x:c>
      <x:c r="P792" t="str">
        <x:f>IFERROR(INDEX('02_REFERENTIEL_CLIENTS'!$B$2:$B$51,MATCH(TRIM(C792),'02_REFERENTIEL_CLIENTS'!$A$2:$A$51,0)),"Non trouvé")</x:f>
        <x:v>PME</x:v>
      </x:c>
      <x:c r="Q792" t="str">
        <x:f>IFERROR(INDEX('02_REFERENTIEL_CLIENTS'!$C$2:$C$51,MATCH(TRIM(C792),'02_REFERENTIEL_CLIENTS'!$A$2:$A$51,0)),"Non trouvé")</x:f>
        <x:v>Europe</x:v>
      </x:c>
      <x:c r="R792" t="str">
        <x:f>IF(OR(F792&lt;=0,G792&lt;0,G792&gt;F792,N792&lt;0,P792="Non trouvé"),"À vérifier","OK")</x:f>
        <x:v>OK</x:v>
      </x:c>
    </x:row>
    <x:row r="793">
      <x:c r="A793" t="str">
        <x:v>DV-2024-00792</x:v>
      </x:c>
      <x:c r="B793" s="16" t="n">
        <x:v>45456</x:v>
      </x:c>
      <x:c r="C793" t="str">
        <x:v>Client 14</x:v>
      </x:c>
      <x:c r="D793" t="str">
        <x:v>Fret maritime</x:v>
      </x:c>
      <x:c r="E793" t="str">
        <x:v>Pôle A</x:v>
      </x:c>
      <x:c r="F793" s="18" t="n">
        <x:v>21932.39</x:v>
      </x:c>
      <x:c r="G793" s="18" t="n">
        <x:v>21932.39</x:v>
      </x:c>
      <x:c r="H793" t="str">
        <x:v>Client 14</x:v>
      </x:c>
      <x:c r="I793" s="16" t="n">
        <x:v>45529</x:v>
      </x:c>
      <x:c r="J793" t="n">
        <x:f>YEAR(B793)</x:f>
        <x:v>2024</x:v>
      </x:c>
      <x:c r="K793" s="20" t="n">
        <x:f>DATE(YEAR(B793),MONTH(B793),1)</x:f>
        <x:v>45444</x:v>
      </x:c>
      <x:c r="L793" s="18" t="n">
        <x:f>F793-G793</x:f>
        <x:v>0</x:v>
      </x:c>
      <x:c r="M793" t="str">
        <x:f>IF(L793&lt;=0,"Payée",IF(G793=0,"Impayée","Partielle"))</x:f>
        <x:v>Payée</x:v>
      </x:c>
      <x:c r="N793" t="n">
        <x:f>IF(I793="","",I793-B793)</x:f>
        <x:v>73</x:v>
      </x:c>
      <x:c r="O793" t="str">
        <x:f>IF(TRIM(C793)&lt;&gt;TRIM(H793),"Oui","Non")</x:f>
        <x:v>Non</x:v>
      </x:c>
      <x:c r="P793" t="str">
        <x:f>IFERROR(INDEX('02_REFERENTIEL_CLIENTS'!$B$2:$B$51,MATCH(TRIM(C793),'02_REFERENTIEL_CLIENTS'!$A$2:$A$51,0)),"Non trouvé")</x:f>
        <x:v>PME</x:v>
      </x:c>
      <x:c r="Q793" t="str">
        <x:f>IFERROR(INDEX('02_REFERENTIEL_CLIENTS'!$C$2:$C$51,MATCH(TRIM(C793),'02_REFERENTIEL_CLIENTS'!$A$2:$A$51,0)),"Non trouvé")</x:f>
        <x:v>Europe</x:v>
      </x:c>
      <x:c r="R793" t="str">
        <x:f>IF(OR(F793&lt;=0,G793&lt;0,G793&gt;F793,N793&lt;0,P793="Non trouvé"),"À vérifier","OK")</x:f>
        <x:v>OK</x:v>
      </x:c>
    </x:row>
    <x:row r="794">
      <x:c r="A794" t="str">
        <x:v>DV-2024-00793</x:v>
      </x:c>
      <x:c r="B794" s="16" t="n">
        <x:v>45581</x:v>
      </x:c>
      <x:c r="C794" t="str">
        <x:v>Client 22</x:v>
      </x:c>
      <x:c r="D794" t="str">
        <x:v>Fret maritime</x:v>
      </x:c>
      <x:c r="E794" t="str">
        <x:v>Pôle A</x:v>
      </x:c>
      <x:c r="F794" s="18" t="n">
        <x:v>20495.96</x:v>
      </x:c>
      <x:c r="G794" s="18" t="n">
        <x:v>20495.96</x:v>
      </x:c>
      <x:c r="H794" t="str">
        <x:v>Client 22</x:v>
      </x:c>
      <x:c r="I794" s="16" t="n">
        <x:v>45665</x:v>
      </x:c>
      <x:c r="J794" t="n">
        <x:f>YEAR(B794)</x:f>
        <x:v>2024</x:v>
      </x:c>
      <x:c r="K794" s="20" t="n">
        <x:f>DATE(YEAR(B794),MONTH(B794),1)</x:f>
        <x:v>45566</x:v>
      </x:c>
      <x:c r="L794" s="18" t="n">
        <x:f>F794-G794</x:f>
        <x:v>0</x:v>
      </x:c>
      <x:c r="M794" t="str">
        <x:f>IF(L794&lt;=0,"Payée",IF(G794=0,"Impayée","Partielle"))</x:f>
        <x:v>Payée</x:v>
      </x:c>
      <x:c r="N794" t="n">
        <x:f>IF(I794="","",I794-B794)</x:f>
        <x:v>84</x:v>
      </x:c>
      <x:c r="O794" t="str">
        <x:f>IF(TRIM(C794)&lt;&gt;TRIM(H794),"Oui","Non")</x:f>
        <x:v>Non</x:v>
      </x:c>
      <x:c r="P794" t="str">
        <x:f>IFERROR(INDEX('02_REFERENTIEL_CLIENTS'!$B$2:$B$51,MATCH(TRIM(C794),'02_REFERENTIEL_CLIENTS'!$A$2:$A$51,0)),"Non trouvé")</x:f>
        <x:v>Grands comptes</x:v>
      </x:c>
      <x:c r="Q794" t="str">
        <x:f>IFERROR(INDEX('02_REFERENTIEL_CLIENTS'!$C$2:$C$51,MATCH(TRIM(C794),'02_REFERENTIEL_CLIENTS'!$A$2:$A$51,0)),"Non trouvé")</x:f>
        <x:v>France</x:v>
      </x:c>
      <x:c r="R794" t="str">
        <x:f>IF(OR(F794&lt;=0,G794&lt;0,G794&gt;F794,N794&lt;0,P794="Non trouvé"),"À vérifier","OK")</x:f>
        <x:v>OK</x:v>
      </x:c>
    </x:row>
    <x:row r="795">
      <x:c r="A795" t="str">
        <x:v>DV-2024-00794</x:v>
      </x:c>
      <x:c r="B795" s="16" t="n">
        <x:v>45567</x:v>
      </x:c>
      <x:c r="C795" t="str">
        <x:v>Client 24</x:v>
      </x:c>
      <x:c r="D795" t="str">
        <x:v>Fret maritime</x:v>
      </x:c>
      <x:c r="E795" t="str">
        <x:v>Pôle A</x:v>
      </x:c>
      <x:c r="F795" s="18" t="n">
        <x:v>10170.24</x:v>
      </x:c>
      <x:c r="G795" s="18" t="n">
        <x:v>10170.24</x:v>
      </x:c>
      <x:c r="H795" t="str">
        <x:v>Client 24</x:v>
      </x:c>
      <x:c r="I795" s="16" t="n">
        <x:v>45629</x:v>
      </x:c>
      <x:c r="J795" t="n">
        <x:f>YEAR(B795)</x:f>
        <x:v>2024</x:v>
      </x:c>
      <x:c r="K795" s="20" t="n">
        <x:f>DATE(YEAR(B795),MONTH(B795),1)</x:f>
        <x:v>45566</x:v>
      </x:c>
      <x:c r="L795" s="18" t="n">
        <x:f>F795-G795</x:f>
        <x:v>0</x:v>
      </x:c>
      <x:c r="M795" t="str">
        <x:f>IF(L795&lt;=0,"Payée",IF(G795=0,"Impayée","Partielle"))</x:f>
        <x:v>Payée</x:v>
      </x:c>
      <x:c r="N795" t="n">
        <x:f>IF(I795="","",I795-B795)</x:f>
        <x:v>62</x:v>
      </x:c>
      <x:c r="O795" t="str">
        <x:f>IF(TRIM(C795)&lt;&gt;TRIM(H795),"Oui","Non")</x:f>
        <x:v>Non</x:v>
      </x:c>
      <x:c r="P795" t="str">
        <x:f>IFERROR(INDEX('02_REFERENTIEL_CLIENTS'!$B$2:$B$51,MATCH(TRIM(C795),'02_REFERENTIEL_CLIENTS'!$A$2:$A$51,0)),"Non trouvé")</x:f>
        <x:v>Particuliers</x:v>
      </x:c>
      <x:c r="Q795" t="str">
        <x:f>IFERROR(INDEX('02_REFERENTIEL_CLIENTS'!$C$2:$C$51,MATCH(TRIM(C795),'02_REFERENTIEL_CLIENTS'!$A$2:$A$51,0)),"Non trouvé")</x:f>
        <x:v>International</x:v>
      </x:c>
      <x:c r="R795" t="str">
        <x:f>IF(OR(F795&lt;=0,G795&lt;0,G795&gt;F795,N795&lt;0,P795="Non trouvé"),"À vérifier","OK")</x:f>
        <x:v>OK</x:v>
      </x:c>
    </x:row>
    <x:row r="796">
      <x:c r="A796" t="str">
        <x:v>DV-2026-00795</x:v>
      </x:c>
      <x:c r="B796" s="16" t="n">
        <x:v>46126</x:v>
      </x:c>
      <x:c r="C796" t="str">
        <x:v>Client 40</x:v>
      </x:c>
      <x:c r="D796" t="str">
        <x:v>Fret maritime</x:v>
      </x:c>
      <x:c r="E796" t="str">
        <x:v>Pôle D</x:v>
      </x:c>
      <x:c r="F796" s="18" t="n">
        <x:v>21443.02</x:v>
      </x:c>
      <x:c r="G796" s="18" t="n">
        <x:v>21443.02</x:v>
      </x:c>
      <x:c r="H796" t="str">
        <x:v>Client 09</x:v>
      </x:c>
      <x:c r="I796" s="16" t="n">
        <x:v>46199</x:v>
      </x:c>
      <x:c r="J796" t="n">
        <x:f>YEAR(B796)</x:f>
        <x:v>2026</x:v>
      </x:c>
      <x:c r="K796" s="20" t="n">
        <x:f>DATE(YEAR(B796),MONTH(B796),1)</x:f>
        <x:v>46113</x:v>
      </x:c>
      <x:c r="L796" s="18" t="n">
        <x:f>F796-G796</x:f>
        <x:v>0</x:v>
      </x:c>
      <x:c r="M796" t="str">
        <x:f>IF(L796&lt;=0,"Payée",IF(G796=0,"Impayée","Partielle"))</x:f>
        <x:v>Payée</x:v>
      </x:c>
      <x:c r="N796" t="n">
        <x:f>IF(I796="","",I796-B796)</x:f>
        <x:v>73</x:v>
      </x:c>
      <x:c r="O796" t="str">
        <x:f>IF(TRIM(C796)&lt;&gt;TRIM(H796),"Oui","Non")</x:f>
        <x:v>Oui</x:v>
      </x:c>
      <x:c r="P796" t="str">
        <x:f>IFERROR(INDEX('02_REFERENTIEL_CLIENTS'!$B$2:$B$51,MATCH(TRIM(C796),'02_REFERENTIEL_CLIENTS'!$A$2:$A$51,0)),"Non trouvé")</x:f>
        <x:v>Grands comptes</x:v>
      </x:c>
      <x:c r="Q796" t="str">
        <x:f>IFERROR(INDEX('02_REFERENTIEL_CLIENTS'!$C$2:$C$51,MATCH(TRIM(C796),'02_REFERENTIEL_CLIENTS'!$A$2:$A$51,0)),"Non trouvé")</x:f>
        <x:v>France</x:v>
      </x:c>
      <x:c r="R796" t="str">
        <x:f>IF(OR(F796&lt;=0,G796&lt;0,G796&gt;F796,N796&lt;0,P796="Non trouvé"),"À vérifier","OK")</x:f>
        <x:v>OK</x:v>
      </x:c>
    </x:row>
    <x:row r="797">
      <x:c r="A797" t="str">
        <x:v>DV-2024-00796</x:v>
      </x:c>
      <x:c r="B797" s="16" t="n">
        <x:v>45400</x:v>
      </x:c>
      <x:c r="C797" t="str">
        <x:v>Client 20</x:v>
      </x:c>
      <x:c r="D797" t="str">
        <x:v>Douane</x:v>
      </x:c>
      <x:c r="E797" t="str">
        <x:v>Pôle E</x:v>
      </x:c>
      <x:c r="F797" s="18" t="n">
        <x:v>3482.54</x:v>
      </x:c>
      <x:c r="G797" s="18" t="n">
        <x:v>3482.54</x:v>
      </x:c>
      <x:c r="H797" t="str">
        <x:v>Client 20</x:v>
      </x:c>
      <x:c r="I797" s="16" t="n">
        <x:v>45458</x:v>
      </x:c>
      <x:c r="J797" t="n">
        <x:f>YEAR(B797)</x:f>
        <x:v>2024</x:v>
      </x:c>
      <x:c r="K797" s="20" t="n">
        <x:f>DATE(YEAR(B797),MONTH(B797),1)</x:f>
        <x:v>45383</x:v>
      </x:c>
      <x:c r="L797" s="18" t="n">
        <x:f>F797-G797</x:f>
        <x:v>0</x:v>
      </x:c>
      <x:c r="M797" t="str">
        <x:f>IF(L797&lt;=0,"Payée",IF(G797=0,"Impayée","Partielle"))</x:f>
        <x:v>Payée</x:v>
      </x:c>
      <x:c r="N797" t="n">
        <x:f>IF(I797="","",I797-B797)</x:f>
        <x:v>58</x:v>
      </x:c>
      <x:c r="O797" t="str">
        <x:f>IF(TRIM(C797)&lt;&gt;TRIM(H797),"Oui","Non")</x:f>
        <x:v>Non</x:v>
      </x:c>
      <x:c r="P797" t="str">
        <x:f>IFERROR(INDEX('02_REFERENTIEL_CLIENTS'!$B$2:$B$51,MATCH(TRIM(C797),'02_REFERENTIEL_CLIENTS'!$A$2:$A$51,0)),"Non trouvé")</x:f>
        <x:v>PME</x:v>
      </x:c>
      <x:c r="Q797" t="str">
        <x:f>IFERROR(INDEX('02_REFERENTIEL_CLIENTS'!$C$2:$C$51,MATCH(TRIM(C797),'02_REFERENTIEL_CLIENTS'!$A$2:$A$51,0)),"Non trouvé")</x:f>
        <x:v>Europe</x:v>
      </x:c>
      <x:c r="R797" t="str">
        <x:f>IF(OR(F797&lt;=0,G797&lt;0,G797&gt;F797,N797&lt;0,P797="Non trouvé"),"À vérifier","OK")</x:f>
        <x:v>OK</x:v>
      </x:c>
    </x:row>
    <x:row r="798">
      <x:c r="A798" t="str">
        <x:v>DV-2025-00797</x:v>
      </x:c>
      <x:c r="B798" s="16" t="n">
        <x:v>45795</x:v>
      </x:c>
      <x:c r="C798" t="str">
        <x:v>Client 26</x:v>
      </x:c>
      <x:c r="D798" t="str">
        <x:v>Fret maritime</x:v>
      </x:c>
      <x:c r="E798" t="str">
        <x:v>Pôle D</x:v>
      </x:c>
      <x:c r="F798" s="18" t="n">
        <x:v>4540.88</x:v>
      </x:c>
      <x:c r="G798" s="18" t="n">
        <x:v>4540.88</x:v>
      </x:c>
      <x:c r="H798" t="str">
        <x:v>Client 26</x:v>
      </x:c>
      <x:c r="I798" s="16" t="n">
        <x:v>45880</x:v>
      </x:c>
      <x:c r="J798" t="n">
        <x:f>YEAR(B798)</x:f>
        <x:v>2025</x:v>
      </x:c>
      <x:c r="K798" s="20" t="n">
        <x:f>DATE(YEAR(B798),MONTH(B798),1)</x:f>
        <x:v>45778</x:v>
      </x:c>
      <x:c r="L798" s="18" t="n">
        <x:f>F798-G798</x:f>
        <x:v>0</x:v>
      </x:c>
      <x:c r="M798" t="str">
        <x:f>IF(L798&lt;=0,"Payée",IF(G798=0,"Impayée","Partielle"))</x:f>
        <x:v>Payée</x:v>
      </x:c>
      <x:c r="N798" t="n">
        <x:f>IF(I798="","",I798-B798)</x:f>
        <x:v>85</x:v>
      </x:c>
      <x:c r="O798" t="str">
        <x:f>IF(TRIM(C798)&lt;&gt;TRIM(H798),"Oui","Non")</x:f>
        <x:v>Non</x:v>
      </x:c>
      <x:c r="P798" t="str">
        <x:f>IFERROR(INDEX('02_REFERENTIEL_CLIENTS'!$B$2:$B$51,MATCH(TRIM(C798),'02_REFERENTIEL_CLIENTS'!$A$2:$A$51,0)),"Non trouvé")</x:f>
        <x:v>PME</x:v>
      </x:c>
      <x:c r="Q798" t="str">
        <x:f>IFERROR(INDEX('02_REFERENTIEL_CLIENTS'!$C$2:$C$51,MATCH(TRIM(C798),'02_REFERENTIEL_CLIENTS'!$A$2:$A$51,0)),"Non trouvé")</x:f>
        <x:v>Europe</x:v>
      </x:c>
      <x:c r="R798" t="str">
        <x:f>IF(OR(F798&lt;=0,G798&lt;0,G798&gt;F798,N798&lt;0,P798="Non trouvé"),"À vérifier","OK")</x:f>
        <x:v>OK</x:v>
      </x:c>
    </x:row>
    <x:row r="799">
      <x:c r="A799" t="str">
        <x:v>DV-2024-00798</x:v>
      </x:c>
      <x:c r="B799" s="16" t="n">
        <x:v>45470</x:v>
      </x:c>
      <x:c r="C799" t="str">
        <x:v>Client 12</x:v>
      </x:c>
      <x:c r="D799" t="str">
        <x:v>Logistique</x:v>
      </x:c>
      <x:c r="E799" t="str">
        <x:v>Pôle A</x:v>
      </x:c>
      <x:c r="F799" s="18" t="n">
        <x:v>1159.53</x:v>
      </x:c>
      <x:c r="G799" s="18" t="n">
        <x:v>1159.53</x:v>
      </x:c>
      <x:c r="H799" t="str">
        <x:v>Client 12</x:v>
      </x:c>
      <x:c r="I799" s="16" t="n">
        <x:v>45542</x:v>
      </x:c>
      <x:c r="J799" t="n">
        <x:f>YEAR(B799)</x:f>
        <x:v>2024</x:v>
      </x:c>
      <x:c r="K799" s="20" t="n">
        <x:f>DATE(YEAR(B799),MONTH(B799),1)</x:f>
        <x:v>45444</x:v>
      </x:c>
      <x:c r="L799" s="18" t="n">
        <x:f>F799-G799</x:f>
        <x:v>0</x:v>
      </x:c>
      <x:c r="M799" t="str">
        <x:f>IF(L799&lt;=0,"Payée",IF(G799=0,"Impayée","Partielle"))</x:f>
        <x:v>Payée</x:v>
      </x:c>
      <x:c r="N799" t="n">
        <x:f>IF(I799="","",I799-B799)</x:f>
        <x:v>72</x:v>
      </x:c>
      <x:c r="O799" t="str">
        <x:f>IF(TRIM(C799)&lt;&gt;TRIM(H799),"Oui","Non")</x:f>
        <x:v>Non</x:v>
      </x:c>
      <x:c r="P799" t="str">
        <x:f>IFERROR(INDEX('02_REFERENTIEL_CLIENTS'!$B$2:$B$51,MATCH(TRIM(C799),'02_REFERENTIEL_CLIENTS'!$A$2:$A$51,0)),"Non trouvé")</x:f>
        <x:v>Particuliers</x:v>
      </x:c>
      <x:c r="Q799" t="str">
        <x:f>IFERROR(INDEX('02_REFERENTIEL_CLIENTS'!$C$2:$C$51,MATCH(TRIM(C799),'02_REFERENTIEL_CLIENTS'!$A$2:$A$51,0)),"Non trouvé")</x:f>
        <x:v>International</x:v>
      </x:c>
      <x:c r="R799" t="str">
        <x:f>IF(OR(F799&lt;=0,G799&lt;0,G799&gt;F799,N799&lt;0,P799="Non trouvé"),"À vérifier","OK")</x:f>
        <x:v>OK</x:v>
      </x:c>
    </x:row>
    <x:row r="800">
      <x:c r="A800" t="str">
        <x:v>DV-2025-00799</x:v>
      </x:c>
      <x:c r="B800" s="16" t="n">
        <x:v>45666</x:v>
      </x:c>
      <x:c r="C800" t="str">
        <x:v>Client 04</x:v>
      </x:c>
      <x:c r="D800" t="str">
        <x:v>Fret maritime</x:v>
      </x:c>
      <x:c r="E800" t="str">
        <x:v>Pôle D</x:v>
      </x:c>
      <x:c r="F800" s="18" t="n">
        <x:v>15455.39</x:v>
      </x:c>
      <x:c r="G800" s="18" t="n">
        <x:v>15455.39</x:v>
      </x:c>
      <x:c r="H800" t="str">
        <x:v>Client 04</x:v>
      </x:c>
      <x:c r="I800" s="16" t="n">
        <x:v>45712</x:v>
      </x:c>
      <x:c r="J800" t="n">
        <x:f>YEAR(B800)</x:f>
        <x:v>2025</x:v>
      </x:c>
      <x:c r="K800" s="20" t="n">
        <x:f>DATE(YEAR(B800),MONTH(B800),1)</x:f>
        <x:v>45658</x:v>
      </x:c>
      <x:c r="L800" s="18" t="n">
        <x:f>F800-G800</x:f>
        <x:v>0</x:v>
      </x:c>
      <x:c r="M800" t="str">
        <x:f>IF(L800&lt;=0,"Payée",IF(G800=0,"Impayée","Partielle"))</x:f>
        <x:v>Payée</x:v>
      </x:c>
      <x:c r="N800" t="n">
        <x:f>IF(I800="","",I800-B800)</x:f>
        <x:v>46</x:v>
      </x:c>
      <x:c r="O800" t="str">
        <x:f>IF(TRIM(C800)&lt;&gt;TRIM(H800),"Oui","Non")</x:f>
        <x:v>Non</x:v>
      </x:c>
      <x:c r="P800" t="str">
        <x:f>IFERROR(INDEX('02_REFERENTIEL_CLIENTS'!$B$2:$B$51,MATCH(TRIM(C800),'02_REFERENTIEL_CLIENTS'!$A$2:$A$51,0)),"Non trouvé")</x:f>
        <x:v>Grands comptes</x:v>
      </x:c>
      <x:c r="Q800" t="str">
        <x:f>IFERROR(INDEX('02_REFERENTIEL_CLIENTS'!$C$2:$C$51,MATCH(TRIM(C800),'02_REFERENTIEL_CLIENTS'!$A$2:$A$51,0)),"Non trouvé")</x:f>
        <x:v>France</x:v>
      </x:c>
      <x:c r="R800" t="str">
        <x:f>IF(OR(F800&lt;=0,G800&lt;0,G800&gt;F800,N800&lt;0,P800="Non trouvé"),"À vérifier","OK")</x:f>
        <x:v>OK</x:v>
      </x:c>
    </x:row>
    <x:row r="801">
      <x:c r="A801" t="str">
        <x:v>DV-2024-00800</x:v>
      </x:c>
      <x:c r="B801" s="16" t="n">
        <x:v>45622</x:v>
      </x:c>
      <x:c r="C801" t="str">
        <x:v>Client 35</x:v>
      </x:c>
      <x:c r="D801" t="str">
        <x:v>Fret maritime</x:v>
      </x:c>
      <x:c r="E801" t="str">
        <x:v>Pôle D</x:v>
      </x:c>
      <x:c r="F801" s="18" t="n">
        <x:v>300.5</x:v>
      </x:c>
      <x:c r="G801" s="18" t="n">
        <x:v>300.5</x:v>
      </x:c>
      <x:c r="H801" t="str">
        <x:v>Client 35</x:v>
      </x:c>
      <x:c r="I801" s="16" t="n">
        <x:v>45670</x:v>
      </x:c>
      <x:c r="J801" t="n">
        <x:f>YEAR(B801)</x:f>
        <x:v>2024</x:v>
      </x:c>
      <x:c r="K801" s="20" t="n">
        <x:f>DATE(YEAR(B801),MONTH(B801),1)</x:f>
        <x:v>45597</x:v>
      </x:c>
      <x:c r="L801" s="18" t="n">
        <x:f>F801-G801</x:f>
        <x:v>0</x:v>
      </x:c>
      <x:c r="M801" t="str">
        <x:f>IF(L801&lt;=0,"Payée",IF(G801=0,"Impayée","Partielle"))</x:f>
        <x:v>Payée</x:v>
      </x:c>
      <x:c r="N801" t="n">
        <x:f>IF(I801="","",I801-B801)</x:f>
        <x:v>48</x:v>
      </x:c>
      <x:c r="O801" t="str">
        <x:f>IF(TRIM(C801)&lt;&gt;TRIM(H801),"Oui","Non")</x:f>
        <x:v>Non</x:v>
      </x:c>
      <x:c r="P801" t="str">
        <x:f>IFERROR(INDEX('02_REFERENTIEL_CLIENTS'!$B$2:$B$51,MATCH(TRIM(C801),'02_REFERENTIEL_CLIENTS'!$A$2:$A$51,0)),"Non trouvé")</x:f>
        <x:v>PME</x:v>
      </x:c>
      <x:c r="Q801" t="str">
        <x:f>IFERROR(INDEX('02_REFERENTIEL_CLIENTS'!$C$2:$C$51,MATCH(TRIM(C801),'02_REFERENTIEL_CLIENTS'!$A$2:$A$51,0)),"Non trouvé")</x:f>
        <x:v>Europe</x:v>
      </x:c>
      <x:c r="R801" t="str">
        <x:f>IF(OR(F801&lt;=0,G801&lt;0,G801&gt;F801,N801&lt;0,P801="Non trouvé"),"À vérifier","OK")</x:f>
        <x:v>OK</x:v>
      </x:c>
    </x:row>
    <x:row r="802">
      <x:c r="A802" t="str">
        <x:v>DV-2025-00801</x:v>
      </x:c>
      <x:c r="B802" s="16" t="n">
        <x:v>45770</x:v>
      </x:c>
      <x:c r="C802" t="str">
        <x:v>Client 08</x:v>
      </x:c>
      <x:c r="D802" t="str">
        <x:v>Express</x:v>
      </x:c>
      <x:c r="E802" t="str">
        <x:v>Pôle B</x:v>
      </x:c>
      <x:c r="F802" s="18" t="n">
        <x:v>14968.47</x:v>
      </x:c>
      <x:c r="G802" s="18" t="n">
        <x:v>14968.47</x:v>
      </x:c>
      <x:c r="H802" t="str">
        <x:v>Client 08</x:v>
      </x:c>
      <x:c r="I802" s="16" t="n">
        <x:v>45849</x:v>
      </x:c>
      <x:c r="J802" t="n">
        <x:f>YEAR(B802)</x:f>
        <x:v>2025</x:v>
      </x:c>
      <x:c r="K802" s="20" t="n">
        <x:f>DATE(YEAR(B802),MONTH(B802),1)</x:f>
        <x:v>45748</x:v>
      </x:c>
      <x:c r="L802" s="18" t="n">
        <x:f>F802-G802</x:f>
        <x:v>0</x:v>
      </x:c>
      <x:c r="M802" t="str">
        <x:f>IF(L802&lt;=0,"Payée",IF(G802=0,"Impayée","Partielle"))</x:f>
        <x:v>Payée</x:v>
      </x:c>
      <x:c r="N802" t="n">
        <x:f>IF(I802="","",I802-B802)</x:f>
        <x:v>79</x:v>
      </x:c>
      <x:c r="O802" t="str">
        <x:f>IF(TRIM(C802)&lt;&gt;TRIM(H802),"Oui","Non")</x:f>
        <x:v>Non</x:v>
      </x:c>
      <x:c r="P802" t="str">
        <x:f>IFERROR(INDEX('02_REFERENTIEL_CLIENTS'!$B$2:$B$51,MATCH(TRIM(C802),'02_REFERENTIEL_CLIENTS'!$A$2:$A$51,0)),"Non trouvé")</x:f>
        <x:v>PME</x:v>
      </x:c>
      <x:c r="Q802" t="str">
        <x:f>IFERROR(INDEX('02_REFERENTIEL_CLIENTS'!$C$2:$C$51,MATCH(TRIM(C802),'02_REFERENTIEL_CLIENTS'!$A$2:$A$51,0)),"Non trouvé")</x:f>
        <x:v>Europe</x:v>
      </x:c>
      <x:c r="R802" t="str">
        <x:f>IF(OR(F802&lt;=0,G802&lt;0,G802&gt;F802,N802&lt;0,P802="Non trouvé"),"À vérifier","OK")</x:f>
        <x:v>OK</x:v>
      </x:c>
    </x:row>
    <x:row r="803">
      <x:c r="A803" t="str">
        <x:v>DV-2026-00802</x:v>
      </x:c>
      <x:c r="B803" s="16" t="n">
        <x:v>46251</x:v>
      </x:c>
      <x:c r="C803" t="str">
        <x:v>Client 04</x:v>
      </x:c>
      <x:c r="D803" t="str">
        <x:v>Douane</x:v>
      </x:c>
      <x:c r="E803" t="str">
        <x:v>Pôle D</x:v>
      </x:c>
      <x:c r="F803" s="18" t="n">
        <x:v>9157</x:v>
      </x:c>
      <x:c r="G803" s="18" t="n">
        <x:v>2297.6</x:v>
      </x:c>
      <x:c r="H803" t="str">
        <x:v>Client 04</x:v>
      </x:c>
      <x:c r="I803" s="16" t="n">
        <x:v>46324</x:v>
      </x:c>
      <x:c r="J803" t="n">
        <x:f>YEAR(B803)</x:f>
        <x:v>2026</x:v>
      </x:c>
      <x:c r="K803" s="20" t="n">
        <x:f>DATE(YEAR(B803),MONTH(B803),1)</x:f>
        <x:v>46235</x:v>
      </x:c>
      <x:c r="L803" s="18" t="n">
        <x:f>F803-G803</x:f>
        <x:v>6859.4</x:v>
      </x:c>
      <x:c r="M803" t="str">
        <x:f>IF(L803&lt;=0,"Payée",IF(G803=0,"Impayée","Partielle"))</x:f>
        <x:v>Partielle</x:v>
      </x:c>
      <x:c r="N803" t="n">
        <x:f>IF(I803="","",I803-B803)</x:f>
        <x:v>73</x:v>
      </x:c>
      <x:c r="O803" t="str">
        <x:f>IF(TRIM(C803)&lt;&gt;TRIM(H803),"Oui","Non")</x:f>
        <x:v>Non</x:v>
      </x:c>
      <x:c r="P803" t="str">
        <x:f>IFERROR(INDEX('02_REFERENTIEL_CLIENTS'!$B$2:$B$51,MATCH(TRIM(C803),'02_REFERENTIEL_CLIENTS'!$A$2:$A$51,0)),"Non trouvé")</x:f>
        <x:v>Grands comptes</x:v>
      </x:c>
      <x:c r="Q803" t="str">
        <x:f>IFERROR(INDEX('02_REFERENTIEL_CLIENTS'!$C$2:$C$51,MATCH(TRIM(C803),'02_REFERENTIEL_CLIENTS'!$A$2:$A$51,0)),"Non trouvé")</x:f>
        <x:v>France</x:v>
      </x:c>
      <x:c r="R803" t="str">
        <x:f>IF(OR(F803&lt;=0,G803&lt;0,G803&gt;F803,N803&lt;0,P803="Non trouvé"),"À vérifier","OK")</x:f>
        <x:v>OK</x:v>
      </x:c>
    </x:row>
    <x:row r="804">
      <x:c r="A804" t="str">
        <x:v>DV-2026-00803</x:v>
      </x:c>
      <x:c r="B804" s="16" t="n">
        <x:v>46076</x:v>
      </x:c>
      <x:c r="C804" t="str">
        <x:v>Client 48</x:v>
      </x:c>
      <x:c r="D804" t="str">
        <x:v>Douane</x:v>
      </x:c>
      <x:c r="E804" t="str">
        <x:v>Pôle A</x:v>
      </x:c>
      <x:c r="F804" s="18" t="n">
        <x:v>21725.75</x:v>
      </x:c>
      <x:c r="G804" s="18" t="n">
        <x:v>21725.75</x:v>
      </x:c>
      <x:c r="H804" t="str">
        <x:v>Client 48</x:v>
      </x:c>
      <x:c r="I804" s="16" t="n">
        <x:v>46119</x:v>
      </x:c>
      <x:c r="J804" t="n">
        <x:f>YEAR(B804)</x:f>
        <x:v>2026</x:v>
      </x:c>
      <x:c r="K804" s="20" t="n">
        <x:f>DATE(YEAR(B804),MONTH(B804),1)</x:f>
        <x:v>46054</x:v>
      </x:c>
      <x:c r="L804" s="18" t="n">
        <x:f>F804-G804</x:f>
        <x:v>0</x:v>
      </x:c>
      <x:c r="M804" t="str">
        <x:f>IF(L804&lt;=0,"Payée",IF(G804=0,"Impayée","Partielle"))</x:f>
        <x:v>Payée</x:v>
      </x:c>
      <x:c r="N804" t="n">
        <x:f>IF(I804="","",I804-B804)</x:f>
        <x:v>43</x:v>
      </x:c>
      <x:c r="O804" t="str">
        <x:f>IF(TRIM(C804)&lt;&gt;TRIM(H804),"Oui","Non")</x:f>
        <x:v>Non</x:v>
      </x:c>
      <x:c r="P804" t="str">
        <x:f>IFERROR(INDEX('02_REFERENTIEL_CLIENTS'!$B$2:$B$51,MATCH(TRIM(C804),'02_REFERENTIEL_CLIENTS'!$A$2:$A$51,0)),"Non trouvé")</x:f>
        <x:v>Particuliers</x:v>
      </x:c>
      <x:c r="Q804" t="str">
        <x:f>IFERROR(INDEX('02_REFERENTIEL_CLIENTS'!$C$2:$C$51,MATCH(TRIM(C804),'02_REFERENTIEL_CLIENTS'!$A$2:$A$51,0)),"Non trouvé")</x:f>
        <x:v>International</x:v>
      </x:c>
      <x:c r="R804" t="str">
        <x:f>IF(OR(F804&lt;=0,G804&lt;0,G804&gt;F804,N804&lt;0,P804="Non trouvé"),"À vérifier","OK")</x:f>
        <x:v>OK</x:v>
      </x:c>
    </x:row>
    <x:row r="805">
      <x:c r="A805" t="str">
        <x:v>DV-2025-00804</x:v>
      </x:c>
      <x:c r="B805" s="16" t="n">
        <x:v>45674</x:v>
      </x:c>
      <x:c r="C805" t="str">
        <x:v>Client 25</x:v>
      </x:c>
      <x:c r="D805" t="str">
        <x:v>Logistique</x:v>
      </x:c>
      <x:c r="E805" t="str">
        <x:v>Pôle D</x:v>
      </x:c>
      <x:c r="F805" s="18" t="n">
        <x:v>17426.75</x:v>
      </x:c>
      <x:c r="G805" s="18" t="n">
        <x:v>17426.75</x:v>
      </x:c>
      <x:c r="H805" t="str">
        <x:v>Client 34</x:v>
      </x:c>
      <x:c r="I805" s="16" t="n">
        <x:v>45720</x:v>
      </x:c>
      <x:c r="J805" t="n">
        <x:f>YEAR(B805)</x:f>
        <x:v>2025</x:v>
      </x:c>
      <x:c r="K805" s="20" t="n">
        <x:f>DATE(YEAR(B805),MONTH(B805),1)</x:f>
        <x:v>45658</x:v>
      </x:c>
      <x:c r="L805" s="18" t="n">
        <x:f>F805-G805</x:f>
        <x:v>0</x:v>
      </x:c>
      <x:c r="M805" t="str">
        <x:f>IF(L805&lt;=0,"Payée",IF(G805=0,"Impayée","Partielle"))</x:f>
        <x:v>Payée</x:v>
      </x:c>
      <x:c r="N805" t="n">
        <x:f>IF(I805="","",I805-B805)</x:f>
        <x:v>46</x:v>
      </x:c>
      <x:c r="O805" t="str">
        <x:f>IF(TRIM(C805)&lt;&gt;TRIM(H805),"Oui","Non")</x:f>
        <x:v>Oui</x:v>
      </x:c>
      <x:c r="P805" t="str">
        <x:f>IFERROR(INDEX('02_REFERENTIEL_CLIENTS'!$B$2:$B$51,MATCH(TRIM(C805),'02_REFERENTIEL_CLIENTS'!$A$2:$A$51,0)),"Non trouvé")</x:f>
        <x:v>Grands comptes</x:v>
      </x:c>
      <x:c r="Q805" t="str">
        <x:f>IFERROR(INDEX('02_REFERENTIEL_CLIENTS'!$C$2:$C$51,MATCH(TRIM(C805),'02_REFERENTIEL_CLIENTS'!$A$2:$A$51,0)),"Non trouvé")</x:f>
        <x:v>France</x:v>
      </x:c>
      <x:c r="R805" t="str">
        <x:f>IF(OR(F805&lt;=0,G805&lt;0,G805&gt;F805,N805&lt;0,P805="Non trouvé"),"À vérifier","OK")</x:f>
        <x:v>OK</x:v>
      </x:c>
    </x:row>
    <x:row r="806">
      <x:c r="A806" t="str">
        <x:v>DV-2026-00805</x:v>
      </x:c>
      <x:c r="B806" s="16" t="n">
        <x:v>46245</x:v>
      </x:c>
      <x:c r="C806" t="str">
        <x:v>Client 34</x:v>
      </x:c>
      <x:c r="D806" t="str">
        <x:v>Express</x:v>
      </x:c>
      <x:c r="E806" t="str">
        <x:v>Pôle A</x:v>
      </x:c>
      <x:c r="F806" s="18" t="n">
        <x:v>9610.14</x:v>
      </x:c>
      <x:c r="G806" s="18" t="n">
        <x:v>0</x:v>
      </x:c>
      <x:c r="H806" t="str">
        <x:v>Client 34</x:v>
      </x:c>
      <x:c r="I806" s="16"/>
      <x:c r="J806" t="n">
        <x:f>YEAR(B806)</x:f>
        <x:v>2026</x:v>
      </x:c>
      <x:c r="K806" s="20" t="n">
        <x:f>DATE(YEAR(B806),MONTH(B806),1)</x:f>
        <x:v>46235</x:v>
      </x:c>
      <x:c r="L806" s="18" t="n">
        <x:f>F806-G806</x:f>
        <x:v>9610.14</x:v>
      </x:c>
      <x:c r="M806" t="str">
        <x:f>IF(L806&lt;=0,"Payée",IF(G806=0,"Impayée","Partielle"))</x:f>
        <x:v>Impayée</x:v>
      </x:c>
      <x:c r="N806" t="str">
        <x:f>IF(I806="","",I806-B806)</x:f>
      </x:c>
      <x:c r="O806" t="str">
        <x:f>IF(TRIM(C806)&lt;&gt;TRIM(H806),"Oui","Non")</x:f>
        <x:v>Non</x:v>
      </x:c>
      <x:c r="P806" t="str">
        <x:f>IFERROR(INDEX('02_REFERENTIEL_CLIENTS'!$B$2:$B$51,MATCH(TRIM(C806),'02_REFERENTIEL_CLIENTS'!$A$2:$A$51,0)),"Non trouvé")</x:f>
        <x:v>Grands comptes</x:v>
      </x:c>
      <x:c r="Q806" t="str">
        <x:f>IFERROR(INDEX('02_REFERENTIEL_CLIENTS'!$C$2:$C$51,MATCH(TRIM(C806),'02_REFERENTIEL_CLIENTS'!$A$2:$A$51,0)),"Non trouvé")</x:f>
        <x:v>France</x:v>
      </x:c>
      <x:c r="R806" t="str">
        <x:f>IF(OR(F806&lt;=0,G806&lt;0,G806&gt;F806,N806&lt;0,P806="Non trouvé"),"À vérifier","OK")</x:f>
        <x:v>OK</x:v>
      </x:c>
    </x:row>
    <x:row r="807">
      <x:c r="A807" t="str">
        <x:v>DV-2026-00806</x:v>
      </x:c>
      <x:c r="B807" s="16" t="n">
        <x:v>46165</x:v>
      </x:c>
      <x:c r="C807" t="str">
        <x:v>Client 46</x:v>
      </x:c>
      <x:c r="D807" t="str">
        <x:v>Douane</x:v>
      </x:c>
      <x:c r="E807" t="str">
        <x:v>Pôle E</x:v>
      </x:c>
      <x:c r="F807" s="18" t="n">
        <x:v>1889.55</x:v>
      </x:c>
      <x:c r="G807" s="18" t="n">
        <x:v>0</x:v>
      </x:c>
      <x:c r="H807" t="str">
        <x:v>Client 46</x:v>
      </x:c>
      <x:c r="I807" s="16"/>
      <x:c r="J807" t="n">
        <x:f>YEAR(B807)</x:f>
        <x:v>2026</x:v>
      </x:c>
      <x:c r="K807" s="20" t="n">
        <x:f>DATE(YEAR(B807),MONTH(B807),1)</x:f>
        <x:v>46143</x:v>
      </x:c>
      <x:c r="L807" s="18" t="n">
        <x:f>F807-G807</x:f>
        <x:v>1889.55</x:v>
      </x:c>
      <x:c r="M807" t="str">
        <x:f>IF(L807&lt;=0,"Payée",IF(G807=0,"Impayée","Partielle"))</x:f>
        <x:v>Impayée</x:v>
      </x:c>
      <x:c r="N807" t="str">
        <x:f>IF(I807="","",I807-B807)</x:f>
      </x:c>
      <x:c r="O807" t="str">
        <x:f>IF(TRIM(C807)&lt;&gt;TRIM(H807),"Oui","Non")</x:f>
        <x:v>Non</x:v>
      </x:c>
      <x:c r="P807" t="str">
        <x:f>IFERROR(INDEX('02_REFERENTIEL_CLIENTS'!$B$2:$B$51,MATCH(TRIM(C807),'02_REFERENTIEL_CLIENTS'!$A$2:$A$51,0)),"Non trouvé")</x:f>
        <x:v>Grands comptes</x:v>
      </x:c>
      <x:c r="Q807" t="str">
        <x:f>IFERROR(INDEX('02_REFERENTIEL_CLIENTS'!$C$2:$C$51,MATCH(TRIM(C807),'02_REFERENTIEL_CLIENTS'!$A$2:$A$51,0)),"Non trouvé")</x:f>
        <x:v>France</x:v>
      </x:c>
      <x:c r="R807" t="str">
        <x:f>IF(OR(F807&lt;=0,G807&lt;0,G807&gt;F807,N807&lt;0,P807="Non trouvé"),"À vérifier","OK")</x:f>
        <x:v>OK</x:v>
      </x:c>
    </x:row>
    <x:row r="808">
      <x:c r="A808" t="str">
        <x:v>DV-2024-00807</x:v>
      </x:c>
      <x:c r="B808" s="16" t="n">
        <x:v>45311</x:v>
      </x:c>
      <x:c r="C808" t="str">
        <x:v>Client 16</x:v>
      </x:c>
      <x:c r="D808" t="str">
        <x:v>Fret aérien</x:v>
      </x:c>
      <x:c r="E808" t="str">
        <x:v>Pôle C</x:v>
      </x:c>
      <x:c r="F808" s="18" t="n">
        <x:v>9627.57</x:v>
      </x:c>
      <x:c r="G808" s="18" t="n">
        <x:v>9627.57</x:v>
      </x:c>
      <x:c r="H808" t="str">
        <x:v>Client 16</x:v>
      </x:c>
      <x:c r="I808" s="16" t="n">
        <x:v>45339</x:v>
      </x:c>
      <x:c r="J808" t="n">
        <x:f>YEAR(B808)</x:f>
        <x:v>2024</x:v>
      </x:c>
      <x:c r="K808" s="20" t="n">
        <x:f>DATE(YEAR(B808),MONTH(B808),1)</x:f>
        <x:v>45292</x:v>
      </x:c>
      <x:c r="L808" s="18" t="n">
        <x:f>F808-G808</x:f>
        <x:v>0</x:v>
      </x:c>
      <x:c r="M808" t="str">
        <x:f>IF(L808&lt;=0,"Payée",IF(G808=0,"Impayée","Partielle"))</x:f>
        <x:v>Payée</x:v>
      </x:c>
      <x:c r="N808" t="n">
        <x:f>IF(I808="","",I808-B808)</x:f>
        <x:v>28</x:v>
      </x:c>
      <x:c r="O808" t="str">
        <x:f>IF(TRIM(C808)&lt;&gt;TRIM(H808),"Oui","Non")</x:f>
        <x:v>Non</x:v>
      </x:c>
      <x:c r="P808" t="str">
        <x:f>IFERROR(INDEX('02_REFERENTIEL_CLIENTS'!$B$2:$B$51,MATCH(TRIM(C808),'02_REFERENTIEL_CLIENTS'!$A$2:$A$51,0)),"Non trouvé")</x:f>
        <x:v>Grands comptes</x:v>
      </x:c>
      <x:c r="Q808" t="str">
        <x:f>IFERROR(INDEX('02_REFERENTIEL_CLIENTS'!$C$2:$C$51,MATCH(TRIM(C808),'02_REFERENTIEL_CLIENTS'!$A$2:$A$51,0)),"Non trouvé")</x:f>
        <x:v>France</x:v>
      </x:c>
      <x:c r="R808" t="str">
        <x:f>IF(OR(F808&lt;=0,G808&lt;0,G808&gt;F808,N808&lt;0,P808="Non trouvé"),"À vérifier","OK")</x:f>
        <x:v>OK</x:v>
      </x:c>
    </x:row>
    <x:row r="809">
      <x:c r="A809" t="str">
        <x:v>DV-2024-00808</x:v>
      </x:c>
      <x:c r="B809" s="16" t="n">
        <x:v>45520</x:v>
      </x:c>
      <x:c r="C809" t="str">
        <x:v>Client 30</x:v>
      </x:c>
      <x:c r="D809" t="str">
        <x:v>Fret maritime</x:v>
      </x:c>
      <x:c r="E809" t="str">
        <x:v>Pôle B</x:v>
      </x:c>
      <x:c r="F809" s="18" t="n">
        <x:v>15927.13</x:v>
      </x:c>
      <x:c r="G809" s="18" t="n">
        <x:v>0</x:v>
      </x:c>
      <x:c r="H809" t="str">
        <x:v>Client 30</x:v>
      </x:c>
      <x:c r="I809" s="16"/>
      <x:c r="J809" t="n">
        <x:f>YEAR(B809)</x:f>
        <x:v>2024</x:v>
      </x:c>
      <x:c r="K809" s="20" t="n">
        <x:f>DATE(YEAR(B809),MONTH(B809),1)</x:f>
        <x:v>45505</x:v>
      </x:c>
      <x:c r="L809" s="18" t="n">
        <x:f>F809-G809</x:f>
        <x:v>15927.13</x:v>
      </x:c>
      <x:c r="M809" t="str">
        <x:f>IF(L809&lt;=0,"Payée",IF(G809=0,"Impayée","Partielle"))</x:f>
        <x:v>Impayée</x:v>
      </x:c>
      <x:c r="N809" t="str">
        <x:f>IF(I809="","",I809-B809)</x:f>
      </x:c>
      <x:c r="O809" t="str">
        <x:f>IF(TRIM(C809)&lt;&gt;TRIM(H809),"Oui","Non")</x:f>
        <x:v>Non</x:v>
      </x:c>
      <x:c r="P809" t="str">
        <x:f>IFERROR(INDEX('02_REFERENTIEL_CLIENTS'!$B$2:$B$51,MATCH(TRIM(C809),'02_REFERENTIEL_CLIENTS'!$A$2:$A$51,0)),"Non trouvé")</x:f>
        <x:v>Particuliers</x:v>
      </x:c>
      <x:c r="Q809" t="str">
        <x:f>IFERROR(INDEX('02_REFERENTIEL_CLIENTS'!$C$2:$C$51,MATCH(TRIM(C809),'02_REFERENTIEL_CLIENTS'!$A$2:$A$51,0)),"Non trouvé")</x:f>
        <x:v>International</x:v>
      </x:c>
      <x:c r="R809" t="str">
        <x:f>IF(OR(F809&lt;=0,G809&lt;0,G809&gt;F809,N809&lt;0,P809="Non trouvé"),"À vérifier","OK")</x:f>
        <x:v>OK</x:v>
      </x:c>
    </x:row>
    <x:row r="810">
      <x:c r="A810" t="str">
        <x:v>DV-2024-00809</x:v>
      </x:c>
      <x:c r="B810" s="16" t="n">
        <x:v>45450</x:v>
      </x:c>
      <x:c r="C810" t="str">
        <x:v>Client 06</x:v>
      </x:c>
      <x:c r="D810" t="str">
        <x:v>Express</x:v>
      </x:c>
      <x:c r="E810" t="str">
        <x:v>Pôle E</x:v>
      </x:c>
      <x:c r="F810" s="18" t="n">
        <x:v>5474.31</x:v>
      </x:c>
      <x:c r="G810" s="18" t="n">
        <x:v>0</x:v>
      </x:c>
      <x:c r="H810" t="str">
        <x:v>Client 06</x:v>
      </x:c>
      <x:c r="I810" s="16"/>
      <x:c r="J810" t="n">
        <x:f>YEAR(B810)</x:f>
        <x:v>2024</x:v>
      </x:c>
      <x:c r="K810" s="20" t="n">
        <x:f>DATE(YEAR(B810),MONTH(B810),1)</x:f>
        <x:v>45444</x:v>
      </x:c>
      <x:c r="L810" s="18" t="n">
        <x:f>F810-G810</x:f>
        <x:v>5474.31</x:v>
      </x:c>
      <x:c r="M810" t="str">
        <x:f>IF(L810&lt;=0,"Payée",IF(G810=0,"Impayée","Partielle"))</x:f>
        <x:v>Impayée</x:v>
      </x:c>
      <x:c r="N810" t="str">
        <x:f>IF(I810="","",I810-B810)</x:f>
      </x:c>
      <x:c r="O810" t="str">
        <x:f>IF(TRIM(C810)&lt;&gt;TRIM(H810),"Oui","Non")</x:f>
        <x:v>Non</x:v>
      </x:c>
      <x:c r="P810" t="str">
        <x:f>IFERROR(INDEX('02_REFERENTIEL_CLIENTS'!$B$2:$B$51,MATCH(TRIM(C810),'02_REFERENTIEL_CLIENTS'!$A$2:$A$51,0)),"Non trouvé")</x:f>
        <x:v>Particuliers</x:v>
      </x:c>
      <x:c r="Q810" t="str">
        <x:f>IFERROR(INDEX('02_REFERENTIEL_CLIENTS'!$C$2:$C$51,MATCH(TRIM(C810),'02_REFERENTIEL_CLIENTS'!$A$2:$A$51,0)),"Non trouvé")</x:f>
        <x:v>International</x:v>
      </x:c>
      <x:c r="R810" t="str">
        <x:f>IF(OR(F810&lt;=0,G810&lt;0,G810&gt;F810,N810&lt;0,P810="Non trouvé"),"À vérifier","OK")</x:f>
        <x:v>OK</x:v>
      </x:c>
    </x:row>
    <x:row r="811">
      <x:c r="A811" t="str">
        <x:v>DV-2025-00810</x:v>
      </x:c>
      <x:c r="B811" s="16" t="n">
        <x:v>45673</x:v>
      </x:c>
      <x:c r="C811" t="str">
        <x:v>Client 37</x:v>
      </x:c>
      <x:c r="D811" t="str">
        <x:v>Express</x:v>
      </x:c>
      <x:c r="E811" t="str">
        <x:v>Pôle A</x:v>
      </x:c>
      <x:c r="F811" s="18" t="n">
        <x:v>20361.51</x:v>
      </x:c>
      <x:c r="G811" s="18" t="n">
        <x:v>20361.51</x:v>
      </x:c>
      <x:c r="H811" t="str">
        <x:v>Client 37</x:v>
      </x:c>
      <x:c r="I811" s="16" t="n">
        <x:v>45731</x:v>
      </x:c>
      <x:c r="J811" t="n">
        <x:f>YEAR(B811)</x:f>
        <x:v>2025</x:v>
      </x:c>
      <x:c r="K811" s="20" t="n">
        <x:f>DATE(YEAR(B811),MONTH(B811),1)</x:f>
        <x:v>45658</x:v>
      </x:c>
      <x:c r="L811" s="18" t="n">
        <x:f>F811-G811</x:f>
        <x:v>0</x:v>
      </x:c>
      <x:c r="M811" t="str">
        <x:f>IF(L811&lt;=0,"Payée",IF(G811=0,"Impayée","Partielle"))</x:f>
        <x:v>Payée</x:v>
      </x:c>
      <x:c r="N811" t="n">
        <x:f>IF(I811="","",I811-B811)</x:f>
        <x:v>58</x:v>
      </x:c>
      <x:c r="O811" t="str">
        <x:f>IF(TRIM(C811)&lt;&gt;TRIM(H811),"Oui","Non")</x:f>
        <x:v>Non</x:v>
      </x:c>
      <x:c r="P811" t="str">
        <x:f>IFERROR(INDEX('02_REFERENTIEL_CLIENTS'!$B$2:$B$51,MATCH(TRIM(C811),'02_REFERENTIEL_CLIENTS'!$A$2:$A$51,0)),"Non trouvé")</x:f>
        <x:v>Grands comptes</x:v>
      </x:c>
      <x:c r="Q811" t="str">
        <x:f>IFERROR(INDEX('02_REFERENTIEL_CLIENTS'!$C$2:$C$51,MATCH(TRIM(C811),'02_REFERENTIEL_CLIENTS'!$A$2:$A$51,0)),"Non trouvé")</x:f>
        <x:v>France</x:v>
      </x:c>
      <x:c r="R811" t="str">
        <x:f>IF(OR(F811&lt;=0,G811&lt;0,G811&gt;F811,N811&lt;0,P811="Non trouvé"),"À vérifier","OK")</x:f>
        <x:v>OK</x:v>
      </x:c>
    </x:row>
    <x:row r="812">
      <x:c r="A812" t="str">
        <x:v>DV-2024-00811</x:v>
      </x:c>
      <x:c r="B812" s="16" t="n">
        <x:v>45293</x:v>
      </x:c>
      <x:c r="C812" t="str">
        <x:v>Client 13</x:v>
      </x:c>
      <x:c r="D812" t="str">
        <x:v>Express</x:v>
      </x:c>
      <x:c r="E812" t="str">
        <x:v>Pôle A</x:v>
      </x:c>
      <x:c r="F812" s="18" t="n">
        <x:v>9221.04</x:v>
      </x:c>
      <x:c r="G812" s="18" t="n">
        <x:v>7445.52</x:v>
      </x:c>
      <x:c r="H812" t="str">
        <x:v>Client 13</x:v>
      </x:c>
      <x:c r="I812" s="16" t="n">
        <x:v>45301</x:v>
      </x:c>
      <x:c r="J812" t="n">
        <x:f>YEAR(B812)</x:f>
        <x:v>2024</x:v>
      </x:c>
      <x:c r="K812" s="20" t="n">
        <x:f>DATE(YEAR(B812),MONTH(B812),1)</x:f>
        <x:v>45292</x:v>
      </x:c>
      <x:c r="L812" s="18" t="n">
        <x:f>F812-G812</x:f>
        <x:v>1775.5200000000004</x:v>
      </x:c>
      <x:c r="M812" t="str">
        <x:f>IF(L812&lt;=0,"Payée",IF(G812=0,"Impayée","Partielle"))</x:f>
        <x:v>Partielle</x:v>
      </x:c>
      <x:c r="N812" t="n">
        <x:f>IF(I812="","",I812-B812)</x:f>
        <x:v>8</x:v>
      </x:c>
      <x:c r="O812" t="str">
        <x:f>IF(TRIM(C812)&lt;&gt;TRIM(H812),"Oui","Non")</x:f>
        <x:v>Non</x:v>
      </x:c>
      <x:c r="P812" t="str">
        <x:f>IFERROR(INDEX('02_REFERENTIEL_CLIENTS'!$B$2:$B$51,MATCH(TRIM(C812),'02_REFERENTIEL_CLIENTS'!$A$2:$A$51,0)),"Non trouvé")</x:f>
        <x:v>Grands comptes</x:v>
      </x:c>
      <x:c r="Q812" t="str">
        <x:f>IFERROR(INDEX('02_REFERENTIEL_CLIENTS'!$C$2:$C$51,MATCH(TRIM(C812),'02_REFERENTIEL_CLIENTS'!$A$2:$A$51,0)),"Non trouvé")</x:f>
        <x:v>France</x:v>
      </x:c>
      <x:c r="R812" t="str">
        <x:f>IF(OR(F812&lt;=0,G812&lt;0,G812&gt;F812,N812&lt;0,P812="Non trouvé"),"À vérifier","OK")</x:f>
        <x:v>OK</x:v>
      </x:c>
    </x:row>
    <x:row r="813">
      <x:c r="A813" t="str">
        <x:v>DV-2026-00812</x:v>
      </x:c>
      <x:c r="B813" s="16" t="n">
        <x:v>46216</x:v>
      </x:c>
      <x:c r="C813" t="str">
        <x:v>Client 31</x:v>
      </x:c>
      <x:c r="D813" t="str">
        <x:v>Fret maritime</x:v>
      </x:c>
      <x:c r="E813" t="str">
        <x:v>Pôle C</x:v>
      </x:c>
      <x:c r="F813" s="18" t="n">
        <x:v>2050.55</x:v>
      </x:c>
      <x:c r="G813" s="18" t="n">
        <x:v>2050.55</x:v>
      </x:c>
      <x:c r="H813" t="str">
        <x:v>Client 31</x:v>
      </x:c>
      <x:c r="I813" s="16" t="n">
        <x:v>46247</x:v>
      </x:c>
      <x:c r="J813" t="n">
        <x:f>YEAR(B813)</x:f>
        <x:v>2026</x:v>
      </x:c>
      <x:c r="K813" s="20" t="n">
        <x:f>DATE(YEAR(B813),MONTH(B813),1)</x:f>
        <x:v>46204</x:v>
      </x:c>
      <x:c r="L813" s="18" t="n">
        <x:f>F813-G813</x:f>
        <x:v>0</x:v>
      </x:c>
      <x:c r="M813" t="str">
        <x:f>IF(L813&lt;=0,"Payée",IF(G813=0,"Impayée","Partielle"))</x:f>
        <x:v>Payée</x:v>
      </x:c>
      <x:c r="N813" t="n">
        <x:f>IF(I813="","",I813-B813)</x:f>
        <x:v>31</x:v>
      </x:c>
      <x:c r="O813" t="str">
        <x:f>IF(TRIM(C813)&lt;&gt;TRIM(H813),"Oui","Non")</x:f>
        <x:v>Non</x:v>
      </x:c>
      <x:c r="P813" t="str">
        <x:f>IFERROR(INDEX('02_REFERENTIEL_CLIENTS'!$B$2:$B$51,MATCH(TRIM(C813),'02_REFERENTIEL_CLIENTS'!$A$2:$A$51,0)),"Non trouvé")</x:f>
        <x:v>Grands comptes</x:v>
      </x:c>
      <x:c r="Q813" t="str">
        <x:f>IFERROR(INDEX('02_REFERENTIEL_CLIENTS'!$C$2:$C$51,MATCH(TRIM(C813),'02_REFERENTIEL_CLIENTS'!$A$2:$A$51,0)),"Non trouvé")</x:f>
        <x:v>France</x:v>
      </x:c>
      <x:c r="R813" t="str">
        <x:f>IF(OR(F813&lt;=0,G813&lt;0,G813&gt;F813,N813&lt;0,P813="Non trouvé"),"À vérifier","OK")</x:f>
        <x:v>OK</x:v>
      </x:c>
    </x:row>
    <x:row r="814">
      <x:c r="A814" t="str">
        <x:v>DV-2025-00813</x:v>
      </x:c>
      <x:c r="B814" s="16" t="n">
        <x:v>45959</x:v>
      </x:c>
      <x:c r="C814" t="str">
        <x:v>Client 32</x:v>
      </x:c>
      <x:c r="D814" t="str">
        <x:v>Express</x:v>
      </x:c>
      <x:c r="E814" t="str">
        <x:v>Pôle E</x:v>
      </x:c>
      <x:c r="F814" s="18" t="n">
        <x:v>8849.44</x:v>
      </x:c>
      <x:c r="G814" s="18" t="n">
        <x:v>7104.32</x:v>
      </x:c>
      <x:c r="H814" t="str">
        <x:v>Client 32</x:v>
      </x:c>
      <x:c r="I814" s="16" t="n">
        <x:v>46013</x:v>
      </x:c>
      <x:c r="J814" t="n">
        <x:f>YEAR(B814)</x:f>
        <x:v>2025</x:v>
      </x:c>
      <x:c r="K814" s="20" t="n">
        <x:f>DATE(YEAR(B814),MONTH(B814),1)</x:f>
        <x:v>45931</x:v>
      </x:c>
      <x:c r="L814" s="18" t="n">
        <x:f>F814-G814</x:f>
        <x:v>1745.1200000000008</x:v>
      </x:c>
      <x:c r="M814" t="str">
        <x:f>IF(L814&lt;=0,"Payée",IF(G814=0,"Impayée","Partielle"))</x:f>
        <x:v>Partielle</x:v>
      </x:c>
      <x:c r="N814" t="n">
        <x:f>IF(I814="","",I814-B814)</x:f>
        <x:v>54</x:v>
      </x:c>
      <x:c r="O814" t="str">
        <x:f>IF(TRIM(C814)&lt;&gt;TRIM(H814),"Oui","Non")</x:f>
        <x:v>Non</x:v>
      </x:c>
      <x:c r="P814" t="str">
        <x:f>IFERROR(INDEX('02_REFERENTIEL_CLIENTS'!$B$2:$B$51,MATCH(TRIM(C814),'02_REFERENTIEL_CLIENTS'!$A$2:$A$51,0)),"Non trouvé")</x:f>
        <x:v>PME</x:v>
      </x:c>
      <x:c r="Q814" t="str">
        <x:f>IFERROR(INDEX('02_REFERENTIEL_CLIENTS'!$C$2:$C$51,MATCH(TRIM(C814),'02_REFERENTIEL_CLIENTS'!$A$2:$A$51,0)),"Non trouvé")</x:f>
        <x:v>Europe</x:v>
      </x:c>
      <x:c r="R814" t="str">
        <x:f>IF(OR(F814&lt;=0,G814&lt;0,G814&gt;F814,N814&lt;0,P814="Non trouvé"),"À vérifier","OK")</x:f>
        <x:v>OK</x:v>
      </x:c>
    </x:row>
    <x:row r="815">
      <x:c r="A815" t="str">
        <x:v>DV-2025-00814</x:v>
      </x:c>
      <x:c r="B815" s="16" t="n">
        <x:v>46020</x:v>
      </x:c>
      <x:c r="C815" t="str">
        <x:v>Client 43</x:v>
      </x:c>
      <x:c r="D815" t="str">
        <x:v>Express</x:v>
      </x:c>
      <x:c r="E815" t="str">
        <x:v>Pôle A</x:v>
      </x:c>
      <x:c r="F815" s="18" t="n">
        <x:v>19663.57</x:v>
      </x:c>
      <x:c r="G815" s="18" t="n">
        <x:v>19663.57</x:v>
      </x:c>
      <x:c r="H815" t="str">
        <x:v>Client 43</x:v>
      </x:c>
      <x:c r="I815" s="16" t="n">
        <x:v>46091</x:v>
      </x:c>
      <x:c r="J815" t="n">
        <x:f>YEAR(B815)</x:f>
        <x:v>2025</x:v>
      </x:c>
      <x:c r="K815" s="20" t="n">
        <x:f>DATE(YEAR(B815),MONTH(B815),1)</x:f>
        <x:v>45992</x:v>
      </x:c>
      <x:c r="L815" s="18" t="n">
        <x:f>F815-G815</x:f>
        <x:v>0</x:v>
      </x:c>
      <x:c r="M815" t="str">
        <x:f>IF(L815&lt;=0,"Payée",IF(G815=0,"Impayée","Partielle"))</x:f>
        <x:v>Payée</x:v>
      </x:c>
      <x:c r="N815" t="n">
        <x:f>IF(I815="","",I815-B815)</x:f>
        <x:v>71</x:v>
      </x:c>
      <x:c r="O815" t="str">
        <x:f>IF(TRIM(C815)&lt;&gt;TRIM(H815),"Oui","Non")</x:f>
        <x:v>Non</x:v>
      </x:c>
      <x:c r="P815" t="str">
        <x:f>IFERROR(INDEX('02_REFERENTIEL_CLIENTS'!$B$2:$B$51,MATCH(TRIM(C815),'02_REFERENTIEL_CLIENTS'!$A$2:$A$51,0)),"Non trouvé")</x:f>
        <x:v>Grands comptes</x:v>
      </x:c>
      <x:c r="Q815" t="str">
        <x:f>IFERROR(INDEX('02_REFERENTIEL_CLIENTS'!$C$2:$C$51,MATCH(TRIM(C815),'02_REFERENTIEL_CLIENTS'!$A$2:$A$51,0)),"Non trouvé")</x:f>
        <x:v>France</x:v>
      </x:c>
      <x:c r="R815" t="str">
        <x:f>IF(OR(F815&lt;=0,G815&lt;0,G815&gt;F815,N815&lt;0,P815="Non trouvé"),"À vérifier","OK")</x:f>
        <x:v>OK</x:v>
      </x:c>
    </x:row>
    <x:row r="816">
      <x:c r="A816" t="str">
        <x:v>DV-2024-00815</x:v>
      </x:c>
      <x:c r="B816" s="16" t="n">
        <x:v>45564</x:v>
      </x:c>
      <x:c r="C816" t="str">
        <x:v>Client 42</x:v>
      </x:c>
      <x:c r="D816" t="str">
        <x:v>Fret aérien</x:v>
      </x:c>
      <x:c r="E816" t="str">
        <x:v>Pôle D</x:v>
      </x:c>
      <x:c r="F816" s="18" t="n">
        <x:v>1933.71</x:v>
      </x:c>
      <x:c r="G816" s="18" t="n">
        <x:v>1933.71</x:v>
      </x:c>
      <x:c r="H816" t="str">
        <x:v>Client 42</x:v>
      </x:c>
      <x:c r="I816" s="16" t="n">
        <x:v>45602</x:v>
      </x:c>
      <x:c r="J816" t="n">
        <x:f>YEAR(B816)</x:f>
        <x:v>2024</x:v>
      </x:c>
      <x:c r="K816" s="20" t="n">
        <x:f>DATE(YEAR(B816),MONTH(B816),1)</x:f>
        <x:v>45536</x:v>
      </x:c>
      <x:c r="L816" s="18" t="n">
        <x:f>F816-G816</x:f>
        <x:v>0</x:v>
      </x:c>
      <x:c r="M816" t="str">
        <x:f>IF(L816&lt;=0,"Payée",IF(G816=0,"Impayée","Partielle"))</x:f>
        <x:v>Payée</x:v>
      </x:c>
      <x:c r="N816" t="n">
        <x:f>IF(I816="","",I816-B816)</x:f>
        <x:v>38</x:v>
      </x:c>
      <x:c r="O816" t="str">
        <x:f>IF(TRIM(C816)&lt;&gt;TRIM(H816),"Oui","Non")</x:f>
        <x:v>Non</x:v>
      </x:c>
      <x:c r="P816" t="str">
        <x:f>IFERROR(INDEX('02_REFERENTIEL_CLIENTS'!$B$2:$B$51,MATCH(TRIM(C816),'02_REFERENTIEL_CLIENTS'!$A$2:$A$51,0)),"Non trouvé")</x:f>
        <x:v>Particuliers</x:v>
      </x:c>
      <x:c r="Q816" t="str">
        <x:f>IFERROR(INDEX('02_REFERENTIEL_CLIENTS'!$C$2:$C$51,MATCH(TRIM(C816),'02_REFERENTIEL_CLIENTS'!$A$2:$A$51,0)),"Non trouvé")</x:f>
        <x:v>International</x:v>
      </x:c>
      <x:c r="R816" t="str">
        <x:f>IF(OR(F816&lt;=0,G816&lt;0,G816&gt;F816,N816&lt;0,P816="Non trouvé"),"À vérifier","OK")</x:f>
        <x:v>OK</x:v>
      </x:c>
    </x:row>
    <x:row r="817">
      <x:c r="A817" t="str">
        <x:v>DV-2025-00816</x:v>
      </x:c>
      <x:c r="B817" s="16" t="n">
        <x:v>45990</x:v>
      </x:c>
      <x:c r="C817" t="str">
        <x:v>Client 46</x:v>
      </x:c>
      <x:c r="D817" t="str">
        <x:v>Fret aérien</x:v>
      </x:c>
      <x:c r="E817" t="str">
        <x:v>Pôle B</x:v>
      </x:c>
      <x:c r="F817" s="18" t="n">
        <x:v>20962.88</x:v>
      </x:c>
      <x:c r="G817" s="18" t="n">
        <x:v>20962.88</x:v>
      </x:c>
      <x:c r="H817" t="str">
        <x:v>Client 11</x:v>
      </x:c>
      <x:c r="I817" s="16" t="n">
        <x:v>46055</x:v>
      </x:c>
      <x:c r="J817" t="n">
        <x:f>YEAR(B817)</x:f>
        <x:v>2025</x:v>
      </x:c>
      <x:c r="K817" s="20" t="n">
        <x:f>DATE(YEAR(B817),MONTH(B817),1)</x:f>
        <x:v>45962</x:v>
      </x:c>
      <x:c r="L817" s="18" t="n">
        <x:f>F817-G817</x:f>
        <x:v>0</x:v>
      </x:c>
      <x:c r="M817" t="str">
        <x:f>IF(L817&lt;=0,"Payée",IF(G817=0,"Impayée","Partielle"))</x:f>
        <x:v>Payée</x:v>
      </x:c>
      <x:c r="N817" t="n">
        <x:f>IF(I817="","",I817-B817)</x:f>
        <x:v>65</x:v>
      </x:c>
      <x:c r="O817" t="str">
        <x:f>IF(TRIM(C817)&lt;&gt;TRIM(H817),"Oui","Non")</x:f>
        <x:v>Oui</x:v>
      </x:c>
      <x:c r="P817" t="str">
        <x:f>IFERROR(INDEX('02_REFERENTIEL_CLIENTS'!$B$2:$B$51,MATCH(TRIM(C817),'02_REFERENTIEL_CLIENTS'!$A$2:$A$51,0)),"Non trouvé")</x:f>
        <x:v>Grands comptes</x:v>
      </x:c>
      <x:c r="Q817" t="str">
        <x:f>IFERROR(INDEX('02_REFERENTIEL_CLIENTS'!$C$2:$C$51,MATCH(TRIM(C817),'02_REFERENTIEL_CLIENTS'!$A$2:$A$51,0)),"Non trouvé")</x:f>
        <x:v>France</x:v>
      </x:c>
      <x:c r="R817" t="str">
        <x:f>IF(OR(F817&lt;=0,G817&lt;0,G817&gt;F817,N817&lt;0,P817="Non trouvé"),"À vérifier","OK")</x:f>
        <x:v>OK</x:v>
      </x:c>
    </x:row>
    <x:row r="818">
      <x:c r="A818" t="str">
        <x:v>DV-2024-00817</x:v>
      </x:c>
      <x:c r="B818" s="16" t="n">
        <x:v>45475</x:v>
      </x:c>
      <x:c r="C818" t="str">
        <x:v>Client 09</x:v>
      </x:c>
      <x:c r="D818" t="str">
        <x:v>Express</x:v>
      </x:c>
      <x:c r="E818" t="str">
        <x:v>Pôle C</x:v>
      </x:c>
      <x:c r="F818" s="18" t="n">
        <x:v>1135.29</x:v>
      </x:c>
      <x:c r="G818" s="18" t="n">
        <x:v>1135.29</x:v>
      </x:c>
      <x:c r="H818" t="str">
        <x:v>Client 30</x:v>
      </x:c>
      <x:c r="I818" s="16" t="n">
        <x:v>45556</x:v>
      </x:c>
      <x:c r="J818" t="n">
        <x:f>YEAR(B818)</x:f>
        <x:v>2024</x:v>
      </x:c>
      <x:c r="K818" s="20" t="n">
        <x:f>DATE(YEAR(B818),MONTH(B818),1)</x:f>
        <x:v>45474</x:v>
      </x:c>
      <x:c r="L818" s="18" t="n">
        <x:f>F818-G818</x:f>
        <x:v>0</x:v>
      </x:c>
      <x:c r="M818" t="str">
        <x:f>IF(L818&lt;=0,"Payée",IF(G818=0,"Impayée","Partielle"))</x:f>
        <x:v>Payée</x:v>
      </x:c>
      <x:c r="N818" t="n">
        <x:f>IF(I818="","",I818-B818)</x:f>
        <x:v>81</x:v>
      </x:c>
      <x:c r="O818" t="str">
        <x:f>IF(TRIM(C818)&lt;&gt;TRIM(H818),"Oui","Non")</x:f>
        <x:v>Oui</x:v>
      </x:c>
      <x:c r="P818" t="str">
        <x:f>IFERROR(INDEX('02_REFERENTIEL_CLIENTS'!$B$2:$B$51,MATCH(TRIM(C818),'02_REFERENTIEL_CLIENTS'!$A$2:$A$51,0)),"Non trouvé")</x:f>
        <x:v>Particuliers</x:v>
      </x:c>
      <x:c r="Q818" t="str">
        <x:f>IFERROR(INDEX('02_REFERENTIEL_CLIENTS'!$C$2:$C$51,MATCH(TRIM(C818),'02_REFERENTIEL_CLIENTS'!$A$2:$A$51,0)),"Non trouvé")</x:f>
        <x:v>International</x:v>
      </x:c>
      <x:c r="R818" t="str">
        <x:f>IF(OR(F818&lt;=0,G818&lt;0,G818&gt;F818,N818&lt;0,P818="Non trouvé"),"À vérifier","OK")</x:f>
        <x:v>OK</x:v>
      </x:c>
    </x:row>
    <x:row r="819">
      <x:c r="A819" t="str">
        <x:v>DV-2024-00818</x:v>
      </x:c>
      <x:c r="B819" s="16" t="n">
        <x:v>45508</x:v>
      </x:c>
      <x:c r="C819" t="str">
        <x:v>Client 39</x:v>
      </x:c>
      <x:c r="D819" t="str">
        <x:v>Logistique</x:v>
      </x:c>
      <x:c r="E819" t="str">
        <x:v>Pôle C</x:v>
      </x:c>
      <x:c r="F819" s="18" t="n">
        <x:v>253.47</x:v>
      </x:c>
      <x:c r="G819" s="18" t="n">
        <x:v>62.38</x:v>
      </x:c>
      <x:c r="H819" t="str">
        <x:v>Client 39</x:v>
      </x:c>
      <x:c r="I819" s="16" t="n">
        <x:v>45550</x:v>
      </x:c>
      <x:c r="J819" t="n">
        <x:f>YEAR(B819)</x:f>
        <x:v>2024</x:v>
      </x:c>
      <x:c r="K819" s="20" t="n">
        <x:f>DATE(YEAR(B819),MONTH(B819),1)</x:f>
        <x:v>45505</x:v>
      </x:c>
      <x:c r="L819" s="18" t="n">
        <x:f>F819-G819</x:f>
        <x:v>191.09</x:v>
      </x:c>
      <x:c r="M819" t="str">
        <x:f>IF(L819&lt;=0,"Payée",IF(G819=0,"Impayée","Partielle"))</x:f>
        <x:v>Partielle</x:v>
      </x:c>
      <x:c r="N819" t="n">
        <x:f>IF(I819="","",I819-B819)</x:f>
        <x:v>42</x:v>
      </x:c>
      <x:c r="O819" t="str">
        <x:f>IF(TRIM(C819)&lt;&gt;TRIM(H819),"Oui","Non")</x:f>
        <x:v>Non</x:v>
      </x:c>
      <x:c r="P819" t="str">
        <x:f>IFERROR(INDEX('02_REFERENTIEL_CLIENTS'!$B$2:$B$51,MATCH(TRIM(C819),'02_REFERENTIEL_CLIENTS'!$A$2:$A$51,0)),"Non trouvé")</x:f>
        <x:v>Particuliers</x:v>
      </x:c>
      <x:c r="Q819" t="str">
        <x:f>IFERROR(INDEX('02_REFERENTIEL_CLIENTS'!$C$2:$C$51,MATCH(TRIM(C819),'02_REFERENTIEL_CLIENTS'!$A$2:$A$51,0)),"Non trouvé")</x:f>
        <x:v>International</x:v>
      </x:c>
      <x:c r="R819" t="str">
        <x:f>IF(OR(F819&lt;=0,G819&lt;0,G819&gt;F819,N819&lt;0,P819="Non trouvé"),"À vérifier","OK")</x:f>
        <x:v>OK</x:v>
      </x:c>
    </x:row>
    <x:row r="820">
      <x:c r="A820" t="str">
        <x:v>DV-2026-00819</x:v>
      </x:c>
      <x:c r="B820" s="16" t="n">
        <x:v>46184</x:v>
      </x:c>
      <x:c r="C820" t="str">
        <x:v>Client 09</x:v>
      </x:c>
      <x:c r="D820" t="str">
        <x:v>Logistique</x:v>
      </x:c>
      <x:c r="E820" t="str">
        <x:v>Pôle B</x:v>
      </x:c>
      <x:c r="F820" s="18" t="n">
        <x:v>13246.37</x:v>
      </x:c>
      <x:c r="G820" s="18" t="n">
        <x:v>8085.47</x:v>
      </x:c>
      <x:c r="H820" t="str">
        <x:v>Client 09</x:v>
      </x:c>
      <x:c r="I820" s="16" t="n">
        <x:v>46258</x:v>
      </x:c>
      <x:c r="J820" t="n">
        <x:f>YEAR(B820)</x:f>
        <x:v>2026</x:v>
      </x:c>
      <x:c r="K820" s="20" t="n">
        <x:f>DATE(YEAR(B820),MONTH(B820),1)</x:f>
        <x:v>46174</x:v>
      </x:c>
      <x:c r="L820" s="18" t="n">
        <x:f>F820-G820</x:f>
        <x:v>5160.900000000001</x:v>
      </x:c>
      <x:c r="M820" t="str">
        <x:f>IF(L820&lt;=0,"Payée",IF(G820=0,"Impayée","Partielle"))</x:f>
        <x:v>Partielle</x:v>
      </x:c>
      <x:c r="N820" t="n">
        <x:f>IF(I820="","",I820-B820)</x:f>
        <x:v>74</x:v>
      </x:c>
      <x:c r="O820" t="str">
        <x:f>IF(TRIM(C820)&lt;&gt;TRIM(H820),"Oui","Non")</x:f>
        <x:v>Non</x:v>
      </x:c>
      <x:c r="P820" t="str">
        <x:f>IFERROR(INDEX('02_REFERENTIEL_CLIENTS'!$B$2:$B$51,MATCH(TRIM(C820),'02_REFERENTIEL_CLIENTS'!$A$2:$A$51,0)),"Non trouvé")</x:f>
        <x:v>Particuliers</x:v>
      </x:c>
      <x:c r="Q820" t="str">
        <x:f>IFERROR(INDEX('02_REFERENTIEL_CLIENTS'!$C$2:$C$51,MATCH(TRIM(C820),'02_REFERENTIEL_CLIENTS'!$A$2:$A$51,0)),"Non trouvé")</x:f>
        <x:v>International</x:v>
      </x:c>
      <x:c r="R820" t="str">
        <x:f>IF(OR(F820&lt;=0,G820&lt;0,G820&gt;F820,N820&lt;0,P820="Non trouvé"),"À vérifier","OK")</x:f>
        <x:v>OK</x:v>
      </x:c>
    </x:row>
    <x:row r="821">
      <x:c r="A821" t="str">
        <x:v>DV-2025-00820</x:v>
      </x:c>
      <x:c r="B821" s="16" t="n">
        <x:v>45866</x:v>
      </x:c>
      <x:c r="C821" t="str">
        <x:v>Client 04</x:v>
      </x:c>
      <x:c r="D821" t="str">
        <x:v>Express</x:v>
      </x:c>
      <x:c r="E821" t="str">
        <x:v>Pôle A</x:v>
      </x:c>
      <x:c r="F821" s="18" t="n">
        <x:v>14247.08</x:v>
      </x:c>
      <x:c r="G821" s="18" t="n">
        <x:v>14247.08</x:v>
      </x:c>
      <x:c r="H821" t="str">
        <x:v>Client 04</x:v>
      </x:c>
      <x:c r="I821" s="16" t="n">
        <x:v>45954</x:v>
      </x:c>
      <x:c r="J821" t="n">
        <x:f>YEAR(B821)</x:f>
        <x:v>2025</x:v>
      </x:c>
      <x:c r="K821" s="20" t="n">
        <x:f>DATE(YEAR(B821),MONTH(B821),1)</x:f>
        <x:v>45839</x:v>
      </x:c>
      <x:c r="L821" s="18" t="n">
        <x:f>F821-G821</x:f>
        <x:v>0</x:v>
      </x:c>
      <x:c r="M821" t="str">
        <x:f>IF(L821&lt;=0,"Payée",IF(G821=0,"Impayée","Partielle"))</x:f>
        <x:v>Payée</x:v>
      </x:c>
      <x:c r="N821" t="n">
        <x:f>IF(I821="","",I821-B821)</x:f>
        <x:v>88</x:v>
      </x:c>
      <x:c r="O821" t="str">
        <x:f>IF(TRIM(C821)&lt;&gt;TRIM(H821),"Oui","Non")</x:f>
        <x:v>Non</x:v>
      </x:c>
      <x:c r="P821" t="str">
        <x:f>IFERROR(INDEX('02_REFERENTIEL_CLIENTS'!$B$2:$B$51,MATCH(TRIM(C821),'02_REFERENTIEL_CLIENTS'!$A$2:$A$51,0)),"Non trouvé")</x:f>
        <x:v>Grands comptes</x:v>
      </x:c>
      <x:c r="Q821" t="str">
        <x:f>IFERROR(INDEX('02_REFERENTIEL_CLIENTS'!$C$2:$C$51,MATCH(TRIM(C821),'02_REFERENTIEL_CLIENTS'!$A$2:$A$51,0)),"Non trouvé")</x:f>
        <x:v>France</x:v>
      </x:c>
      <x:c r="R821" t="str">
        <x:f>IF(OR(F821&lt;=0,G821&lt;0,G821&gt;F821,N821&lt;0,P821="Non trouvé"),"À vérifier","OK")</x:f>
        <x:v>OK</x:v>
      </x:c>
    </x:row>
    <x:row r="822">
      <x:c r="A822" t="str">
        <x:v>DV-2024-00821</x:v>
      </x:c>
      <x:c r="B822" s="16" t="n">
        <x:v>45577</x:v>
      </x:c>
      <x:c r="C822" t="str">
        <x:v>Client 22</x:v>
      </x:c>
      <x:c r="D822" t="str">
        <x:v>Fret maritime</x:v>
      </x:c>
      <x:c r="E822" t="str">
        <x:v>Pôle E</x:v>
      </x:c>
      <x:c r="F822" s="18" t="n">
        <x:v>1717.25</x:v>
      </x:c>
      <x:c r="G822" s="18" t="n">
        <x:v>1717.25</x:v>
      </x:c>
      <x:c r="H822" t="str">
        <x:v>Client 20</x:v>
      </x:c>
      <x:c r="I822" s="16" t="n">
        <x:v>45589</x:v>
      </x:c>
      <x:c r="J822" t="n">
        <x:f>YEAR(B822)</x:f>
        <x:v>2024</x:v>
      </x:c>
      <x:c r="K822" s="20" t="n">
        <x:f>DATE(YEAR(B822),MONTH(B822),1)</x:f>
        <x:v>45566</x:v>
      </x:c>
      <x:c r="L822" s="18" t="n">
        <x:f>F822-G822</x:f>
        <x:v>0</x:v>
      </x:c>
      <x:c r="M822" t="str">
        <x:f>IF(L822&lt;=0,"Payée",IF(G822=0,"Impayée","Partielle"))</x:f>
        <x:v>Payée</x:v>
      </x:c>
      <x:c r="N822" t="n">
        <x:f>IF(I822="","",I822-B822)</x:f>
        <x:v>12</x:v>
      </x:c>
      <x:c r="O822" t="str">
        <x:f>IF(TRIM(C822)&lt;&gt;TRIM(H822),"Oui","Non")</x:f>
        <x:v>Oui</x:v>
      </x:c>
      <x:c r="P822" t="str">
        <x:f>IFERROR(INDEX('02_REFERENTIEL_CLIENTS'!$B$2:$B$51,MATCH(TRIM(C822),'02_REFERENTIEL_CLIENTS'!$A$2:$A$51,0)),"Non trouvé")</x:f>
        <x:v>Grands comptes</x:v>
      </x:c>
      <x:c r="Q822" t="str">
        <x:f>IFERROR(INDEX('02_REFERENTIEL_CLIENTS'!$C$2:$C$51,MATCH(TRIM(C822),'02_REFERENTIEL_CLIENTS'!$A$2:$A$51,0)),"Non trouvé")</x:f>
        <x:v>France</x:v>
      </x:c>
      <x:c r="R822" t="str">
        <x:f>IF(OR(F822&lt;=0,G822&lt;0,G822&gt;F822,N822&lt;0,P822="Non trouvé"),"À vérifier","OK")</x:f>
        <x:v>OK</x:v>
      </x:c>
    </x:row>
    <x:row r="823">
      <x:c r="A823" t="str">
        <x:v>DV-2026-00822</x:v>
      </x:c>
      <x:c r="B823" s="16" t="n">
        <x:v>46043</x:v>
      </x:c>
      <x:c r="C823" t="str">
        <x:v>Client 14</x:v>
      </x:c>
      <x:c r="D823" t="str">
        <x:v>Douane</x:v>
      </x:c>
      <x:c r="E823" t="str">
        <x:v>Pôle A</x:v>
      </x:c>
      <x:c r="F823" s="18" t="n">
        <x:v>24365.11</x:v>
      </x:c>
      <x:c r="G823" s="18" t="n">
        <x:v>24365.11</x:v>
      </x:c>
      <x:c r="H823" t="str">
        <x:v>Client 14</x:v>
      </x:c>
      <x:c r="I823" s="16" t="n">
        <x:v>46075</x:v>
      </x:c>
      <x:c r="J823" t="n">
        <x:f>YEAR(B823)</x:f>
        <x:v>2026</x:v>
      </x:c>
      <x:c r="K823" s="20" t="n">
        <x:f>DATE(YEAR(B823),MONTH(B823),1)</x:f>
        <x:v>46023</x:v>
      </x:c>
      <x:c r="L823" s="18" t="n">
        <x:f>F823-G823</x:f>
        <x:v>0</x:v>
      </x:c>
      <x:c r="M823" t="str">
        <x:f>IF(L823&lt;=0,"Payée",IF(G823=0,"Impayée","Partielle"))</x:f>
        <x:v>Payée</x:v>
      </x:c>
      <x:c r="N823" t="n">
        <x:f>IF(I823="","",I823-B823)</x:f>
        <x:v>32</x:v>
      </x:c>
      <x:c r="O823" t="str">
        <x:f>IF(TRIM(C823)&lt;&gt;TRIM(H823),"Oui","Non")</x:f>
        <x:v>Non</x:v>
      </x:c>
      <x:c r="P823" t="str">
        <x:f>IFERROR(INDEX('02_REFERENTIEL_CLIENTS'!$B$2:$B$51,MATCH(TRIM(C823),'02_REFERENTIEL_CLIENTS'!$A$2:$A$51,0)),"Non trouvé")</x:f>
        <x:v>PME</x:v>
      </x:c>
      <x:c r="Q823" t="str">
        <x:f>IFERROR(INDEX('02_REFERENTIEL_CLIENTS'!$C$2:$C$51,MATCH(TRIM(C823),'02_REFERENTIEL_CLIENTS'!$A$2:$A$51,0)),"Non trouvé")</x:f>
        <x:v>Europe</x:v>
      </x:c>
      <x:c r="R823" t="str">
        <x:f>IF(OR(F823&lt;=0,G823&lt;0,G823&gt;F823,N823&lt;0,P823="Non trouvé"),"À vérifier","OK")</x:f>
        <x:v>OK</x:v>
      </x:c>
    </x:row>
    <x:row r="824">
      <x:c r="A824" t="str">
        <x:v>DV-2024-00823</x:v>
      </x:c>
      <x:c r="B824" s="16" t="n">
        <x:v>45574</x:v>
      </x:c>
      <x:c r="C824" t="str">
        <x:v>Client 46 </x:v>
      </x:c>
      <x:c r="D824" t="str">
        <x:v>Express</x:v>
      </x:c>
      <x:c r="E824" t="str">
        <x:v>Pôle B</x:v>
      </x:c>
      <x:c r="F824" s="18" t="n">
        <x:v>13572.07</x:v>
      </x:c>
      <x:c r="G824" s="18" t="n">
        <x:v>13572.07</x:v>
      </x:c>
      <x:c r="H824" t="str">
        <x:v>Client 46</x:v>
      </x:c>
      <x:c r="I824" s="16" t="n">
        <x:v>45657</x:v>
      </x:c>
      <x:c r="J824" t="n">
        <x:f>YEAR(B824)</x:f>
        <x:v>2024</x:v>
      </x:c>
      <x:c r="K824" s="20" t="n">
        <x:f>DATE(YEAR(B824),MONTH(B824),1)</x:f>
        <x:v>45566</x:v>
      </x:c>
      <x:c r="L824" s="18" t="n">
        <x:f>F824-G824</x:f>
        <x:v>0</x:v>
      </x:c>
      <x:c r="M824" t="str">
        <x:f>IF(L824&lt;=0,"Payée",IF(G824=0,"Impayée","Partielle"))</x:f>
        <x:v>Payée</x:v>
      </x:c>
      <x:c r="N824" t="n">
        <x:f>IF(I824="","",I824-B824)</x:f>
        <x:v>83</x:v>
      </x:c>
      <x:c r="O824" t="str">
        <x:f>IF(TRIM(C824)&lt;&gt;TRIM(H824),"Oui","Non")</x:f>
        <x:v>Non</x:v>
      </x:c>
      <x:c r="P824" t="str">
        <x:f>IFERROR(INDEX('02_REFERENTIEL_CLIENTS'!$B$2:$B$51,MATCH(TRIM(C824),'02_REFERENTIEL_CLIENTS'!$A$2:$A$51,0)),"Non trouvé")</x:f>
        <x:v>Grands comptes</x:v>
      </x:c>
      <x:c r="Q824" t="str">
        <x:f>IFERROR(INDEX('02_REFERENTIEL_CLIENTS'!$C$2:$C$51,MATCH(TRIM(C824),'02_REFERENTIEL_CLIENTS'!$A$2:$A$51,0)),"Non trouvé")</x:f>
        <x:v>France</x:v>
      </x:c>
      <x:c r="R824" t="str">
        <x:f>IF(OR(F824&lt;=0,G824&lt;0,G824&gt;F824,N824&lt;0,P824="Non trouvé"),"À vérifier","OK")</x:f>
        <x:v>OK</x:v>
      </x:c>
    </x:row>
    <x:row r="825">
      <x:c r="A825" t="str">
        <x:v>DV-2024-00824</x:v>
      </x:c>
      <x:c r="B825" s="16" t="n">
        <x:v>45442</x:v>
      </x:c>
      <x:c r="C825" t="str">
        <x:v>Client 11</x:v>
      </x:c>
      <x:c r="D825" t="str">
        <x:v>Express</x:v>
      </x:c>
      <x:c r="E825" t="str">
        <x:v>Pôle B</x:v>
      </x:c>
      <x:c r="F825" s="18" t="n">
        <x:v>8325</x:v>
      </x:c>
      <x:c r="G825" s="18" t="n">
        <x:v>8325</x:v>
      </x:c>
      <x:c r="H825" t="str">
        <x:v>Client 11</x:v>
      </x:c>
      <x:c r="I825" s="16" t="n">
        <x:v>45478</x:v>
      </x:c>
      <x:c r="J825" t="n">
        <x:f>YEAR(B825)</x:f>
        <x:v>2024</x:v>
      </x:c>
      <x:c r="K825" s="20" t="n">
        <x:f>DATE(YEAR(B825),MONTH(B825),1)</x:f>
        <x:v>45413</x:v>
      </x:c>
      <x:c r="L825" s="18" t="n">
        <x:f>F825-G825</x:f>
        <x:v>0</x:v>
      </x:c>
      <x:c r="M825" t="str">
        <x:f>IF(L825&lt;=0,"Payée",IF(G825=0,"Impayée","Partielle"))</x:f>
        <x:v>Payée</x:v>
      </x:c>
      <x:c r="N825" t="n">
        <x:f>IF(I825="","",I825-B825)</x:f>
        <x:v>36</x:v>
      </x:c>
      <x:c r="O825" t="str">
        <x:f>IF(TRIM(C825)&lt;&gt;TRIM(H825),"Oui","Non")</x:f>
        <x:v>Non</x:v>
      </x:c>
      <x:c r="P825" t="str">
        <x:f>IFERROR(INDEX('02_REFERENTIEL_CLIENTS'!$B$2:$B$51,MATCH(TRIM(C825),'02_REFERENTIEL_CLIENTS'!$A$2:$A$51,0)),"Non trouvé")</x:f>
        <x:v>PME</x:v>
      </x:c>
      <x:c r="Q825" t="str">
        <x:f>IFERROR(INDEX('02_REFERENTIEL_CLIENTS'!$C$2:$C$51,MATCH(TRIM(C825),'02_REFERENTIEL_CLIENTS'!$A$2:$A$51,0)),"Non trouvé")</x:f>
        <x:v>Europe</x:v>
      </x:c>
      <x:c r="R825" t="str">
        <x:f>IF(OR(F825&lt;=0,G825&lt;0,G825&gt;F825,N825&lt;0,P825="Non trouvé"),"À vérifier","OK")</x:f>
        <x:v>OK</x:v>
      </x:c>
    </x:row>
    <x:row r="826">
      <x:c r="A826" t="str">
        <x:v>DV-2024-00825</x:v>
      </x:c>
      <x:c r="B826" s="16" t="n">
        <x:v>45632</x:v>
      </x:c>
      <x:c r="C826" t="str">
        <x:v>Client 23</x:v>
      </x:c>
      <x:c r="D826" t="str">
        <x:v>Fret aérien</x:v>
      </x:c>
      <x:c r="E826" t="str">
        <x:v>Pôle D</x:v>
      </x:c>
      <x:c r="F826" s="18" t="n">
        <x:v>13408.85</x:v>
      </x:c>
      <x:c r="G826" s="18" t="n">
        <x:v>13408.85</x:v>
      </x:c>
      <x:c r="H826" t="str">
        <x:v>Client 01</x:v>
      </x:c>
      <x:c r="I826" s="16" t="n">
        <x:v>45661</x:v>
      </x:c>
      <x:c r="J826" t="n">
        <x:f>YEAR(B826)</x:f>
        <x:v>2024</x:v>
      </x:c>
      <x:c r="K826" s="20" t="n">
        <x:f>DATE(YEAR(B826),MONTH(B826),1)</x:f>
        <x:v>45627</x:v>
      </x:c>
      <x:c r="L826" s="18" t="n">
        <x:f>F826-G826</x:f>
        <x:v>0</x:v>
      </x:c>
      <x:c r="M826" t="str">
        <x:f>IF(L826&lt;=0,"Payée",IF(G826=0,"Impayée","Partielle"))</x:f>
        <x:v>Payée</x:v>
      </x:c>
      <x:c r="N826" t="n">
        <x:f>IF(I826="","",I826-B826)</x:f>
        <x:v>29</x:v>
      </x:c>
      <x:c r="O826" t="str">
        <x:f>IF(TRIM(C826)&lt;&gt;TRIM(H826),"Oui","Non")</x:f>
        <x:v>Oui</x:v>
      </x:c>
      <x:c r="P826" t="str">
        <x:f>IFERROR(INDEX('02_REFERENTIEL_CLIENTS'!$B$2:$B$51,MATCH(TRIM(C826),'02_REFERENTIEL_CLIENTS'!$A$2:$A$51,0)),"Non trouvé")</x:f>
        <x:v>PME</x:v>
      </x:c>
      <x:c r="Q826" t="str">
        <x:f>IFERROR(INDEX('02_REFERENTIEL_CLIENTS'!$C$2:$C$51,MATCH(TRIM(C826),'02_REFERENTIEL_CLIENTS'!$A$2:$A$51,0)),"Non trouvé")</x:f>
        <x:v>Europe</x:v>
      </x:c>
      <x:c r="R826" t="str">
        <x:f>IF(OR(F826&lt;=0,G826&lt;0,G826&gt;F826,N826&lt;0,P826="Non trouvé"),"À vérifier","OK")</x:f>
        <x:v>OK</x:v>
      </x:c>
    </x:row>
    <x:row r="827">
      <x:c r="A827" t="str">
        <x:v>DV-2024-00826</x:v>
      </x:c>
      <x:c r="B827" s="16" t="n">
        <x:v>45545</x:v>
      </x:c>
      <x:c r="C827" t="str">
        <x:v>Client 33</x:v>
      </x:c>
      <x:c r="D827" t="str">
        <x:v>Express</x:v>
      </x:c>
      <x:c r="E827" t="str">
        <x:v>Pôle A</x:v>
      </x:c>
      <x:c r="F827" s="18" t="n">
        <x:v>18156.25</x:v>
      </x:c>
      <x:c r="G827" s="18" t="n">
        <x:v>18156.25</x:v>
      </x:c>
      <x:c r="H827" t="str">
        <x:v>Client 33</x:v>
      </x:c>
      <x:c r="I827" s="16" t="n">
        <x:v>45635</x:v>
      </x:c>
      <x:c r="J827" t="n">
        <x:f>YEAR(B827)</x:f>
        <x:v>2024</x:v>
      </x:c>
      <x:c r="K827" s="20" t="n">
        <x:f>DATE(YEAR(B827),MONTH(B827),1)</x:f>
        <x:v>45536</x:v>
      </x:c>
      <x:c r="L827" s="18" t="n">
        <x:f>F827-G827</x:f>
        <x:v>0</x:v>
      </x:c>
      <x:c r="M827" t="str">
        <x:f>IF(L827&lt;=0,"Payée",IF(G827=0,"Impayée","Partielle"))</x:f>
        <x:v>Payée</x:v>
      </x:c>
      <x:c r="N827" t="n">
        <x:f>IF(I827="","",I827-B827)</x:f>
        <x:v>90</x:v>
      </x:c>
      <x:c r="O827" t="str">
        <x:f>IF(TRIM(C827)&lt;&gt;TRIM(H827),"Oui","Non")</x:f>
        <x:v>Non</x:v>
      </x:c>
      <x:c r="P827" t="str">
        <x:f>IFERROR(INDEX('02_REFERENTIEL_CLIENTS'!$B$2:$B$51,MATCH(TRIM(C827),'02_REFERENTIEL_CLIENTS'!$A$2:$A$51,0)),"Non trouvé")</x:f>
        <x:v>Particuliers</x:v>
      </x:c>
      <x:c r="Q827" t="str">
        <x:f>IFERROR(INDEX('02_REFERENTIEL_CLIENTS'!$C$2:$C$51,MATCH(TRIM(C827),'02_REFERENTIEL_CLIENTS'!$A$2:$A$51,0)),"Non trouvé")</x:f>
        <x:v>International</x:v>
      </x:c>
      <x:c r="R827" t="str">
        <x:f>IF(OR(F827&lt;=0,G827&lt;0,G827&gt;F827,N827&lt;0,P827="Non trouvé"),"À vérifier","OK")</x:f>
        <x:v>OK</x:v>
      </x:c>
    </x:row>
    <x:row r="828">
      <x:c r="A828" t="str">
        <x:v>DV-2025-00827</x:v>
      </x:c>
      <x:c r="B828" s="16" t="n">
        <x:v>45870</x:v>
      </x:c>
      <x:c r="C828" t="str">
        <x:v>Client 21</x:v>
      </x:c>
      <x:c r="D828" t="str">
        <x:v>Fret maritime</x:v>
      </x:c>
      <x:c r="E828" t="str">
        <x:v>Pôle C</x:v>
      </x:c>
      <x:c r="F828" s="18" t="n">
        <x:v>18920.27</x:v>
      </x:c>
      <x:c r="G828" s="18" t="n">
        <x:v>18920.27</x:v>
      </x:c>
      <x:c r="H828" t="str">
        <x:v>Client 21</x:v>
      </x:c>
      <x:c r="I828" s="16" t="n">
        <x:v>45932</x:v>
      </x:c>
      <x:c r="J828" t="n">
        <x:f>YEAR(B828)</x:f>
        <x:v>2025</x:v>
      </x:c>
      <x:c r="K828" s="20" t="n">
        <x:f>DATE(YEAR(B828),MONTH(B828),1)</x:f>
        <x:v>45870</x:v>
      </x:c>
      <x:c r="L828" s="18" t="n">
        <x:f>F828-G828</x:f>
        <x:v>0</x:v>
      </x:c>
      <x:c r="M828" t="str">
        <x:f>IF(L828&lt;=0,"Payée",IF(G828=0,"Impayée","Partielle"))</x:f>
        <x:v>Payée</x:v>
      </x:c>
      <x:c r="N828" t="n">
        <x:f>IF(I828="","",I828-B828)</x:f>
        <x:v>62</x:v>
      </x:c>
      <x:c r="O828" t="str">
        <x:f>IF(TRIM(C828)&lt;&gt;TRIM(H828),"Oui","Non")</x:f>
        <x:v>Non</x:v>
      </x:c>
      <x:c r="P828" t="str">
        <x:f>IFERROR(INDEX('02_REFERENTIEL_CLIENTS'!$B$2:$B$51,MATCH(TRIM(C828),'02_REFERENTIEL_CLIENTS'!$A$2:$A$51,0)),"Non trouvé")</x:f>
        <x:v>Particuliers</x:v>
      </x:c>
      <x:c r="Q828" t="str">
        <x:f>IFERROR(INDEX('02_REFERENTIEL_CLIENTS'!$C$2:$C$51,MATCH(TRIM(C828),'02_REFERENTIEL_CLIENTS'!$A$2:$A$51,0)),"Non trouvé")</x:f>
        <x:v>International</x:v>
      </x:c>
      <x:c r="R828" t="str">
        <x:f>IF(OR(F828&lt;=0,G828&lt;0,G828&gt;F828,N828&lt;0,P828="Non trouvé"),"À vérifier","OK")</x:f>
        <x:v>OK</x:v>
      </x:c>
    </x:row>
    <x:row r="829">
      <x:c r="A829" t="str">
        <x:v>DV-2024-00828</x:v>
      </x:c>
      <x:c r="B829" s="16" t="n">
        <x:v>45376</x:v>
      </x:c>
      <x:c r="C829" t="str">
        <x:v>Client 04</x:v>
      </x:c>
      <x:c r="D829" t="str">
        <x:v>Fret aérien</x:v>
      </x:c>
      <x:c r="E829" t="str">
        <x:v>Pôle E</x:v>
      </x:c>
      <x:c r="F829" s="18" t="n">
        <x:v>16187.62</x:v>
      </x:c>
      <x:c r="G829" s="18" t="n">
        <x:v>0</x:v>
      </x:c>
      <x:c r="H829" t="str">
        <x:v>Client 04</x:v>
      </x:c>
      <x:c r="I829" s="16"/>
      <x:c r="J829" t="n">
        <x:f>YEAR(B829)</x:f>
        <x:v>2024</x:v>
      </x:c>
      <x:c r="K829" s="20" t="n">
        <x:f>DATE(YEAR(B829),MONTH(B829),1)</x:f>
        <x:v>45352</x:v>
      </x:c>
      <x:c r="L829" s="18" t="n">
        <x:f>F829-G829</x:f>
        <x:v>16187.62</x:v>
      </x:c>
      <x:c r="M829" t="str">
        <x:f>IF(L829&lt;=0,"Payée",IF(G829=0,"Impayée","Partielle"))</x:f>
        <x:v>Impayée</x:v>
      </x:c>
      <x:c r="N829" t="str">
        <x:f>IF(I829="","",I829-B829)</x:f>
      </x:c>
      <x:c r="O829" t="str">
        <x:f>IF(TRIM(C829)&lt;&gt;TRIM(H829),"Oui","Non")</x:f>
        <x:v>Non</x:v>
      </x:c>
      <x:c r="P829" t="str">
        <x:f>IFERROR(INDEX('02_REFERENTIEL_CLIENTS'!$B$2:$B$51,MATCH(TRIM(C829),'02_REFERENTIEL_CLIENTS'!$A$2:$A$51,0)),"Non trouvé")</x:f>
        <x:v>Grands comptes</x:v>
      </x:c>
      <x:c r="Q829" t="str">
        <x:f>IFERROR(INDEX('02_REFERENTIEL_CLIENTS'!$C$2:$C$51,MATCH(TRIM(C829),'02_REFERENTIEL_CLIENTS'!$A$2:$A$51,0)),"Non trouvé")</x:f>
        <x:v>France</x:v>
      </x:c>
      <x:c r="R829" t="str">
        <x:f>IF(OR(F829&lt;=0,G829&lt;0,G829&gt;F829,N829&lt;0,P829="Non trouvé"),"À vérifier","OK")</x:f>
        <x:v>OK</x:v>
      </x:c>
    </x:row>
    <x:row r="830">
      <x:c r="A830" t="str">
        <x:v>DV-2025-00829</x:v>
      </x:c>
      <x:c r="B830" s="16" t="n">
        <x:v>45961</x:v>
      </x:c>
      <x:c r="C830" t="str">
        <x:v>Client 47</x:v>
      </x:c>
      <x:c r="D830" t="str">
        <x:v>Douane</x:v>
      </x:c>
      <x:c r="E830" t="str">
        <x:v>Pôle C</x:v>
      </x:c>
      <x:c r="F830" s="18" t="n">
        <x:v>21659.37</x:v>
      </x:c>
      <x:c r="G830" s="18" t="n">
        <x:v>21659.37</x:v>
      </x:c>
      <x:c r="H830" t="str">
        <x:v>Client 46</x:v>
      </x:c>
      <x:c r="I830" s="16" t="n">
        <x:v>46042</x:v>
      </x:c>
      <x:c r="J830" t="n">
        <x:f>YEAR(B830)</x:f>
        <x:v>2025</x:v>
      </x:c>
      <x:c r="K830" s="20" t="n">
        <x:f>DATE(YEAR(B830),MONTH(B830),1)</x:f>
        <x:v>45931</x:v>
      </x:c>
      <x:c r="L830" s="18" t="n">
        <x:f>F830-G830</x:f>
        <x:v>0</x:v>
      </x:c>
      <x:c r="M830" t="str">
        <x:f>IF(L830&lt;=0,"Payée",IF(G830=0,"Impayée","Partielle"))</x:f>
        <x:v>Payée</x:v>
      </x:c>
      <x:c r="N830" t="n">
        <x:f>IF(I830="","",I830-B830)</x:f>
        <x:v>81</x:v>
      </x:c>
      <x:c r="O830" t="str">
        <x:f>IF(TRIM(C830)&lt;&gt;TRIM(H830),"Oui","Non")</x:f>
        <x:v>Oui</x:v>
      </x:c>
      <x:c r="P830" t="str">
        <x:f>IFERROR(INDEX('02_REFERENTIEL_CLIENTS'!$B$2:$B$51,MATCH(TRIM(C830),'02_REFERENTIEL_CLIENTS'!$A$2:$A$51,0)),"Non trouvé")</x:f>
        <x:v>PME</x:v>
      </x:c>
      <x:c r="Q830" t="str">
        <x:f>IFERROR(INDEX('02_REFERENTIEL_CLIENTS'!$C$2:$C$51,MATCH(TRIM(C830),'02_REFERENTIEL_CLIENTS'!$A$2:$A$51,0)),"Non trouvé")</x:f>
        <x:v>Europe</x:v>
      </x:c>
      <x:c r="R830" t="str">
        <x:f>IF(OR(F830&lt;=0,G830&lt;0,G830&gt;F830,N830&lt;0,P830="Non trouvé"),"À vérifier","OK")</x:f>
        <x:v>OK</x:v>
      </x:c>
    </x:row>
    <x:row r="831">
      <x:c r="A831" t="str">
        <x:v>DV-2025-00830</x:v>
      </x:c>
      <x:c r="B831" s="16" t="n">
        <x:v>45814</x:v>
      </x:c>
      <x:c r="C831" t="str">
        <x:v>Client 35</x:v>
      </x:c>
      <x:c r="D831" t="str">
        <x:v>Fret maritime</x:v>
      </x:c>
      <x:c r="E831" t="str">
        <x:v>Pôle D</x:v>
      </x:c>
      <x:c r="F831" s="18" t="n">
        <x:v>22144.74</x:v>
      </x:c>
      <x:c r="G831" s="18" t="n">
        <x:v>22144.74</x:v>
      </x:c>
      <x:c r="H831" t="str">
        <x:v>Client 35</x:v>
      </x:c>
      <x:c r="I831" s="16" t="n">
        <x:v>45878</x:v>
      </x:c>
      <x:c r="J831" t="n">
        <x:f>YEAR(B831)</x:f>
        <x:v>2025</x:v>
      </x:c>
      <x:c r="K831" s="20" t="n">
        <x:f>DATE(YEAR(B831),MONTH(B831),1)</x:f>
        <x:v>45809</x:v>
      </x:c>
      <x:c r="L831" s="18" t="n">
        <x:f>F831-G831</x:f>
        <x:v>0</x:v>
      </x:c>
      <x:c r="M831" t="str">
        <x:f>IF(L831&lt;=0,"Payée",IF(G831=0,"Impayée","Partielle"))</x:f>
        <x:v>Payée</x:v>
      </x:c>
      <x:c r="N831" t="n">
        <x:f>IF(I831="","",I831-B831)</x:f>
        <x:v>64</x:v>
      </x:c>
      <x:c r="O831" t="str">
        <x:f>IF(TRIM(C831)&lt;&gt;TRIM(H831),"Oui","Non")</x:f>
        <x:v>Non</x:v>
      </x:c>
      <x:c r="P831" t="str">
        <x:f>IFERROR(INDEX('02_REFERENTIEL_CLIENTS'!$B$2:$B$51,MATCH(TRIM(C831),'02_REFERENTIEL_CLIENTS'!$A$2:$A$51,0)),"Non trouvé")</x:f>
        <x:v>PME</x:v>
      </x:c>
      <x:c r="Q831" t="str">
        <x:f>IFERROR(INDEX('02_REFERENTIEL_CLIENTS'!$C$2:$C$51,MATCH(TRIM(C831),'02_REFERENTIEL_CLIENTS'!$A$2:$A$51,0)),"Non trouvé")</x:f>
        <x:v>Europe</x:v>
      </x:c>
      <x:c r="R831" t="str">
        <x:f>IF(OR(F831&lt;=0,G831&lt;0,G831&gt;F831,N831&lt;0,P831="Non trouvé"),"À vérifier","OK")</x:f>
        <x:v>OK</x:v>
      </x:c>
    </x:row>
    <x:row r="832">
      <x:c r="A832" t="str">
        <x:v>DV-2025-00831</x:v>
      </x:c>
      <x:c r="B832" s="16" t="n">
        <x:v>45908</x:v>
      </x:c>
      <x:c r="C832" t="str">
        <x:v>Client 29</x:v>
      </x:c>
      <x:c r="D832" t="str">
        <x:v>Douane</x:v>
      </x:c>
      <x:c r="E832" t="str">
        <x:v>Pôle E</x:v>
      </x:c>
      <x:c r="F832" s="18" t="n">
        <x:v>1831.04</x:v>
      </x:c>
      <x:c r="G832" s="18" t="n">
        <x:v>1220.16</x:v>
      </x:c>
      <x:c r="H832" t="str">
        <x:v>Client 29</x:v>
      </x:c>
      <x:c r="I832" s="16" t="n">
        <x:v>45997</x:v>
      </x:c>
      <x:c r="J832" t="n">
        <x:f>YEAR(B832)</x:f>
        <x:v>2025</x:v>
      </x:c>
      <x:c r="K832" s="20" t="n">
        <x:f>DATE(YEAR(B832),MONTH(B832),1)</x:f>
        <x:v>45901</x:v>
      </x:c>
      <x:c r="L832" s="18" t="n">
        <x:f>F832-G832</x:f>
        <x:v>610.8799999999999</x:v>
      </x:c>
      <x:c r="M832" t="str">
        <x:f>IF(L832&lt;=0,"Payée",IF(G832=0,"Impayée","Partielle"))</x:f>
        <x:v>Partielle</x:v>
      </x:c>
      <x:c r="N832" t="n">
        <x:f>IF(I832="","",I832-B832)</x:f>
        <x:v>89</x:v>
      </x:c>
      <x:c r="O832" t="str">
        <x:f>IF(TRIM(C832)&lt;&gt;TRIM(H832),"Oui","Non")</x:f>
        <x:v>Non</x:v>
      </x:c>
      <x:c r="P832" t="str">
        <x:f>IFERROR(INDEX('02_REFERENTIEL_CLIENTS'!$B$2:$B$51,MATCH(TRIM(C832),'02_REFERENTIEL_CLIENTS'!$A$2:$A$51,0)),"Non trouvé")</x:f>
        <x:v>PME</x:v>
      </x:c>
      <x:c r="Q832" t="str">
        <x:f>IFERROR(INDEX('02_REFERENTIEL_CLIENTS'!$C$2:$C$51,MATCH(TRIM(C832),'02_REFERENTIEL_CLIENTS'!$A$2:$A$51,0)),"Non trouvé")</x:f>
        <x:v>Europe</x:v>
      </x:c>
      <x:c r="R832" t="str">
        <x:f>IF(OR(F832&lt;=0,G832&lt;0,G832&gt;F832,N832&lt;0,P832="Non trouvé"),"À vérifier","OK")</x:f>
        <x:v>OK</x:v>
      </x:c>
    </x:row>
    <x:row r="833">
      <x:c r="A833" t="str">
        <x:v>DV-2025-00832</x:v>
      </x:c>
      <x:c r="B833" s="16" t="n">
        <x:v>45878</x:v>
      </x:c>
      <x:c r="C833" t="str">
        <x:v>Client 31</x:v>
      </x:c>
      <x:c r="D833" t="str">
        <x:v>Fret aérien</x:v>
      </x:c>
      <x:c r="E833" t="str">
        <x:v>Pôle B</x:v>
      </x:c>
      <x:c r="F833" s="18" t="n">
        <x:v>16084.49</x:v>
      </x:c>
      <x:c r="G833" s="18" t="n">
        <x:v>13016.02</x:v>
      </x:c>
      <x:c r="H833" t="str">
        <x:v>Client 31</x:v>
      </x:c>
      <x:c r="I833" s="16" t="n">
        <x:v>45881</x:v>
      </x:c>
      <x:c r="J833" t="n">
        <x:f>YEAR(B833)</x:f>
        <x:v>2025</x:v>
      </x:c>
      <x:c r="K833" s="20" t="n">
        <x:f>DATE(YEAR(B833),MONTH(B833),1)</x:f>
        <x:v>45870</x:v>
      </x:c>
      <x:c r="L833" s="18" t="n">
        <x:f>F833-G833</x:f>
        <x:v>3068.4699999999993</x:v>
      </x:c>
      <x:c r="M833" t="str">
        <x:f>IF(L833&lt;=0,"Payée",IF(G833=0,"Impayée","Partielle"))</x:f>
        <x:v>Partielle</x:v>
      </x:c>
      <x:c r="N833" t="n">
        <x:f>IF(I833="","",I833-B833)</x:f>
        <x:v>3</x:v>
      </x:c>
      <x:c r="O833" t="str">
        <x:f>IF(TRIM(C833)&lt;&gt;TRIM(H833),"Oui","Non")</x:f>
        <x:v>Non</x:v>
      </x:c>
      <x:c r="P833" t="str">
        <x:f>IFERROR(INDEX('02_REFERENTIEL_CLIENTS'!$B$2:$B$51,MATCH(TRIM(C833),'02_REFERENTIEL_CLIENTS'!$A$2:$A$51,0)),"Non trouvé")</x:f>
        <x:v>Grands comptes</x:v>
      </x:c>
      <x:c r="Q833" t="str">
        <x:f>IFERROR(INDEX('02_REFERENTIEL_CLIENTS'!$C$2:$C$51,MATCH(TRIM(C833),'02_REFERENTIEL_CLIENTS'!$A$2:$A$51,0)),"Non trouvé")</x:f>
        <x:v>France</x:v>
      </x:c>
      <x:c r="R833" t="str">
        <x:f>IF(OR(F833&lt;=0,G833&lt;0,G833&gt;F833,N833&lt;0,P833="Non trouvé"),"À vérifier","OK")</x:f>
        <x:v>OK</x:v>
      </x:c>
    </x:row>
    <x:row r="834">
      <x:c r="A834" t="str">
        <x:v>DV-2024-00833</x:v>
      </x:c>
      <x:c r="B834" s="16" t="n">
        <x:v>45347</x:v>
      </x:c>
      <x:c r="C834" t="str">
        <x:v>Client 17</x:v>
      </x:c>
      <x:c r="D834" t="str">
        <x:v>Douane</x:v>
      </x:c>
      <x:c r="E834" t="str">
        <x:v>Pôle E</x:v>
      </x:c>
      <x:c r="F834" s="18" t="n">
        <x:v>2389.11</x:v>
      </x:c>
      <x:c r="G834" s="18" t="n">
        <x:v>0</x:v>
      </x:c>
      <x:c r="H834" t="str">
        <x:v>Client 17</x:v>
      </x:c>
      <x:c r="I834" s="16"/>
      <x:c r="J834" t="n">
        <x:f>YEAR(B834)</x:f>
        <x:v>2024</x:v>
      </x:c>
      <x:c r="K834" s="20" t="n">
        <x:f>DATE(YEAR(B834),MONTH(B834),1)</x:f>
        <x:v>45323</x:v>
      </x:c>
      <x:c r="L834" s="18" t="n">
        <x:f>F834-G834</x:f>
        <x:v>2389.11</x:v>
      </x:c>
      <x:c r="M834" t="str">
        <x:f>IF(L834&lt;=0,"Payée",IF(G834=0,"Impayée","Partielle"))</x:f>
        <x:v>Impayée</x:v>
      </x:c>
      <x:c r="N834" t="str">
        <x:f>IF(I834="","",I834-B834)</x:f>
      </x:c>
      <x:c r="O834" t="str">
        <x:f>IF(TRIM(C834)&lt;&gt;TRIM(H834),"Oui","Non")</x:f>
        <x:v>Non</x:v>
      </x:c>
      <x:c r="P834" t="str">
        <x:f>IFERROR(INDEX('02_REFERENTIEL_CLIENTS'!$B$2:$B$51,MATCH(TRIM(C834),'02_REFERENTIEL_CLIENTS'!$A$2:$A$51,0)),"Non trouvé")</x:f>
        <x:v>PME</x:v>
      </x:c>
      <x:c r="Q834" t="str">
        <x:f>IFERROR(INDEX('02_REFERENTIEL_CLIENTS'!$C$2:$C$51,MATCH(TRIM(C834),'02_REFERENTIEL_CLIENTS'!$A$2:$A$51,0)),"Non trouvé")</x:f>
        <x:v>Europe</x:v>
      </x:c>
      <x:c r="R834" t="str">
        <x:f>IF(OR(F834&lt;=0,G834&lt;0,G834&gt;F834,N834&lt;0,P834="Non trouvé"),"À vérifier","OK")</x:f>
        <x:v>OK</x:v>
      </x:c>
    </x:row>
    <x:row r="835">
      <x:c r="A835" t="str">
        <x:v>DV-2024-00834</x:v>
      </x:c>
      <x:c r="B835" s="16" t="n">
        <x:v>45343</x:v>
      </x:c>
      <x:c r="C835" t="str">
        <x:v>Client 27</x:v>
      </x:c>
      <x:c r="D835" t="str">
        <x:v>Logistique</x:v>
      </x:c>
      <x:c r="E835" t="str">
        <x:v>Pôle B</x:v>
      </x:c>
      <x:c r="F835" s="18" t="n">
        <x:v>21454.82</x:v>
      </x:c>
      <x:c r="G835" s="18" t="n">
        <x:v>0</x:v>
      </x:c>
      <x:c r="H835" t="str">
        <x:v>Client 27</x:v>
      </x:c>
      <x:c r="I835" s="16"/>
      <x:c r="J835" t="n">
        <x:f>YEAR(B835)</x:f>
        <x:v>2024</x:v>
      </x:c>
      <x:c r="K835" s="20" t="n">
        <x:f>DATE(YEAR(B835),MONTH(B835),1)</x:f>
        <x:v>45323</x:v>
      </x:c>
      <x:c r="L835" s="18" t="n">
        <x:f>F835-G835</x:f>
        <x:v>21454.82</x:v>
      </x:c>
      <x:c r="M835" t="str">
        <x:f>IF(L835&lt;=0,"Payée",IF(G835=0,"Impayée","Partielle"))</x:f>
        <x:v>Impayée</x:v>
      </x:c>
      <x:c r="N835" t="str">
        <x:f>IF(I835="","",I835-B835)</x:f>
      </x:c>
      <x:c r="O835" t="str">
        <x:f>IF(TRIM(C835)&lt;&gt;TRIM(H835),"Oui","Non")</x:f>
        <x:v>Non</x:v>
      </x:c>
      <x:c r="P835" t="str">
        <x:f>IFERROR(INDEX('02_REFERENTIEL_CLIENTS'!$B$2:$B$51,MATCH(TRIM(C835),'02_REFERENTIEL_CLIENTS'!$A$2:$A$51,0)),"Non trouvé")</x:f>
        <x:v>Particuliers</x:v>
      </x:c>
      <x:c r="Q835" t="str">
        <x:f>IFERROR(INDEX('02_REFERENTIEL_CLIENTS'!$C$2:$C$51,MATCH(TRIM(C835),'02_REFERENTIEL_CLIENTS'!$A$2:$A$51,0)),"Non trouvé")</x:f>
        <x:v>International</x:v>
      </x:c>
      <x:c r="R835" t="str">
        <x:f>IF(OR(F835&lt;=0,G835&lt;0,G835&gt;F835,N835&lt;0,P835="Non trouvé"),"À vérifier","OK")</x:f>
        <x:v>OK</x:v>
      </x:c>
    </x:row>
    <x:row r="836">
      <x:c r="A836" t="str">
        <x:v>DV-2026-00835</x:v>
      </x:c>
      <x:c r="B836" s="16" t="n">
        <x:v>46151</x:v>
      </x:c>
      <x:c r="C836" t="str">
        <x:v>Client 42</x:v>
      </x:c>
      <x:c r="D836" t="str">
        <x:v>Fret aérien</x:v>
      </x:c>
      <x:c r="E836" t="str">
        <x:v>Pôle B</x:v>
      </x:c>
      <x:c r="F836" s="18" t="n">
        <x:v>23631.13</x:v>
      </x:c>
      <x:c r="G836" s="18" t="n">
        <x:v>23631.13</x:v>
      </x:c>
      <x:c r="H836" t="str">
        <x:v>Client 42</x:v>
      </x:c>
      <x:c r="I836" s="16" t="n">
        <x:v>46160</x:v>
      </x:c>
      <x:c r="J836" t="n">
        <x:f>YEAR(B836)</x:f>
        <x:v>2026</x:v>
      </x:c>
      <x:c r="K836" s="20" t="n">
        <x:f>DATE(YEAR(B836),MONTH(B836),1)</x:f>
        <x:v>46143</x:v>
      </x:c>
      <x:c r="L836" s="18" t="n">
        <x:f>F836-G836</x:f>
        <x:v>0</x:v>
      </x:c>
      <x:c r="M836" t="str">
        <x:f>IF(L836&lt;=0,"Payée",IF(G836=0,"Impayée","Partielle"))</x:f>
        <x:v>Payée</x:v>
      </x:c>
      <x:c r="N836" t="n">
        <x:f>IF(I836="","",I836-B836)</x:f>
        <x:v>9</x:v>
      </x:c>
      <x:c r="O836" t="str">
        <x:f>IF(TRIM(C836)&lt;&gt;TRIM(H836),"Oui","Non")</x:f>
        <x:v>Non</x:v>
      </x:c>
      <x:c r="P836" t="str">
        <x:f>IFERROR(INDEX('02_REFERENTIEL_CLIENTS'!$B$2:$B$51,MATCH(TRIM(C836),'02_REFERENTIEL_CLIENTS'!$A$2:$A$51,0)),"Non trouvé")</x:f>
        <x:v>Particuliers</x:v>
      </x:c>
      <x:c r="Q836" t="str">
        <x:f>IFERROR(INDEX('02_REFERENTIEL_CLIENTS'!$C$2:$C$51,MATCH(TRIM(C836),'02_REFERENTIEL_CLIENTS'!$A$2:$A$51,0)),"Non trouvé")</x:f>
        <x:v>International</x:v>
      </x:c>
      <x:c r="R836" t="str">
        <x:f>IF(OR(F836&lt;=0,G836&lt;0,G836&gt;F836,N836&lt;0,P836="Non trouvé"),"À vérifier","OK")</x:f>
        <x:v>OK</x:v>
      </x:c>
    </x:row>
    <x:row r="837">
      <x:c r="A837" t="str">
        <x:v>DV-2025-00836</x:v>
      </x:c>
      <x:c r="B837" s="16" t="n">
        <x:v>46017</x:v>
      </x:c>
      <x:c r="C837" t="str">
        <x:v>Client 24</x:v>
      </x:c>
      <x:c r="D837" t="str">
        <x:v>Fret aérien</x:v>
      </x:c>
      <x:c r="E837" t="str">
        <x:v>Pôle B</x:v>
      </x:c>
      <x:c r="F837" s="18" t="n">
        <x:v>21797.05</x:v>
      </x:c>
      <x:c r="G837" s="18" t="n">
        <x:v>21797.05</x:v>
      </x:c>
      <x:c r="H837" t="str">
        <x:v>Client 24</x:v>
      </x:c>
      <x:c r="I837" s="16" t="n">
        <x:v>46061</x:v>
      </x:c>
      <x:c r="J837" t="n">
        <x:f>YEAR(B837)</x:f>
        <x:v>2025</x:v>
      </x:c>
      <x:c r="K837" s="20" t="n">
        <x:f>DATE(YEAR(B837),MONTH(B837),1)</x:f>
        <x:v>45992</x:v>
      </x:c>
      <x:c r="L837" s="18" t="n">
        <x:f>F837-G837</x:f>
        <x:v>0</x:v>
      </x:c>
      <x:c r="M837" t="str">
        <x:f>IF(L837&lt;=0,"Payée",IF(G837=0,"Impayée","Partielle"))</x:f>
        <x:v>Payée</x:v>
      </x:c>
      <x:c r="N837" t="n">
        <x:f>IF(I837="","",I837-B837)</x:f>
        <x:v>44</x:v>
      </x:c>
      <x:c r="O837" t="str">
        <x:f>IF(TRIM(C837)&lt;&gt;TRIM(H837),"Oui","Non")</x:f>
        <x:v>Non</x:v>
      </x:c>
      <x:c r="P837" t="str">
        <x:f>IFERROR(INDEX('02_REFERENTIEL_CLIENTS'!$B$2:$B$51,MATCH(TRIM(C837),'02_REFERENTIEL_CLIENTS'!$A$2:$A$51,0)),"Non trouvé")</x:f>
        <x:v>Particuliers</x:v>
      </x:c>
      <x:c r="Q837" t="str">
        <x:f>IFERROR(INDEX('02_REFERENTIEL_CLIENTS'!$C$2:$C$51,MATCH(TRIM(C837),'02_REFERENTIEL_CLIENTS'!$A$2:$A$51,0)),"Non trouvé")</x:f>
        <x:v>International</x:v>
      </x:c>
      <x:c r="R837" t="str">
        <x:f>IF(OR(F837&lt;=0,G837&lt;0,G837&gt;F837,N837&lt;0,P837="Non trouvé"),"À vérifier","OK")</x:f>
        <x:v>OK</x:v>
      </x:c>
    </x:row>
    <x:row r="838">
      <x:c r="A838" t="str">
        <x:v>DV-2026-00837</x:v>
      </x:c>
      <x:c r="B838" s="16" t="n">
        <x:v>46026</x:v>
      </x:c>
      <x:c r="C838" t="str">
        <x:v>Client 03</x:v>
      </x:c>
      <x:c r="D838" t="str">
        <x:v>Douane</x:v>
      </x:c>
      <x:c r="E838" t="str">
        <x:v>Pôle B</x:v>
      </x:c>
      <x:c r="F838" s="18" t="n">
        <x:v>6301.89</x:v>
      </x:c>
      <x:c r="G838" s="18" t="n">
        <x:v>6301.89</x:v>
      </x:c>
      <x:c r="H838" t="str">
        <x:v>Client 03</x:v>
      </x:c>
      <x:c r="I838" s="16" t="n">
        <x:v>46061</x:v>
      </x:c>
      <x:c r="J838" t="n">
        <x:f>YEAR(B838)</x:f>
        <x:v>2026</x:v>
      </x:c>
      <x:c r="K838" s="20" t="n">
        <x:f>DATE(YEAR(B838),MONTH(B838),1)</x:f>
        <x:v>46023</x:v>
      </x:c>
      <x:c r="L838" s="18" t="n">
        <x:f>F838-G838</x:f>
        <x:v>0</x:v>
      </x:c>
      <x:c r="M838" t="str">
        <x:f>IF(L838&lt;=0,"Payée",IF(G838=0,"Impayée","Partielle"))</x:f>
        <x:v>Payée</x:v>
      </x:c>
      <x:c r="N838" t="n">
        <x:f>IF(I838="","",I838-B838)</x:f>
        <x:v>35</x:v>
      </x:c>
      <x:c r="O838" t="str">
        <x:f>IF(TRIM(C838)&lt;&gt;TRIM(H838),"Oui","Non")</x:f>
        <x:v>Non</x:v>
      </x:c>
      <x:c r="P838" t="str">
        <x:f>IFERROR(INDEX('02_REFERENTIEL_CLIENTS'!$B$2:$B$51,MATCH(TRIM(C838),'02_REFERENTIEL_CLIENTS'!$A$2:$A$51,0)),"Non trouvé")</x:f>
        <x:v>Particuliers</x:v>
      </x:c>
      <x:c r="Q838" t="str">
        <x:f>IFERROR(INDEX('02_REFERENTIEL_CLIENTS'!$C$2:$C$51,MATCH(TRIM(C838),'02_REFERENTIEL_CLIENTS'!$A$2:$A$51,0)),"Non trouvé")</x:f>
        <x:v>International</x:v>
      </x:c>
      <x:c r="R838" t="str">
        <x:f>IF(OR(F838&lt;=0,G838&lt;0,G838&gt;F838,N838&lt;0,P838="Non trouvé"),"À vérifier","OK")</x:f>
        <x:v>OK</x:v>
      </x:c>
    </x:row>
    <x:row r="839">
      <x:c r="A839" t="str">
        <x:v>DV-2026-00838</x:v>
      </x:c>
      <x:c r="B839" s="16" t="n">
        <x:v>46042</x:v>
      </x:c>
      <x:c r="C839" t="str">
        <x:v>Client 22</x:v>
      </x:c>
      <x:c r="D839" t="str">
        <x:v>Logistique</x:v>
      </x:c>
      <x:c r="E839" t="str">
        <x:v>Pôle D</x:v>
      </x:c>
      <x:c r="F839" s="18" t="n">
        <x:v>18906.46</x:v>
      </x:c>
      <x:c r="G839" s="18" t="n">
        <x:v>18906.46</x:v>
      </x:c>
      <x:c r="H839" t="str">
        <x:v>Client 22</x:v>
      </x:c>
      <x:c r="I839" s="16" t="n">
        <x:v>46095</x:v>
      </x:c>
      <x:c r="J839" t="n">
        <x:f>YEAR(B839)</x:f>
        <x:v>2026</x:v>
      </x:c>
      <x:c r="K839" s="20" t="n">
        <x:f>DATE(YEAR(B839),MONTH(B839),1)</x:f>
        <x:v>46023</x:v>
      </x:c>
      <x:c r="L839" s="18" t="n">
        <x:f>F839-G839</x:f>
        <x:v>0</x:v>
      </x:c>
      <x:c r="M839" t="str">
        <x:f>IF(L839&lt;=0,"Payée",IF(G839=0,"Impayée","Partielle"))</x:f>
        <x:v>Payée</x:v>
      </x:c>
      <x:c r="N839" t="n">
        <x:f>IF(I839="","",I839-B839)</x:f>
        <x:v>53</x:v>
      </x:c>
      <x:c r="O839" t="str">
        <x:f>IF(TRIM(C839)&lt;&gt;TRIM(H839),"Oui","Non")</x:f>
        <x:v>Non</x:v>
      </x:c>
      <x:c r="P839" t="str">
        <x:f>IFERROR(INDEX('02_REFERENTIEL_CLIENTS'!$B$2:$B$51,MATCH(TRIM(C839),'02_REFERENTIEL_CLIENTS'!$A$2:$A$51,0)),"Non trouvé")</x:f>
        <x:v>Grands comptes</x:v>
      </x:c>
      <x:c r="Q839" t="str">
        <x:f>IFERROR(INDEX('02_REFERENTIEL_CLIENTS'!$C$2:$C$51,MATCH(TRIM(C839),'02_REFERENTIEL_CLIENTS'!$A$2:$A$51,0)),"Non trouvé")</x:f>
        <x:v>France</x:v>
      </x:c>
      <x:c r="R839" t="str">
        <x:f>IF(OR(F839&lt;=0,G839&lt;0,G839&gt;F839,N839&lt;0,P839="Non trouvé"),"À vérifier","OK")</x:f>
        <x:v>OK</x:v>
      </x:c>
    </x:row>
    <x:row r="840">
      <x:c r="A840" t="str">
        <x:v>DV-2026-00839</x:v>
      </x:c>
      <x:c r="B840" s="16" t="n">
        <x:v>46279</x:v>
      </x:c>
      <x:c r="C840" t="str">
        <x:v>Client 15</x:v>
      </x:c>
      <x:c r="D840" t="str">
        <x:v>Douane</x:v>
      </x:c>
      <x:c r="E840" t="str">
        <x:v>Pôle D</x:v>
      </x:c>
      <x:c r="F840" s="18" t="n">
        <x:v>23932.35</x:v>
      </x:c>
      <x:c r="G840" s="18" t="n">
        <x:v>23932.35</x:v>
      </x:c>
      <x:c r="H840" t="str">
        <x:v>Client 15</x:v>
      </x:c>
      <x:c r="I840" s="16" t="n">
        <x:v>46317</x:v>
      </x:c>
      <x:c r="J840" t="n">
        <x:f>YEAR(B840)</x:f>
        <x:v>2026</x:v>
      </x:c>
      <x:c r="K840" s="20" t="n">
        <x:f>DATE(YEAR(B840),MONTH(B840),1)</x:f>
        <x:v>46266</x:v>
      </x:c>
      <x:c r="L840" s="18" t="n">
        <x:f>F840-G840</x:f>
        <x:v>0</x:v>
      </x:c>
      <x:c r="M840" t="str">
        <x:f>IF(L840&lt;=0,"Payée",IF(G840=0,"Impayée","Partielle"))</x:f>
        <x:v>Payée</x:v>
      </x:c>
      <x:c r="N840" t="n">
        <x:f>IF(I840="","",I840-B840)</x:f>
        <x:v>38</x:v>
      </x:c>
      <x:c r="O840" t="str">
        <x:f>IF(TRIM(C840)&lt;&gt;TRIM(H840),"Oui","Non")</x:f>
        <x:v>Non</x:v>
      </x:c>
      <x:c r="P840" t="str">
        <x:f>IFERROR(INDEX('02_REFERENTIEL_CLIENTS'!$B$2:$B$51,MATCH(TRIM(C840),'02_REFERENTIEL_CLIENTS'!$A$2:$A$51,0)),"Non trouvé")</x:f>
        <x:v>Particuliers</x:v>
      </x:c>
      <x:c r="Q840" t="str">
        <x:f>IFERROR(INDEX('02_REFERENTIEL_CLIENTS'!$C$2:$C$51,MATCH(TRIM(C840),'02_REFERENTIEL_CLIENTS'!$A$2:$A$51,0)),"Non trouvé")</x:f>
        <x:v>International</x:v>
      </x:c>
      <x:c r="R840" t="str">
        <x:f>IF(OR(F840&lt;=0,G840&lt;0,G840&gt;F840,N840&lt;0,P840="Non trouvé"),"À vérifier","OK")</x:f>
        <x:v>OK</x:v>
      </x:c>
    </x:row>
    <x:row r="841">
      <x:c r="A841" t="str">
        <x:v>DV-2026-00840</x:v>
      </x:c>
      <x:c r="B841" s="16" t="n">
        <x:v>46219</x:v>
      </x:c>
      <x:c r="C841" t="str">
        <x:v>Client 10</x:v>
      </x:c>
      <x:c r="D841" t="str">
        <x:v>Fret maritime</x:v>
      </x:c>
      <x:c r="E841" t="str">
        <x:v>Pôle D</x:v>
      </x:c>
      <x:c r="F841" s="18" t="n">
        <x:v>22547.62</x:v>
      </x:c>
      <x:c r="G841" s="18" t="n">
        <x:v>22547.62</x:v>
      </x:c>
      <x:c r="H841" t="str">
        <x:v>Client 10</x:v>
      </x:c>
      <x:c r="I841" s="16" t="n">
        <x:v>46294</x:v>
      </x:c>
      <x:c r="J841" t="n">
        <x:f>YEAR(B841)</x:f>
        <x:v>2026</x:v>
      </x:c>
      <x:c r="K841" s="20" t="n">
        <x:f>DATE(YEAR(B841),MONTH(B841),1)</x:f>
        <x:v>46204</x:v>
      </x:c>
      <x:c r="L841" s="18" t="n">
        <x:f>F841-G841</x:f>
        <x:v>0</x:v>
      </x:c>
      <x:c r="M841" t="str">
        <x:f>IF(L841&lt;=0,"Payée",IF(G841=0,"Impayée","Partielle"))</x:f>
        <x:v>Payée</x:v>
      </x:c>
      <x:c r="N841" t="n">
        <x:f>IF(I841="","",I841-B841)</x:f>
        <x:v>75</x:v>
      </x:c>
      <x:c r="O841" t="str">
        <x:f>IF(TRIM(C841)&lt;&gt;TRIM(H841),"Oui","Non")</x:f>
        <x:v>Non</x:v>
      </x:c>
      <x:c r="P841" t="str">
        <x:f>IFERROR(INDEX('02_REFERENTIEL_CLIENTS'!$B$2:$B$51,MATCH(TRIM(C841),'02_REFERENTIEL_CLIENTS'!$A$2:$A$51,0)),"Non trouvé")</x:f>
        <x:v>Grands comptes</x:v>
      </x:c>
      <x:c r="Q841" t="str">
        <x:f>IFERROR(INDEX('02_REFERENTIEL_CLIENTS'!$C$2:$C$51,MATCH(TRIM(C841),'02_REFERENTIEL_CLIENTS'!$A$2:$A$51,0)),"Non trouvé")</x:f>
        <x:v>France</x:v>
      </x:c>
      <x:c r="R841" t="str">
        <x:f>IF(OR(F841&lt;=0,G841&lt;0,G841&gt;F841,N841&lt;0,P841="Non trouvé"),"À vérifier","OK")</x:f>
        <x:v>OK</x:v>
      </x:c>
    </x:row>
    <x:row r="842">
      <x:c r="A842" t="str">
        <x:v>DV-2024-00841</x:v>
      </x:c>
      <x:c r="B842" s="16" t="n">
        <x:v>45486</x:v>
      </x:c>
      <x:c r="C842" t="str">
        <x:v>Client 23</x:v>
      </x:c>
      <x:c r="D842" t="str">
        <x:v>Fret aérien</x:v>
      </x:c>
      <x:c r="E842" t="str">
        <x:v>Pôle C</x:v>
      </x:c>
      <x:c r="F842" s="18" t="n">
        <x:v>3001.69</x:v>
      </x:c>
      <x:c r="G842" s="18" t="n">
        <x:v>1027.68</x:v>
      </x:c>
      <x:c r="H842" t="str">
        <x:v>Client 23</x:v>
      </x:c>
      <x:c r="I842" s="16" t="n">
        <x:v>45580</x:v>
      </x:c>
      <x:c r="J842" t="n">
        <x:f>YEAR(B842)</x:f>
        <x:v>2024</x:v>
      </x:c>
      <x:c r="K842" s="20" t="n">
        <x:f>DATE(YEAR(B842),MONTH(B842),1)</x:f>
        <x:v>45474</x:v>
      </x:c>
      <x:c r="L842" s="18" t="n">
        <x:f>F842-G842</x:f>
        <x:v>1974.01</x:v>
      </x:c>
      <x:c r="M842" t="str">
        <x:f>IF(L842&lt;=0,"Payée",IF(G842=0,"Impayée","Partielle"))</x:f>
        <x:v>Partielle</x:v>
      </x:c>
      <x:c r="N842" t="n">
        <x:f>IF(I842="","",I842-B842)</x:f>
        <x:v>94</x:v>
      </x:c>
      <x:c r="O842" t="str">
        <x:f>IF(TRIM(C842)&lt;&gt;TRIM(H842),"Oui","Non")</x:f>
        <x:v>Non</x:v>
      </x:c>
      <x:c r="P842" t="str">
        <x:f>IFERROR(INDEX('02_REFERENTIEL_CLIENTS'!$B$2:$B$51,MATCH(TRIM(C842),'02_REFERENTIEL_CLIENTS'!$A$2:$A$51,0)),"Non trouvé")</x:f>
        <x:v>PME</x:v>
      </x:c>
      <x:c r="Q842" t="str">
        <x:f>IFERROR(INDEX('02_REFERENTIEL_CLIENTS'!$C$2:$C$51,MATCH(TRIM(C842),'02_REFERENTIEL_CLIENTS'!$A$2:$A$51,0)),"Non trouvé")</x:f>
        <x:v>Europe</x:v>
      </x:c>
      <x:c r="R842" t="str">
        <x:f>IF(OR(F842&lt;=0,G842&lt;0,G842&gt;F842,N842&lt;0,P842="Non trouvé"),"À vérifier","OK")</x:f>
        <x:v>OK</x:v>
      </x:c>
    </x:row>
    <x:row r="843">
      <x:c r="A843" t="str">
        <x:v>DV-2025-00842</x:v>
      </x:c>
      <x:c r="B843" s="16" t="n">
        <x:v>45760</x:v>
      </x:c>
      <x:c r="C843" t="str">
        <x:v>Client 29</x:v>
      </x:c>
      <x:c r="D843" t="str">
        <x:v>Logistique</x:v>
      </x:c>
      <x:c r="E843" t="str">
        <x:v>Pôle C</x:v>
      </x:c>
      <x:c r="F843" s="18" t="n">
        <x:v>20080.15</x:v>
      </x:c>
      <x:c r="G843" s="18" t="n">
        <x:v>20080.15</x:v>
      </x:c>
      <x:c r="H843" t="str">
        <x:v>Client 29</x:v>
      </x:c>
      <x:c r="I843" s="16" t="n">
        <x:v>45846</x:v>
      </x:c>
      <x:c r="J843" t="n">
        <x:f>YEAR(B843)</x:f>
        <x:v>2025</x:v>
      </x:c>
      <x:c r="K843" s="20" t="n">
        <x:f>DATE(YEAR(B843),MONTH(B843),1)</x:f>
        <x:v>45748</x:v>
      </x:c>
      <x:c r="L843" s="18" t="n">
        <x:f>F843-G843</x:f>
        <x:v>0</x:v>
      </x:c>
      <x:c r="M843" t="str">
        <x:f>IF(L843&lt;=0,"Payée",IF(G843=0,"Impayée","Partielle"))</x:f>
        <x:v>Payée</x:v>
      </x:c>
      <x:c r="N843" t="n">
        <x:f>IF(I843="","",I843-B843)</x:f>
        <x:v>86</x:v>
      </x:c>
      <x:c r="O843" t="str">
        <x:f>IF(TRIM(C843)&lt;&gt;TRIM(H843),"Oui","Non")</x:f>
        <x:v>Non</x:v>
      </x:c>
      <x:c r="P843" t="str">
        <x:f>IFERROR(INDEX('02_REFERENTIEL_CLIENTS'!$B$2:$B$51,MATCH(TRIM(C843),'02_REFERENTIEL_CLIENTS'!$A$2:$A$51,0)),"Non trouvé")</x:f>
        <x:v>PME</x:v>
      </x:c>
      <x:c r="Q843" t="str">
        <x:f>IFERROR(INDEX('02_REFERENTIEL_CLIENTS'!$C$2:$C$51,MATCH(TRIM(C843),'02_REFERENTIEL_CLIENTS'!$A$2:$A$51,0)),"Non trouvé")</x:f>
        <x:v>Europe</x:v>
      </x:c>
      <x:c r="R843" t="str">
        <x:f>IF(OR(F843&lt;=0,G843&lt;0,G843&gt;F843,N843&lt;0,P843="Non trouvé"),"À vérifier","OK")</x:f>
        <x:v>OK</x:v>
      </x:c>
    </x:row>
    <x:row r="844">
      <x:c r="A844" t="str">
        <x:v>DV-2026-00843</x:v>
      </x:c>
      <x:c r="B844" s="16" t="n">
        <x:v>46265</x:v>
      </x:c>
      <x:c r="C844" t="str">
        <x:v>Client 15</x:v>
      </x:c>
      <x:c r="D844" t="str">
        <x:v>Logistique</x:v>
      </x:c>
      <x:c r="E844" t="str">
        <x:v>Pôle E</x:v>
      </x:c>
      <x:c r="F844" s="18" t="n">
        <x:v>2677.02</x:v>
      </x:c>
      <x:c r="G844" s="18" t="n">
        <x:v>2677.02</x:v>
      </x:c>
      <x:c r="H844" t="str">
        <x:v>Client 15</x:v>
      </x:c>
      <x:c r="I844" s="16" t="n">
        <x:v>46321</x:v>
      </x:c>
      <x:c r="J844" t="n">
        <x:f>YEAR(B844)</x:f>
        <x:v>2026</x:v>
      </x:c>
      <x:c r="K844" s="20" t="n">
        <x:f>DATE(YEAR(B844),MONTH(B844),1)</x:f>
        <x:v>46235</x:v>
      </x:c>
      <x:c r="L844" s="18" t="n">
        <x:f>F844-G844</x:f>
        <x:v>0</x:v>
      </x:c>
      <x:c r="M844" t="str">
        <x:f>IF(L844&lt;=0,"Payée",IF(G844=0,"Impayée","Partielle"))</x:f>
        <x:v>Payée</x:v>
      </x:c>
      <x:c r="N844" t="n">
        <x:f>IF(I844="","",I844-B844)</x:f>
        <x:v>56</x:v>
      </x:c>
      <x:c r="O844" t="str">
        <x:f>IF(TRIM(C844)&lt;&gt;TRIM(H844),"Oui","Non")</x:f>
        <x:v>Non</x:v>
      </x:c>
      <x:c r="P844" t="str">
        <x:f>IFERROR(INDEX('02_REFERENTIEL_CLIENTS'!$B$2:$B$51,MATCH(TRIM(C844),'02_REFERENTIEL_CLIENTS'!$A$2:$A$51,0)),"Non trouvé")</x:f>
        <x:v>Particuliers</x:v>
      </x:c>
      <x:c r="Q844" t="str">
        <x:f>IFERROR(INDEX('02_REFERENTIEL_CLIENTS'!$C$2:$C$51,MATCH(TRIM(C844),'02_REFERENTIEL_CLIENTS'!$A$2:$A$51,0)),"Non trouvé")</x:f>
        <x:v>International</x:v>
      </x:c>
      <x:c r="R844" t="str">
        <x:f>IF(OR(F844&lt;=0,G844&lt;0,G844&gt;F844,N844&lt;0,P844="Non trouvé"),"À vérifier","OK")</x:f>
        <x:v>OK</x:v>
      </x:c>
    </x:row>
    <x:row r="845">
      <x:c r="A845" t="str">
        <x:v>DV-2024-00844</x:v>
      </x:c>
      <x:c r="B845" s="16" t="n">
        <x:v>45566</x:v>
      </x:c>
      <x:c r="C845" t="str">
        <x:v>Client 44</x:v>
      </x:c>
      <x:c r="D845" t="str">
        <x:v>Logistique</x:v>
      </x:c>
      <x:c r="E845" t="str">
        <x:v>Pôle A</x:v>
      </x:c>
      <x:c r="F845" s="18" t="n">
        <x:v>16322.15</x:v>
      </x:c>
      <x:c r="G845" s="18" t="n">
        <x:v>16322.15</x:v>
      </x:c>
      <x:c r="H845" t="str">
        <x:v>Client 44</x:v>
      </x:c>
      <x:c r="I845" s="16" t="n">
        <x:v>45603</x:v>
      </x:c>
      <x:c r="J845" t="n">
        <x:f>YEAR(B845)</x:f>
        <x:v>2024</x:v>
      </x:c>
      <x:c r="K845" s="20" t="n">
        <x:f>DATE(YEAR(B845),MONTH(B845),1)</x:f>
        <x:v>45566</x:v>
      </x:c>
      <x:c r="L845" s="18" t="n">
        <x:f>F845-G845</x:f>
        <x:v>0</x:v>
      </x:c>
      <x:c r="M845" t="str">
        <x:f>IF(L845&lt;=0,"Payée",IF(G845=0,"Impayée","Partielle"))</x:f>
        <x:v>Payée</x:v>
      </x:c>
      <x:c r="N845" t="n">
        <x:f>IF(I845="","",I845-B845)</x:f>
        <x:v>37</x:v>
      </x:c>
      <x:c r="O845" t="str">
        <x:f>IF(TRIM(C845)&lt;&gt;TRIM(H845),"Oui","Non")</x:f>
        <x:v>Non</x:v>
      </x:c>
      <x:c r="P845" t="str">
        <x:f>IFERROR(INDEX('02_REFERENTIEL_CLIENTS'!$B$2:$B$51,MATCH(TRIM(C845),'02_REFERENTIEL_CLIENTS'!$A$2:$A$51,0)),"Non trouvé")</x:f>
        <x:v>PME</x:v>
      </x:c>
      <x:c r="Q845" t="str">
        <x:f>IFERROR(INDEX('02_REFERENTIEL_CLIENTS'!$C$2:$C$51,MATCH(TRIM(C845),'02_REFERENTIEL_CLIENTS'!$A$2:$A$51,0)),"Non trouvé")</x:f>
        <x:v>Europe</x:v>
      </x:c>
      <x:c r="R845" t="str">
        <x:f>IF(OR(F845&lt;=0,G845&lt;0,G845&gt;F845,N845&lt;0,P845="Non trouvé"),"À vérifier","OK")</x:f>
        <x:v>OK</x:v>
      </x:c>
    </x:row>
    <x:row r="846">
      <x:c r="A846" t="str">
        <x:v>DV-2026-00845</x:v>
      </x:c>
      <x:c r="B846" s="16" t="n">
        <x:v>46266</x:v>
      </x:c>
      <x:c r="C846" t="str">
        <x:v>Client 37</x:v>
      </x:c>
      <x:c r="D846" t="str">
        <x:v>Douane</x:v>
      </x:c>
      <x:c r="E846" t="str">
        <x:v>Pôle C</x:v>
      </x:c>
      <x:c r="F846" s="18" t="n">
        <x:v>12639</x:v>
      </x:c>
      <x:c r="G846" s="18" t="n">
        <x:v>12639</x:v>
      </x:c>
      <x:c r="H846" t="str">
        <x:v>Client 37</x:v>
      </x:c>
      <x:c r="I846" s="16" t="n">
        <x:v>46280</x:v>
      </x:c>
      <x:c r="J846" t="n">
        <x:f>YEAR(B846)</x:f>
        <x:v>2026</x:v>
      </x:c>
      <x:c r="K846" s="20" t="n">
        <x:f>DATE(YEAR(B846),MONTH(B846),1)</x:f>
        <x:v>46266</x:v>
      </x:c>
      <x:c r="L846" s="18" t="n">
        <x:f>F846-G846</x:f>
        <x:v>0</x:v>
      </x:c>
      <x:c r="M846" t="str">
        <x:f>IF(L846&lt;=0,"Payée",IF(G846=0,"Impayée","Partielle"))</x:f>
        <x:v>Payée</x:v>
      </x:c>
      <x:c r="N846" t="n">
        <x:f>IF(I846="","",I846-B846)</x:f>
        <x:v>14</x:v>
      </x:c>
      <x:c r="O846" t="str">
        <x:f>IF(TRIM(C846)&lt;&gt;TRIM(H846),"Oui","Non")</x:f>
        <x:v>Non</x:v>
      </x:c>
      <x:c r="P846" t="str">
        <x:f>IFERROR(INDEX('02_REFERENTIEL_CLIENTS'!$B$2:$B$51,MATCH(TRIM(C846),'02_REFERENTIEL_CLIENTS'!$A$2:$A$51,0)),"Non trouvé")</x:f>
        <x:v>Grands comptes</x:v>
      </x:c>
      <x:c r="Q846" t="str">
        <x:f>IFERROR(INDEX('02_REFERENTIEL_CLIENTS'!$C$2:$C$51,MATCH(TRIM(C846),'02_REFERENTIEL_CLIENTS'!$A$2:$A$51,0)),"Non trouvé")</x:f>
        <x:v>France</x:v>
      </x:c>
      <x:c r="R846" t="str">
        <x:f>IF(OR(F846&lt;=0,G846&lt;0,G846&gt;F846,N846&lt;0,P846="Non trouvé"),"À vérifier","OK")</x:f>
        <x:v>OK</x:v>
      </x:c>
    </x:row>
    <x:row r="847">
      <x:c r="A847" t="str">
        <x:v>DV-2024-00846</x:v>
      </x:c>
      <x:c r="B847" s="16" t="n">
        <x:v>45312</x:v>
      </x:c>
      <x:c r="C847" t="str">
        <x:v>Client 32</x:v>
      </x:c>
      <x:c r="D847" t="str">
        <x:v>Express</x:v>
      </x:c>
      <x:c r="E847" t="str">
        <x:v>Pôle A</x:v>
      </x:c>
      <x:c r="F847" s="18" t="n">
        <x:v>22260.02</x:v>
      </x:c>
      <x:c r="G847" s="18" t="n">
        <x:v>22260.02</x:v>
      </x:c>
      <x:c r="H847" t="str">
        <x:v>Client 47</x:v>
      </x:c>
      <x:c r="I847" s="16" t="n">
        <x:v>45402</x:v>
      </x:c>
      <x:c r="J847" t="n">
        <x:f>YEAR(B847)</x:f>
        <x:v>2024</x:v>
      </x:c>
      <x:c r="K847" s="20" t="n">
        <x:f>DATE(YEAR(B847),MONTH(B847),1)</x:f>
        <x:v>45292</x:v>
      </x:c>
      <x:c r="L847" s="18" t="n">
        <x:f>F847-G847</x:f>
        <x:v>0</x:v>
      </x:c>
      <x:c r="M847" t="str">
        <x:f>IF(L847&lt;=0,"Payée",IF(G847=0,"Impayée","Partielle"))</x:f>
        <x:v>Payée</x:v>
      </x:c>
      <x:c r="N847" t="n">
        <x:f>IF(I847="","",I847-B847)</x:f>
        <x:v>90</x:v>
      </x:c>
      <x:c r="O847" t="str">
        <x:f>IF(TRIM(C847)&lt;&gt;TRIM(H847),"Oui","Non")</x:f>
        <x:v>Oui</x:v>
      </x:c>
      <x:c r="P847" t="str">
        <x:f>IFERROR(INDEX('02_REFERENTIEL_CLIENTS'!$B$2:$B$51,MATCH(TRIM(C847),'02_REFERENTIEL_CLIENTS'!$A$2:$A$51,0)),"Non trouvé")</x:f>
        <x:v>PME</x:v>
      </x:c>
      <x:c r="Q847" t="str">
        <x:f>IFERROR(INDEX('02_REFERENTIEL_CLIENTS'!$C$2:$C$51,MATCH(TRIM(C847),'02_REFERENTIEL_CLIENTS'!$A$2:$A$51,0)),"Non trouvé")</x:f>
        <x:v>Europe</x:v>
      </x:c>
      <x:c r="R847" t="str">
        <x:f>IF(OR(F847&lt;=0,G847&lt;0,G847&gt;F847,N847&lt;0,P847="Non trouvé"),"À vérifier","OK")</x:f>
        <x:v>OK</x:v>
      </x:c>
    </x:row>
    <x:row r="848">
      <x:c r="A848" t="str">
        <x:v>DV-2026-00847</x:v>
      </x:c>
      <x:c r="B848" s="16" t="n">
        <x:v>46206</x:v>
      </x:c>
      <x:c r="C848" t="str">
        <x:v>Client 40</x:v>
      </x:c>
      <x:c r="D848" t="str">
        <x:v>Express</x:v>
      </x:c>
      <x:c r="E848" t="str">
        <x:v>Pôle E</x:v>
      </x:c>
      <x:c r="F848" s="18" t="n">
        <x:v>4810.75</x:v>
      </x:c>
      <x:c r="G848" s="18" t="n">
        <x:v>4810.75</x:v>
      </x:c>
      <x:c r="H848" t="str">
        <x:v>Client 40</x:v>
      </x:c>
      <x:c r="I848" s="16" t="n">
        <x:v>46252</x:v>
      </x:c>
      <x:c r="J848" t="n">
        <x:f>YEAR(B848)</x:f>
        <x:v>2026</x:v>
      </x:c>
      <x:c r="K848" s="20" t="n">
        <x:f>DATE(YEAR(B848),MONTH(B848),1)</x:f>
        <x:v>46204</x:v>
      </x:c>
      <x:c r="L848" s="18" t="n">
        <x:f>F848-G848</x:f>
        <x:v>0</x:v>
      </x:c>
      <x:c r="M848" t="str">
        <x:f>IF(L848&lt;=0,"Payée",IF(G848=0,"Impayée","Partielle"))</x:f>
        <x:v>Payée</x:v>
      </x:c>
      <x:c r="N848" t="n">
        <x:f>IF(I848="","",I848-B848)</x:f>
        <x:v>46</x:v>
      </x:c>
      <x:c r="O848" t="str">
        <x:f>IF(TRIM(C848)&lt;&gt;TRIM(H848),"Oui","Non")</x:f>
        <x:v>Non</x:v>
      </x:c>
      <x:c r="P848" t="str">
        <x:f>IFERROR(INDEX('02_REFERENTIEL_CLIENTS'!$B$2:$B$51,MATCH(TRIM(C848),'02_REFERENTIEL_CLIENTS'!$A$2:$A$51,0)),"Non trouvé")</x:f>
        <x:v>Grands comptes</x:v>
      </x:c>
      <x:c r="Q848" t="str">
        <x:f>IFERROR(INDEX('02_REFERENTIEL_CLIENTS'!$C$2:$C$51,MATCH(TRIM(C848),'02_REFERENTIEL_CLIENTS'!$A$2:$A$51,0)),"Non trouvé")</x:f>
        <x:v>France</x:v>
      </x:c>
      <x:c r="R848" t="str">
        <x:f>IF(OR(F848&lt;=0,G848&lt;0,G848&gt;F848,N848&lt;0,P848="Non trouvé"),"À vérifier","OK")</x:f>
        <x:v>OK</x:v>
      </x:c>
    </x:row>
    <x:row r="849">
      <x:c r="A849" t="str">
        <x:v>DV-2026-00848</x:v>
      </x:c>
      <x:c r="B849" s="16" t="n">
        <x:v>46041</x:v>
      </x:c>
      <x:c r="C849" t="str">
        <x:v>Client 21</x:v>
      </x:c>
      <x:c r="D849" t="str">
        <x:v>Fret aérien</x:v>
      </x:c>
      <x:c r="E849" t="str">
        <x:v>Pôle B</x:v>
      </x:c>
      <x:c r="F849" s="18" t="n">
        <x:v>22392.62</x:v>
      </x:c>
      <x:c r="G849" s="18" t="n">
        <x:v>0</x:v>
      </x:c>
      <x:c r="H849" t="str">
        <x:v>Client 21</x:v>
      </x:c>
      <x:c r="I849" s="16"/>
      <x:c r="J849" t="n">
        <x:f>YEAR(B849)</x:f>
        <x:v>2026</x:v>
      </x:c>
      <x:c r="K849" s="20" t="n">
        <x:f>DATE(YEAR(B849),MONTH(B849),1)</x:f>
        <x:v>46023</x:v>
      </x:c>
      <x:c r="L849" s="18" t="n">
        <x:f>F849-G849</x:f>
        <x:v>22392.62</x:v>
      </x:c>
      <x:c r="M849" t="str">
        <x:f>IF(L849&lt;=0,"Payée",IF(G849=0,"Impayée","Partielle"))</x:f>
        <x:v>Impayée</x:v>
      </x:c>
      <x:c r="N849" t="str">
        <x:f>IF(I849="","",I849-B849)</x:f>
      </x:c>
      <x:c r="O849" t="str">
        <x:f>IF(TRIM(C849)&lt;&gt;TRIM(H849),"Oui","Non")</x:f>
        <x:v>Non</x:v>
      </x:c>
      <x:c r="P849" t="str">
        <x:f>IFERROR(INDEX('02_REFERENTIEL_CLIENTS'!$B$2:$B$51,MATCH(TRIM(C849),'02_REFERENTIEL_CLIENTS'!$A$2:$A$51,0)),"Non trouvé")</x:f>
        <x:v>Particuliers</x:v>
      </x:c>
      <x:c r="Q849" t="str">
        <x:f>IFERROR(INDEX('02_REFERENTIEL_CLIENTS'!$C$2:$C$51,MATCH(TRIM(C849),'02_REFERENTIEL_CLIENTS'!$A$2:$A$51,0)),"Non trouvé")</x:f>
        <x:v>International</x:v>
      </x:c>
      <x:c r="R849" t="str">
        <x:f>IF(OR(F849&lt;=0,G849&lt;0,G849&gt;F849,N849&lt;0,P849="Non trouvé"),"À vérifier","OK")</x:f>
        <x:v>OK</x:v>
      </x:c>
    </x:row>
    <x:row r="850">
      <x:c r="A850" t="str">
        <x:v>DV-2025-00849</x:v>
      </x:c>
      <x:c r="B850" s="16" t="n">
        <x:v>45677</x:v>
      </x:c>
      <x:c r="C850" t="str">
        <x:v>Client 12</x:v>
      </x:c>
      <x:c r="D850" t="str">
        <x:v>Logistique</x:v>
      </x:c>
      <x:c r="E850" t="str">
        <x:v>Pôle B</x:v>
      </x:c>
      <x:c r="F850" s="18" t="n">
        <x:v>4139.83</x:v>
      </x:c>
      <x:c r="G850" s="18" t="n">
        <x:v>2696.72</x:v>
      </x:c>
      <x:c r="H850" t="str">
        <x:v>Client 12</x:v>
      </x:c>
      <x:c r="I850" s="16" t="n">
        <x:v>45757</x:v>
      </x:c>
      <x:c r="J850" t="n">
        <x:f>YEAR(B850)</x:f>
        <x:v>2025</x:v>
      </x:c>
      <x:c r="K850" s="20" t="n">
        <x:f>DATE(YEAR(B850),MONTH(B850),1)</x:f>
        <x:v>45658</x:v>
      </x:c>
      <x:c r="L850" s="18" t="n">
        <x:f>F850-G850</x:f>
        <x:v>1443.1100000000001</x:v>
      </x:c>
      <x:c r="M850" t="str">
        <x:f>IF(L850&lt;=0,"Payée",IF(G850=0,"Impayée","Partielle"))</x:f>
        <x:v>Partielle</x:v>
      </x:c>
      <x:c r="N850" t="n">
        <x:f>IF(I850="","",I850-B850)</x:f>
        <x:v>80</x:v>
      </x:c>
      <x:c r="O850" t="str">
        <x:f>IF(TRIM(C850)&lt;&gt;TRIM(H850),"Oui","Non")</x:f>
        <x:v>Non</x:v>
      </x:c>
      <x:c r="P850" t="str">
        <x:f>IFERROR(INDEX('02_REFERENTIEL_CLIENTS'!$B$2:$B$51,MATCH(TRIM(C850),'02_REFERENTIEL_CLIENTS'!$A$2:$A$51,0)),"Non trouvé")</x:f>
        <x:v>Particuliers</x:v>
      </x:c>
      <x:c r="Q850" t="str">
        <x:f>IFERROR(INDEX('02_REFERENTIEL_CLIENTS'!$C$2:$C$51,MATCH(TRIM(C850),'02_REFERENTIEL_CLIENTS'!$A$2:$A$51,0)),"Non trouvé")</x:f>
        <x:v>International</x:v>
      </x:c>
      <x:c r="R850" t="str">
        <x:f>IF(OR(F850&lt;=0,G850&lt;0,G850&gt;F850,N850&lt;0,P850="Non trouvé"),"À vérifier","OK")</x:f>
        <x:v>OK</x:v>
      </x:c>
    </x:row>
    <x:row r="851">
      <x:c r="A851" t="str">
        <x:v>DV-2026-00850</x:v>
      </x:c>
      <x:c r="B851" s="16" t="n">
        <x:v>46143</x:v>
      </x:c>
      <x:c r="C851" t="str">
        <x:v>Client 03</x:v>
      </x:c>
      <x:c r="D851" t="str">
        <x:v>Express</x:v>
      </x:c>
      <x:c r="E851" t="str">
        <x:v>Pôle D</x:v>
      </x:c>
      <x:c r="F851" s="18" t="n">
        <x:v>4612.23</x:v>
      </x:c>
      <x:c r="G851" s="18" t="n">
        <x:v>4612.23</x:v>
      </x:c>
      <x:c r="H851" t="str">
        <x:v>Client 03</x:v>
      </x:c>
      <x:c r="I851" s="16" t="n">
        <x:v>46182</x:v>
      </x:c>
      <x:c r="J851" t="n">
        <x:f>YEAR(B851)</x:f>
        <x:v>2026</x:v>
      </x:c>
      <x:c r="K851" s="20" t="n">
        <x:f>DATE(YEAR(B851),MONTH(B851),1)</x:f>
        <x:v>46143</x:v>
      </x:c>
      <x:c r="L851" s="18" t="n">
        <x:f>F851-G851</x:f>
        <x:v>0</x:v>
      </x:c>
      <x:c r="M851" t="str">
        <x:f>IF(L851&lt;=0,"Payée",IF(G851=0,"Impayée","Partielle"))</x:f>
        <x:v>Payée</x:v>
      </x:c>
      <x:c r="N851" t="n">
        <x:f>IF(I851="","",I851-B851)</x:f>
        <x:v>39</x:v>
      </x:c>
      <x:c r="O851" t="str">
        <x:f>IF(TRIM(C851)&lt;&gt;TRIM(H851),"Oui","Non")</x:f>
        <x:v>Non</x:v>
      </x:c>
      <x:c r="P851" t="str">
        <x:f>IFERROR(INDEX('02_REFERENTIEL_CLIENTS'!$B$2:$B$51,MATCH(TRIM(C851),'02_REFERENTIEL_CLIENTS'!$A$2:$A$51,0)),"Non trouvé")</x:f>
        <x:v>Particuliers</x:v>
      </x:c>
      <x:c r="Q851" t="str">
        <x:f>IFERROR(INDEX('02_REFERENTIEL_CLIENTS'!$C$2:$C$51,MATCH(TRIM(C851),'02_REFERENTIEL_CLIENTS'!$A$2:$A$51,0)),"Non trouvé")</x:f>
        <x:v>International</x:v>
      </x:c>
      <x:c r="R851" t="str">
        <x:f>IF(OR(F851&lt;=0,G851&lt;0,G851&gt;F851,N851&lt;0,P851="Non trouvé"),"À vérifier","OK")</x:f>
        <x:v>OK</x:v>
      </x:c>
    </x:row>
    <x:row r="852">
      <x:c r="A852" t="str">
        <x:v>DV-2026-00851</x:v>
      </x:c>
      <x:c r="B852" s="16" t="n">
        <x:v>46225</x:v>
      </x:c>
      <x:c r="C852" t="str">
        <x:v>Client 32</x:v>
      </x:c>
      <x:c r="D852" t="str">
        <x:v>Douane</x:v>
      </x:c>
      <x:c r="E852" t="str">
        <x:v>Pôle B</x:v>
      </x:c>
      <x:c r="F852" s="18" t="n">
        <x:v>22855.07</x:v>
      </x:c>
      <x:c r="G852" s="18" t="n">
        <x:v>22855.07</x:v>
      </x:c>
      <x:c r="H852" t="str">
        <x:v>Client 32</x:v>
      </x:c>
      <x:c r="I852" s="16" t="n">
        <x:v>46301</x:v>
      </x:c>
      <x:c r="J852" t="n">
        <x:f>YEAR(B852)</x:f>
        <x:v>2026</x:v>
      </x:c>
      <x:c r="K852" s="20" t="n">
        <x:f>DATE(YEAR(B852),MONTH(B852),1)</x:f>
        <x:v>46204</x:v>
      </x:c>
      <x:c r="L852" s="18" t="n">
        <x:f>F852-G852</x:f>
        <x:v>0</x:v>
      </x:c>
      <x:c r="M852" t="str">
        <x:f>IF(L852&lt;=0,"Payée",IF(G852=0,"Impayée","Partielle"))</x:f>
        <x:v>Payée</x:v>
      </x:c>
      <x:c r="N852" t="n">
        <x:f>IF(I852="","",I852-B852)</x:f>
        <x:v>76</x:v>
      </x:c>
      <x:c r="O852" t="str">
        <x:f>IF(TRIM(C852)&lt;&gt;TRIM(H852),"Oui","Non")</x:f>
        <x:v>Non</x:v>
      </x:c>
      <x:c r="P852" t="str">
        <x:f>IFERROR(INDEX('02_REFERENTIEL_CLIENTS'!$B$2:$B$51,MATCH(TRIM(C852),'02_REFERENTIEL_CLIENTS'!$A$2:$A$51,0)),"Non trouvé")</x:f>
        <x:v>PME</x:v>
      </x:c>
      <x:c r="Q852" t="str">
        <x:f>IFERROR(INDEX('02_REFERENTIEL_CLIENTS'!$C$2:$C$51,MATCH(TRIM(C852),'02_REFERENTIEL_CLIENTS'!$A$2:$A$51,0)),"Non trouvé")</x:f>
        <x:v>Europe</x:v>
      </x:c>
      <x:c r="R852" t="str">
        <x:f>IF(OR(F852&lt;=0,G852&lt;0,G852&gt;F852,N852&lt;0,P852="Non trouvé"),"À vérifier","OK")</x:f>
        <x:v>OK</x:v>
      </x:c>
    </x:row>
    <x:row r="853">
      <x:c r="A853" t="str">
        <x:v>DV-2026-00852</x:v>
      </x:c>
      <x:c r="B853" s="16" t="n">
        <x:v>46085</x:v>
      </x:c>
      <x:c r="C853" t="str">
        <x:v>Client 08</x:v>
      </x:c>
      <x:c r="D853" t="str">
        <x:v>Logistique</x:v>
      </x:c>
      <x:c r="E853" t="str">
        <x:v>Pôle E</x:v>
      </x:c>
      <x:c r="F853" s="18" t="n">
        <x:v>20223.53</x:v>
      </x:c>
      <x:c r="G853" s="18" t="n">
        <x:v>20223.53</x:v>
      </x:c>
      <x:c r="H853" t="str">
        <x:v>Client 08</x:v>
      </x:c>
      <x:c r="I853" s="16" t="n">
        <x:v>46166</x:v>
      </x:c>
      <x:c r="J853" t="n">
        <x:f>YEAR(B853)</x:f>
        <x:v>2026</x:v>
      </x:c>
      <x:c r="K853" s="20" t="n">
        <x:f>DATE(YEAR(B853),MONTH(B853),1)</x:f>
        <x:v>46082</x:v>
      </x:c>
      <x:c r="L853" s="18" t="n">
        <x:f>F853-G853</x:f>
        <x:v>0</x:v>
      </x:c>
      <x:c r="M853" t="str">
        <x:f>IF(L853&lt;=0,"Payée",IF(G853=0,"Impayée","Partielle"))</x:f>
        <x:v>Payée</x:v>
      </x:c>
      <x:c r="N853" t="n">
        <x:f>IF(I853="","",I853-B853)</x:f>
        <x:v>81</x:v>
      </x:c>
      <x:c r="O853" t="str">
        <x:f>IF(TRIM(C853)&lt;&gt;TRIM(H853),"Oui","Non")</x:f>
        <x:v>Non</x:v>
      </x:c>
      <x:c r="P853" t="str">
        <x:f>IFERROR(INDEX('02_REFERENTIEL_CLIENTS'!$B$2:$B$51,MATCH(TRIM(C853),'02_REFERENTIEL_CLIENTS'!$A$2:$A$51,0)),"Non trouvé")</x:f>
        <x:v>PME</x:v>
      </x:c>
      <x:c r="Q853" t="str">
        <x:f>IFERROR(INDEX('02_REFERENTIEL_CLIENTS'!$C$2:$C$51,MATCH(TRIM(C853),'02_REFERENTIEL_CLIENTS'!$A$2:$A$51,0)),"Non trouvé")</x:f>
        <x:v>Europe</x:v>
      </x:c>
      <x:c r="R853" t="str">
        <x:f>IF(OR(F853&lt;=0,G853&lt;0,G853&gt;F853,N853&lt;0,P853="Non trouvé"),"À vérifier","OK")</x:f>
        <x:v>OK</x:v>
      </x:c>
    </x:row>
    <x:row r="854">
      <x:c r="A854" t="str">
        <x:v>DV-2024-00853</x:v>
      </x:c>
      <x:c r="B854" s="16" t="n">
        <x:v>45640</x:v>
      </x:c>
      <x:c r="C854" t="str">
        <x:v>Client 30</x:v>
      </x:c>
      <x:c r="D854" t="str">
        <x:v>Fret aérien</x:v>
      </x:c>
      <x:c r="E854" t="str">
        <x:v>Pôle A</x:v>
      </x:c>
      <x:c r="F854" s="18" t="n">
        <x:v>14449.74</x:v>
      </x:c>
      <x:c r="G854" s="18" t="n">
        <x:v>4455.23</x:v>
      </x:c>
      <x:c r="H854" t="str">
        <x:v>Client 30</x:v>
      </x:c>
      <x:c r="I854" s="16" t="n">
        <x:v>45682</x:v>
      </x:c>
      <x:c r="J854" t="n">
        <x:f>YEAR(B854)</x:f>
        <x:v>2024</x:v>
      </x:c>
      <x:c r="K854" s="20" t="n">
        <x:f>DATE(YEAR(B854),MONTH(B854),1)</x:f>
        <x:v>45627</x:v>
      </x:c>
      <x:c r="L854" s="18" t="n">
        <x:f>F854-G854</x:f>
        <x:v>9994.51</x:v>
      </x:c>
      <x:c r="M854" t="str">
        <x:f>IF(L854&lt;=0,"Payée",IF(G854=0,"Impayée","Partielle"))</x:f>
        <x:v>Partielle</x:v>
      </x:c>
      <x:c r="N854" t="n">
        <x:f>IF(I854="","",I854-B854)</x:f>
        <x:v>42</x:v>
      </x:c>
      <x:c r="O854" t="str">
        <x:f>IF(TRIM(C854)&lt;&gt;TRIM(H854),"Oui","Non")</x:f>
        <x:v>Non</x:v>
      </x:c>
      <x:c r="P854" t="str">
        <x:f>IFERROR(INDEX('02_REFERENTIEL_CLIENTS'!$B$2:$B$51,MATCH(TRIM(C854),'02_REFERENTIEL_CLIENTS'!$A$2:$A$51,0)),"Non trouvé")</x:f>
        <x:v>Particuliers</x:v>
      </x:c>
      <x:c r="Q854" t="str">
        <x:f>IFERROR(INDEX('02_REFERENTIEL_CLIENTS'!$C$2:$C$51,MATCH(TRIM(C854),'02_REFERENTIEL_CLIENTS'!$A$2:$A$51,0)),"Non trouvé")</x:f>
        <x:v>International</x:v>
      </x:c>
      <x:c r="R854" t="str">
        <x:f>IF(OR(F854&lt;=0,G854&lt;0,G854&gt;F854,N854&lt;0,P854="Non trouvé"),"À vérifier","OK")</x:f>
        <x:v>OK</x:v>
      </x:c>
    </x:row>
    <x:row r="855">
      <x:c r="A855" t="str">
        <x:v>DV-2024-00854</x:v>
      </x:c>
      <x:c r="B855" s="16" t="n">
        <x:v>45613</x:v>
      </x:c>
      <x:c r="C855" t="str">
        <x:v>Client 30</x:v>
      </x:c>
      <x:c r="D855" t="str">
        <x:v>Fret aérien</x:v>
      </x:c>
      <x:c r="E855" t="str">
        <x:v>Pôle A</x:v>
      </x:c>
      <x:c r="F855" s="18" t="n">
        <x:v>10073.38</x:v>
      </x:c>
      <x:c r="G855" s="18" t="n">
        <x:v>0</x:v>
      </x:c>
      <x:c r="H855" t="str">
        <x:v>Client 30</x:v>
      </x:c>
      <x:c r="I855" s="16"/>
      <x:c r="J855" t="n">
        <x:f>YEAR(B855)</x:f>
        <x:v>2024</x:v>
      </x:c>
      <x:c r="K855" s="20" t="n">
        <x:f>DATE(YEAR(B855),MONTH(B855),1)</x:f>
        <x:v>45597</x:v>
      </x:c>
      <x:c r="L855" s="18" t="n">
        <x:f>F855-G855</x:f>
        <x:v>10073.38</x:v>
      </x:c>
      <x:c r="M855" t="str">
        <x:f>IF(L855&lt;=0,"Payée",IF(G855=0,"Impayée","Partielle"))</x:f>
        <x:v>Impayée</x:v>
      </x:c>
      <x:c r="N855" t="str">
        <x:f>IF(I855="","",I855-B855)</x:f>
      </x:c>
      <x:c r="O855" t="str">
        <x:f>IF(TRIM(C855)&lt;&gt;TRIM(H855),"Oui","Non")</x:f>
        <x:v>Non</x:v>
      </x:c>
      <x:c r="P855" t="str">
        <x:f>IFERROR(INDEX('02_REFERENTIEL_CLIENTS'!$B$2:$B$51,MATCH(TRIM(C855),'02_REFERENTIEL_CLIENTS'!$A$2:$A$51,0)),"Non trouvé")</x:f>
        <x:v>Particuliers</x:v>
      </x:c>
      <x:c r="Q855" t="str">
        <x:f>IFERROR(INDEX('02_REFERENTIEL_CLIENTS'!$C$2:$C$51,MATCH(TRIM(C855),'02_REFERENTIEL_CLIENTS'!$A$2:$A$51,0)),"Non trouvé")</x:f>
        <x:v>International</x:v>
      </x:c>
      <x:c r="R855" t="str">
        <x:f>IF(OR(F855&lt;=0,G855&lt;0,G855&gt;F855,N855&lt;0,P855="Non trouvé"),"À vérifier","OK")</x:f>
        <x:v>OK</x:v>
      </x:c>
    </x:row>
    <x:row r="856">
      <x:c r="A856" t="str">
        <x:v>DV-2025-00855</x:v>
      </x:c>
      <x:c r="B856" s="16" t="n">
        <x:v>45786</x:v>
      </x:c>
      <x:c r="C856" t="str">
        <x:v>Client 04</x:v>
      </x:c>
      <x:c r="D856" t="str">
        <x:v>Fret maritime</x:v>
      </x:c>
      <x:c r="E856" t="str">
        <x:v>Pôle E</x:v>
      </x:c>
      <x:c r="F856" s="18" t="n">
        <x:v>11408.83</x:v>
      </x:c>
      <x:c r="G856" s="18" t="n">
        <x:v>11408.83</x:v>
      </x:c>
      <x:c r="H856" t="str">
        <x:v>Client 04</x:v>
      </x:c>
      <x:c r="I856" s="16" t="n">
        <x:v>45863</x:v>
      </x:c>
      <x:c r="J856" t="n">
        <x:f>YEAR(B856)</x:f>
        <x:v>2025</x:v>
      </x:c>
      <x:c r="K856" s="20" t="n">
        <x:f>DATE(YEAR(B856),MONTH(B856),1)</x:f>
        <x:v>45778</x:v>
      </x:c>
      <x:c r="L856" s="18" t="n">
        <x:f>F856-G856</x:f>
        <x:v>0</x:v>
      </x:c>
      <x:c r="M856" t="str">
        <x:f>IF(L856&lt;=0,"Payée",IF(G856=0,"Impayée","Partielle"))</x:f>
        <x:v>Payée</x:v>
      </x:c>
      <x:c r="N856" t="n">
        <x:f>IF(I856="","",I856-B856)</x:f>
        <x:v>77</x:v>
      </x:c>
      <x:c r="O856" t="str">
        <x:f>IF(TRIM(C856)&lt;&gt;TRIM(H856),"Oui","Non")</x:f>
        <x:v>Non</x:v>
      </x:c>
      <x:c r="P856" t="str">
        <x:f>IFERROR(INDEX('02_REFERENTIEL_CLIENTS'!$B$2:$B$51,MATCH(TRIM(C856),'02_REFERENTIEL_CLIENTS'!$A$2:$A$51,0)),"Non trouvé")</x:f>
        <x:v>Grands comptes</x:v>
      </x:c>
      <x:c r="Q856" t="str">
        <x:f>IFERROR(INDEX('02_REFERENTIEL_CLIENTS'!$C$2:$C$51,MATCH(TRIM(C856),'02_REFERENTIEL_CLIENTS'!$A$2:$A$51,0)),"Non trouvé")</x:f>
        <x:v>France</x:v>
      </x:c>
      <x:c r="R856" t="str">
        <x:f>IF(OR(F856&lt;=0,G856&lt;0,G856&gt;F856,N856&lt;0,P856="Non trouvé"),"À vérifier","OK")</x:f>
        <x:v>OK</x:v>
      </x:c>
    </x:row>
    <x:row r="857">
      <x:c r="A857" t="str">
        <x:v>DV-2024-00856</x:v>
      </x:c>
      <x:c r="B857" s="16" t="n">
        <x:v>45506</x:v>
      </x:c>
      <x:c r="C857" t="str">
        <x:v>Client 27</x:v>
      </x:c>
      <x:c r="D857" t="str">
        <x:v>Fret aérien</x:v>
      </x:c>
      <x:c r="E857" t="str">
        <x:v>Pôle E</x:v>
      </x:c>
      <x:c r="F857" s="18" t="n">
        <x:v>14274.75</x:v>
      </x:c>
      <x:c r="G857" s="18" t="n">
        <x:v>14274.75</x:v>
      </x:c>
      <x:c r="H857" t="str">
        <x:v>Client 27</x:v>
      </x:c>
      <x:c r="I857" s="16" t="n">
        <x:v>45580</x:v>
      </x:c>
      <x:c r="J857" t="n">
        <x:f>YEAR(B857)</x:f>
        <x:v>2024</x:v>
      </x:c>
      <x:c r="K857" s="20" t="n">
        <x:f>DATE(YEAR(B857),MONTH(B857),1)</x:f>
        <x:v>45505</x:v>
      </x:c>
      <x:c r="L857" s="18" t="n">
        <x:f>F857-G857</x:f>
        <x:v>0</x:v>
      </x:c>
      <x:c r="M857" t="str">
        <x:f>IF(L857&lt;=0,"Payée",IF(G857=0,"Impayée","Partielle"))</x:f>
        <x:v>Payée</x:v>
      </x:c>
      <x:c r="N857" t="n">
        <x:f>IF(I857="","",I857-B857)</x:f>
        <x:v>74</x:v>
      </x:c>
      <x:c r="O857" t="str">
        <x:f>IF(TRIM(C857)&lt;&gt;TRIM(H857),"Oui","Non")</x:f>
        <x:v>Non</x:v>
      </x:c>
      <x:c r="P857" t="str">
        <x:f>IFERROR(INDEX('02_REFERENTIEL_CLIENTS'!$B$2:$B$51,MATCH(TRIM(C857),'02_REFERENTIEL_CLIENTS'!$A$2:$A$51,0)),"Non trouvé")</x:f>
        <x:v>Particuliers</x:v>
      </x:c>
      <x:c r="Q857" t="str">
        <x:f>IFERROR(INDEX('02_REFERENTIEL_CLIENTS'!$C$2:$C$51,MATCH(TRIM(C857),'02_REFERENTIEL_CLIENTS'!$A$2:$A$51,0)),"Non trouvé")</x:f>
        <x:v>International</x:v>
      </x:c>
      <x:c r="R857" t="str">
        <x:f>IF(OR(F857&lt;=0,G857&lt;0,G857&gt;F857,N857&lt;0,P857="Non trouvé"),"À vérifier","OK")</x:f>
        <x:v>OK</x:v>
      </x:c>
    </x:row>
    <x:row r="858">
      <x:c r="A858" t="str">
        <x:v>DV-2024-00857</x:v>
      </x:c>
      <x:c r="B858" s="16" t="n">
        <x:v>45624</x:v>
      </x:c>
      <x:c r="C858" t="str">
        <x:v>Client 33</x:v>
      </x:c>
      <x:c r="D858" t="str">
        <x:v>Express</x:v>
      </x:c>
      <x:c r="E858" t="str">
        <x:v>Pôle B</x:v>
      </x:c>
      <x:c r="F858" s="18" t="n">
        <x:v>23514.78</x:v>
      </x:c>
      <x:c r="G858" s="18" t="n">
        <x:v>23514.78</x:v>
      </x:c>
      <x:c r="H858" t="str">
        <x:v>Client 33</x:v>
      </x:c>
      <x:c r="I858" s="16" t="n">
        <x:v>45692</x:v>
      </x:c>
      <x:c r="J858" t="n">
        <x:f>YEAR(B858)</x:f>
        <x:v>2024</x:v>
      </x:c>
      <x:c r="K858" s="20" t="n">
        <x:f>DATE(YEAR(B858),MONTH(B858),1)</x:f>
        <x:v>45597</x:v>
      </x:c>
      <x:c r="L858" s="18" t="n">
        <x:f>F858-G858</x:f>
        <x:v>0</x:v>
      </x:c>
      <x:c r="M858" t="str">
        <x:f>IF(L858&lt;=0,"Payée",IF(G858=0,"Impayée","Partielle"))</x:f>
        <x:v>Payée</x:v>
      </x:c>
      <x:c r="N858" t="n">
        <x:f>IF(I858="","",I858-B858)</x:f>
        <x:v>68</x:v>
      </x:c>
      <x:c r="O858" t="str">
        <x:f>IF(TRIM(C858)&lt;&gt;TRIM(H858),"Oui","Non")</x:f>
        <x:v>Non</x:v>
      </x:c>
      <x:c r="P858" t="str">
        <x:f>IFERROR(INDEX('02_REFERENTIEL_CLIENTS'!$B$2:$B$51,MATCH(TRIM(C858),'02_REFERENTIEL_CLIENTS'!$A$2:$A$51,0)),"Non trouvé")</x:f>
        <x:v>Particuliers</x:v>
      </x:c>
      <x:c r="Q858" t="str">
        <x:f>IFERROR(INDEX('02_REFERENTIEL_CLIENTS'!$C$2:$C$51,MATCH(TRIM(C858),'02_REFERENTIEL_CLIENTS'!$A$2:$A$51,0)),"Non trouvé")</x:f>
        <x:v>International</x:v>
      </x:c>
      <x:c r="R858" t="str">
        <x:f>IF(OR(F858&lt;=0,G858&lt;0,G858&gt;F858,N858&lt;0,P858="Non trouvé"),"À vérifier","OK")</x:f>
        <x:v>OK</x:v>
      </x:c>
    </x:row>
    <x:row r="859">
      <x:c r="A859" t="str">
        <x:v>DV-2026-00858</x:v>
      </x:c>
      <x:c r="B859" s="16" t="n">
        <x:v>46199</x:v>
      </x:c>
      <x:c r="C859" t="str">
        <x:v>Client 05</x:v>
      </x:c>
      <x:c r="D859" t="str">
        <x:v>Fret aérien</x:v>
      </x:c>
      <x:c r="E859" t="str">
        <x:v>Pôle C</x:v>
      </x:c>
      <x:c r="F859" s="18" t="n">
        <x:v>21003.08</x:v>
      </x:c>
      <x:c r="G859" s="18" t="n">
        <x:v>21003.08</x:v>
      </x:c>
      <x:c r="H859" t="str">
        <x:v>Client 05</x:v>
      </x:c>
      <x:c r="I859" s="16" t="n">
        <x:v>46210</x:v>
      </x:c>
      <x:c r="J859" t="n">
        <x:f>YEAR(B859)</x:f>
        <x:v>2026</x:v>
      </x:c>
      <x:c r="K859" s="20" t="n">
        <x:f>DATE(YEAR(B859),MONTH(B859),1)</x:f>
        <x:v>46174</x:v>
      </x:c>
      <x:c r="L859" s="18" t="n">
        <x:f>F859-G859</x:f>
        <x:v>0</x:v>
      </x:c>
      <x:c r="M859" t="str">
        <x:f>IF(L859&lt;=0,"Payée",IF(G859=0,"Impayée","Partielle"))</x:f>
        <x:v>Payée</x:v>
      </x:c>
      <x:c r="N859" t="n">
        <x:f>IF(I859="","",I859-B859)</x:f>
        <x:v>11</x:v>
      </x:c>
      <x:c r="O859" t="str">
        <x:f>IF(TRIM(C859)&lt;&gt;TRIM(H859),"Oui","Non")</x:f>
        <x:v>Non</x:v>
      </x:c>
      <x:c r="P859" t="str">
        <x:f>IFERROR(INDEX('02_REFERENTIEL_CLIENTS'!$B$2:$B$51,MATCH(TRIM(C859),'02_REFERENTIEL_CLIENTS'!$A$2:$A$51,0)),"Non trouvé")</x:f>
        <x:v>PME</x:v>
      </x:c>
      <x:c r="Q859" t="str">
        <x:f>IFERROR(INDEX('02_REFERENTIEL_CLIENTS'!$C$2:$C$51,MATCH(TRIM(C859),'02_REFERENTIEL_CLIENTS'!$A$2:$A$51,0)),"Non trouvé")</x:f>
        <x:v>Europe</x:v>
      </x:c>
      <x:c r="R859" t="str">
        <x:f>IF(OR(F859&lt;=0,G859&lt;0,G859&gt;F859,N859&lt;0,P859="Non trouvé"),"À vérifier","OK")</x:f>
        <x:v>OK</x:v>
      </x:c>
    </x:row>
    <x:row r="860">
      <x:c r="A860" t="str">
        <x:v>DV-2024-00859</x:v>
      </x:c>
      <x:c r="B860" s="16" t="n">
        <x:v>45310</x:v>
      </x:c>
      <x:c r="C860" t="str">
        <x:v>Client 43</x:v>
      </x:c>
      <x:c r="D860" t="str">
        <x:v>Express</x:v>
      </x:c>
      <x:c r="E860" t="str">
        <x:v>Pôle E</x:v>
      </x:c>
      <x:c r="F860" s="18" t="n">
        <x:v>2632.28</x:v>
      </x:c>
      <x:c r="G860" s="18" t="n">
        <x:v>2632.28</x:v>
      </x:c>
      <x:c r="H860" t="str">
        <x:v>Client 15</x:v>
      </x:c>
      <x:c r="I860" s="16" t="n">
        <x:v>45318</x:v>
      </x:c>
      <x:c r="J860" t="n">
        <x:f>YEAR(B860)</x:f>
        <x:v>2024</x:v>
      </x:c>
      <x:c r="K860" s="20" t="n">
        <x:f>DATE(YEAR(B860),MONTH(B860),1)</x:f>
        <x:v>45292</x:v>
      </x:c>
      <x:c r="L860" s="18" t="n">
        <x:f>F860-G860</x:f>
        <x:v>0</x:v>
      </x:c>
      <x:c r="M860" t="str">
        <x:f>IF(L860&lt;=0,"Payée",IF(G860=0,"Impayée","Partielle"))</x:f>
        <x:v>Payée</x:v>
      </x:c>
      <x:c r="N860" t="n">
        <x:f>IF(I860="","",I860-B860)</x:f>
        <x:v>8</x:v>
      </x:c>
      <x:c r="O860" t="str">
        <x:f>IF(TRIM(C860)&lt;&gt;TRIM(H860),"Oui","Non")</x:f>
        <x:v>Oui</x:v>
      </x:c>
      <x:c r="P860" t="str">
        <x:f>IFERROR(INDEX('02_REFERENTIEL_CLIENTS'!$B$2:$B$51,MATCH(TRIM(C860),'02_REFERENTIEL_CLIENTS'!$A$2:$A$51,0)),"Non trouvé")</x:f>
        <x:v>Grands comptes</x:v>
      </x:c>
      <x:c r="Q860" t="str">
        <x:f>IFERROR(INDEX('02_REFERENTIEL_CLIENTS'!$C$2:$C$51,MATCH(TRIM(C860),'02_REFERENTIEL_CLIENTS'!$A$2:$A$51,0)),"Non trouvé")</x:f>
        <x:v>France</x:v>
      </x:c>
      <x:c r="R860" t="str">
        <x:f>IF(OR(F860&lt;=0,G860&lt;0,G860&gt;F860,N860&lt;0,P860="Non trouvé"),"À vérifier","OK")</x:f>
        <x:v>OK</x:v>
      </x:c>
    </x:row>
    <x:row r="861">
      <x:c r="A861" t="str">
        <x:v>DV-2024-00860</x:v>
      </x:c>
      <x:c r="B861" s="16" t="n">
        <x:v>45457</x:v>
      </x:c>
      <x:c r="C861" t="str">
        <x:v>Client 49</x:v>
      </x:c>
      <x:c r="D861" t="str">
        <x:v>Douane</x:v>
      </x:c>
      <x:c r="E861" t="str">
        <x:v>Pôle E</x:v>
      </x:c>
      <x:c r="F861" s="18" t="n">
        <x:v>21145.19</x:v>
      </x:c>
      <x:c r="G861" s="18" t="n">
        <x:v>21145.19</x:v>
      </x:c>
      <x:c r="H861" t="str">
        <x:v>Client 49</x:v>
      </x:c>
      <x:c r="I861" s="16" t="n">
        <x:v>45540</x:v>
      </x:c>
      <x:c r="J861" t="n">
        <x:f>YEAR(B861)</x:f>
        <x:v>2024</x:v>
      </x:c>
      <x:c r="K861" s="20" t="n">
        <x:f>DATE(YEAR(B861),MONTH(B861),1)</x:f>
        <x:v>45444</x:v>
      </x:c>
      <x:c r="L861" s="18" t="n">
        <x:f>F861-G861</x:f>
        <x:v>0</x:v>
      </x:c>
      <x:c r="M861" t="str">
        <x:f>IF(L861&lt;=0,"Payée",IF(G861=0,"Impayée","Partielle"))</x:f>
        <x:v>Payée</x:v>
      </x:c>
      <x:c r="N861" t="n">
        <x:f>IF(I861="","",I861-B861)</x:f>
        <x:v>83</x:v>
      </x:c>
      <x:c r="O861" t="str">
        <x:f>IF(TRIM(C861)&lt;&gt;TRIM(H861),"Oui","Non")</x:f>
        <x:v>Non</x:v>
      </x:c>
      <x:c r="P861" t="str">
        <x:f>IFERROR(INDEX('02_REFERENTIEL_CLIENTS'!$B$2:$B$51,MATCH(TRIM(C861),'02_REFERENTIEL_CLIENTS'!$A$2:$A$51,0)),"Non trouvé")</x:f>
        <x:v>Grands comptes</x:v>
      </x:c>
      <x:c r="Q861" t="str">
        <x:f>IFERROR(INDEX('02_REFERENTIEL_CLIENTS'!$C$2:$C$51,MATCH(TRIM(C861),'02_REFERENTIEL_CLIENTS'!$A$2:$A$51,0)),"Non trouvé")</x:f>
        <x:v>France</x:v>
      </x:c>
      <x:c r="R861" t="str">
        <x:f>IF(OR(F861&lt;=0,G861&lt;0,G861&gt;F861,N861&lt;0,P861="Non trouvé"),"À vérifier","OK")</x:f>
        <x:v>OK</x:v>
      </x:c>
    </x:row>
    <x:row r="862">
      <x:c r="A862" t="str">
        <x:v>DV-2024-00861</x:v>
      </x:c>
      <x:c r="B862" s="16" t="n">
        <x:v>45352</x:v>
      </x:c>
      <x:c r="C862" t="str">
        <x:v>Client 32</x:v>
      </x:c>
      <x:c r="D862" t="str">
        <x:v>Fret aérien</x:v>
      </x:c>
      <x:c r="E862" t="str">
        <x:v>Pôle B</x:v>
      </x:c>
      <x:c r="F862" s="18" t="n">
        <x:v>9894.49</x:v>
      </x:c>
      <x:c r="G862" s="18" t="n">
        <x:v>9894.49</x:v>
      </x:c>
      <x:c r="H862" t="str">
        <x:v>Client 32</x:v>
      </x:c>
      <x:c r="I862" s="16" t="n">
        <x:v>45430</x:v>
      </x:c>
      <x:c r="J862" t="n">
        <x:f>YEAR(B862)</x:f>
        <x:v>2024</x:v>
      </x:c>
      <x:c r="K862" s="20" t="n">
        <x:f>DATE(YEAR(B862),MONTH(B862),1)</x:f>
        <x:v>45352</x:v>
      </x:c>
      <x:c r="L862" s="18" t="n">
        <x:f>F862-G862</x:f>
        <x:v>0</x:v>
      </x:c>
      <x:c r="M862" t="str">
        <x:f>IF(L862&lt;=0,"Payée",IF(G862=0,"Impayée","Partielle"))</x:f>
        <x:v>Payée</x:v>
      </x:c>
      <x:c r="N862" t="n">
        <x:f>IF(I862="","",I862-B862)</x:f>
        <x:v>78</x:v>
      </x:c>
      <x:c r="O862" t="str">
        <x:f>IF(TRIM(C862)&lt;&gt;TRIM(H862),"Oui","Non")</x:f>
        <x:v>Non</x:v>
      </x:c>
      <x:c r="P862" t="str">
        <x:f>IFERROR(INDEX('02_REFERENTIEL_CLIENTS'!$B$2:$B$51,MATCH(TRIM(C862),'02_REFERENTIEL_CLIENTS'!$A$2:$A$51,0)),"Non trouvé")</x:f>
        <x:v>PME</x:v>
      </x:c>
      <x:c r="Q862" t="str">
        <x:f>IFERROR(INDEX('02_REFERENTIEL_CLIENTS'!$C$2:$C$51,MATCH(TRIM(C862),'02_REFERENTIEL_CLIENTS'!$A$2:$A$51,0)),"Non trouvé")</x:f>
        <x:v>Europe</x:v>
      </x:c>
      <x:c r="R862" t="str">
        <x:f>IF(OR(F862&lt;=0,G862&lt;0,G862&gt;F862,N862&lt;0,P862="Non trouvé"),"À vérifier","OK")</x:f>
        <x:v>OK</x:v>
      </x:c>
    </x:row>
    <x:row r="863">
      <x:c r="A863" t="str">
        <x:v>DV-2025-00862</x:v>
      </x:c>
      <x:c r="B863" s="16" t="n">
        <x:v>45668</x:v>
      </x:c>
      <x:c r="C863" t="str">
        <x:v>Client 34</x:v>
      </x:c>
      <x:c r="D863" t="str">
        <x:v>Logistique</x:v>
      </x:c>
      <x:c r="E863" t="str">
        <x:v>Pôle A</x:v>
      </x:c>
      <x:c r="F863" s="18" t="n">
        <x:v>16948.84</x:v>
      </x:c>
      <x:c r="G863" s="18" t="n">
        <x:v>16948.84</x:v>
      </x:c>
      <x:c r="H863" t="str">
        <x:v>Client 33</x:v>
      </x:c>
      <x:c r="I863" s="16" t="n">
        <x:v>45730</x:v>
      </x:c>
      <x:c r="J863" t="n">
        <x:f>YEAR(B863)</x:f>
        <x:v>2025</x:v>
      </x:c>
      <x:c r="K863" s="20" t="n">
        <x:f>DATE(YEAR(B863),MONTH(B863),1)</x:f>
        <x:v>45658</x:v>
      </x:c>
      <x:c r="L863" s="18" t="n">
        <x:f>F863-G863</x:f>
        <x:v>0</x:v>
      </x:c>
      <x:c r="M863" t="str">
        <x:f>IF(L863&lt;=0,"Payée",IF(G863=0,"Impayée","Partielle"))</x:f>
        <x:v>Payée</x:v>
      </x:c>
      <x:c r="N863" t="n">
        <x:f>IF(I863="","",I863-B863)</x:f>
        <x:v>62</x:v>
      </x:c>
      <x:c r="O863" t="str">
        <x:f>IF(TRIM(C863)&lt;&gt;TRIM(H863),"Oui","Non")</x:f>
        <x:v>Oui</x:v>
      </x:c>
      <x:c r="P863" t="str">
        <x:f>IFERROR(INDEX('02_REFERENTIEL_CLIENTS'!$B$2:$B$51,MATCH(TRIM(C863),'02_REFERENTIEL_CLIENTS'!$A$2:$A$51,0)),"Non trouvé")</x:f>
        <x:v>Grands comptes</x:v>
      </x:c>
      <x:c r="Q863" t="str">
        <x:f>IFERROR(INDEX('02_REFERENTIEL_CLIENTS'!$C$2:$C$51,MATCH(TRIM(C863),'02_REFERENTIEL_CLIENTS'!$A$2:$A$51,0)),"Non trouvé")</x:f>
        <x:v>France</x:v>
      </x:c>
      <x:c r="R863" t="str">
        <x:f>IF(OR(F863&lt;=0,G863&lt;0,G863&gt;F863,N863&lt;0,P863="Non trouvé"),"À vérifier","OK")</x:f>
        <x:v>OK</x:v>
      </x:c>
    </x:row>
    <x:row r="864">
      <x:c r="A864" t="str">
        <x:v>DV-2024-00863</x:v>
      </x:c>
      <x:c r="B864" s="16" t="n">
        <x:v>45588</x:v>
      </x:c>
      <x:c r="C864" t="str">
        <x:v>Client 40</x:v>
      </x:c>
      <x:c r="D864" t="str">
        <x:v>Logistique</x:v>
      </x:c>
      <x:c r="E864" t="str">
        <x:v>Pôle A</x:v>
      </x:c>
      <x:c r="F864" s="18" t="n">
        <x:v>22998.91</x:v>
      </x:c>
      <x:c r="G864" s="18" t="n">
        <x:v>22998.91</x:v>
      </x:c>
      <x:c r="H864" t="str">
        <x:v>Client 21</x:v>
      </x:c>
      <x:c r="I864" s="16" t="n">
        <x:v>45589</x:v>
      </x:c>
      <x:c r="J864" t="n">
        <x:f>YEAR(B864)</x:f>
        <x:v>2024</x:v>
      </x:c>
      <x:c r="K864" s="20" t="n">
        <x:f>DATE(YEAR(B864),MONTH(B864),1)</x:f>
        <x:v>45566</x:v>
      </x:c>
      <x:c r="L864" s="18" t="n">
        <x:f>F864-G864</x:f>
        <x:v>0</x:v>
      </x:c>
      <x:c r="M864" t="str">
        <x:f>IF(L864&lt;=0,"Payée",IF(G864=0,"Impayée","Partielle"))</x:f>
        <x:v>Payée</x:v>
      </x:c>
      <x:c r="N864" t="n">
        <x:f>IF(I864="","",I864-B864)</x:f>
        <x:v>1</x:v>
      </x:c>
      <x:c r="O864" t="str">
        <x:f>IF(TRIM(C864)&lt;&gt;TRIM(H864),"Oui","Non")</x:f>
        <x:v>Oui</x:v>
      </x:c>
      <x:c r="P864" t="str">
        <x:f>IFERROR(INDEX('02_REFERENTIEL_CLIENTS'!$B$2:$B$51,MATCH(TRIM(C864),'02_REFERENTIEL_CLIENTS'!$A$2:$A$51,0)),"Non trouvé")</x:f>
        <x:v>Grands comptes</x:v>
      </x:c>
      <x:c r="Q864" t="str">
        <x:f>IFERROR(INDEX('02_REFERENTIEL_CLIENTS'!$C$2:$C$51,MATCH(TRIM(C864),'02_REFERENTIEL_CLIENTS'!$A$2:$A$51,0)),"Non trouvé")</x:f>
        <x:v>France</x:v>
      </x:c>
      <x:c r="R864" t="str">
        <x:f>IF(OR(F864&lt;=0,G864&lt;0,G864&gt;F864,N864&lt;0,P864="Non trouvé"),"À vérifier","OK")</x:f>
        <x:v>OK</x:v>
      </x:c>
    </x:row>
    <x:row r="865">
      <x:c r="A865" t="str">
        <x:v>DV-2024-00864</x:v>
      </x:c>
      <x:c r="B865" s="16" t="n">
        <x:v>45461</x:v>
      </x:c>
      <x:c r="C865" t="str">
        <x:v>Client 20</x:v>
      </x:c>
      <x:c r="D865" t="str">
        <x:v>Fret maritime</x:v>
      </x:c>
      <x:c r="E865" t="str">
        <x:v>Pôle A</x:v>
      </x:c>
      <x:c r="F865" s="18" t="n">
        <x:v>24421.6</x:v>
      </x:c>
      <x:c r="G865" s="18" t="n">
        <x:v>7459.08</x:v>
      </x:c>
      <x:c r="H865" t="str">
        <x:v>Client 20</x:v>
      </x:c>
      <x:c r="I865" s="16" t="n">
        <x:v>45499</x:v>
      </x:c>
      <x:c r="J865" t="n">
        <x:f>YEAR(B865)</x:f>
        <x:v>2024</x:v>
      </x:c>
      <x:c r="K865" s="20" t="n">
        <x:f>DATE(YEAR(B865),MONTH(B865),1)</x:f>
        <x:v>45444</x:v>
      </x:c>
      <x:c r="L865" s="18" t="n">
        <x:f>F865-G865</x:f>
        <x:v>16962.519999999997</x:v>
      </x:c>
      <x:c r="M865" t="str">
        <x:f>IF(L865&lt;=0,"Payée",IF(G865=0,"Impayée","Partielle"))</x:f>
        <x:v>Partielle</x:v>
      </x:c>
      <x:c r="N865" t="n">
        <x:f>IF(I865="","",I865-B865)</x:f>
        <x:v>38</x:v>
      </x:c>
      <x:c r="O865" t="str">
        <x:f>IF(TRIM(C865)&lt;&gt;TRIM(H865),"Oui","Non")</x:f>
        <x:v>Non</x:v>
      </x:c>
      <x:c r="P865" t="str">
        <x:f>IFERROR(INDEX('02_REFERENTIEL_CLIENTS'!$B$2:$B$51,MATCH(TRIM(C865),'02_REFERENTIEL_CLIENTS'!$A$2:$A$51,0)),"Non trouvé")</x:f>
        <x:v>PME</x:v>
      </x:c>
      <x:c r="Q865" t="str">
        <x:f>IFERROR(INDEX('02_REFERENTIEL_CLIENTS'!$C$2:$C$51,MATCH(TRIM(C865),'02_REFERENTIEL_CLIENTS'!$A$2:$A$51,0)),"Non trouvé")</x:f>
        <x:v>Europe</x:v>
      </x:c>
      <x:c r="R865" t="str">
        <x:f>IF(OR(F865&lt;=0,G865&lt;0,G865&gt;F865,N865&lt;0,P865="Non trouvé"),"À vérifier","OK")</x:f>
        <x:v>OK</x:v>
      </x:c>
    </x:row>
    <x:row r="866">
      <x:c r="A866" t="str">
        <x:v>DV-2024-00865</x:v>
      </x:c>
      <x:c r="B866" s="16" t="n">
        <x:v>45406</x:v>
      </x:c>
      <x:c r="C866" t="str">
        <x:v>Client 04</x:v>
      </x:c>
      <x:c r="D866" t="str">
        <x:v>Douane</x:v>
      </x:c>
      <x:c r="E866" t="str">
        <x:v>Pôle C</x:v>
      </x:c>
      <x:c r="F866" s="18" t="n">
        <x:v>23531.94</x:v>
      </x:c>
      <x:c r="G866" s="18" t="n">
        <x:v>23531.94</x:v>
      </x:c>
      <x:c r="H866" t="str">
        <x:v>Client 04</x:v>
      </x:c>
      <x:c r="I866" s="16" t="n">
        <x:v>45490</x:v>
      </x:c>
      <x:c r="J866" t="n">
        <x:f>YEAR(B866)</x:f>
        <x:v>2024</x:v>
      </x:c>
      <x:c r="K866" s="20" t="n">
        <x:f>DATE(YEAR(B866),MONTH(B866),1)</x:f>
        <x:v>45383</x:v>
      </x:c>
      <x:c r="L866" s="18" t="n">
        <x:f>F866-G866</x:f>
        <x:v>0</x:v>
      </x:c>
      <x:c r="M866" t="str">
        <x:f>IF(L866&lt;=0,"Payée",IF(G866=0,"Impayée","Partielle"))</x:f>
        <x:v>Payée</x:v>
      </x:c>
      <x:c r="N866" t="n">
        <x:f>IF(I866="","",I866-B866)</x:f>
        <x:v>84</x:v>
      </x:c>
      <x:c r="O866" t="str">
        <x:f>IF(TRIM(C866)&lt;&gt;TRIM(H866),"Oui","Non")</x:f>
        <x:v>Non</x:v>
      </x:c>
      <x:c r="P866" t="str">
        <x:f>IFERROR(INDEX('02_REFERENTIEL_CLIENTS'!$B$2:$B$51,MATCH(TRIM(C866),'02_REFERENTIEL_CLIENTS'!$A$2:$A$51,0)),"Non trouvé")</x:f>
        <x:v>Grands comptes</x:v>
      </x:c>
      <x:c r="Q866" t="str">
        <x:f>IFERROR(INDEX('02_REFERENTIEL_CLIENTS'!$C$2:$C$51,MATCH(TRIM(C866),'02_REFERENTIEL_CLIENTS'!$A$2:$A$51,0)),"Non trouvé")</x:f>
        <x:v>France</x:v>
      </x:c>
      <x:c r="R866" t="str">
        <x:f>IF(OR(F866&lt;=0,G866&lt;0,G866&gt;F866,N866&lt;0,P866="Non trouvé"),"À vérifier","OK")</x:f>
        <x:v>OK</x:v>
      </x:c>
    </x:row>
    <x:row r="867">
      <x:c r="A867" t="str">
        <x:v>DV-2025-00866</x:v>
      </x:c>
      <x:c r="B867" s="16" t="n">
        <x:v>45671</x:v>
      </x:c>
      <x:c r="C867" t="str">
        <x:v>Client 15</x:v>
      </x:c>
      <x:c r="D867" t="str">
        <x:v>Express</x:v>
      </x:c>
      <x:c r="E867" t="str">
        <x:v>Pôle D</x:v>
      </x:c>
      <x:c r="F867" s="18" t="n">
        <x:v>23071.2</x:v>
      </x:c>
      <x:c r="G867" s="18" t="n">
        <x:v>23071.2</x:v>
      </x:c>
      <x:c r="H867" t="str">
        <x:v>Client 48</x:v>
      </x:c>
      <x:c r="I867" s="16" t="n">
        <x:v>45744</x:v>
      </x:c>
      <x:c r="J867" t="n">
        <x:f>YEAR(B867)</x:f>
        <x:v>2025</x:v>
      </x:c>
      <x:c r="K867" s="20" t="n">
        <x:f>DATE(YEAR(B867),MONTH(B867),1)</x:f>
        <x:v>45658</x:v>
      </x:c>
      <x:c r="L867" s="18" t="n">
        <x:f>F867-G867</x:f>
        <x:v>0</x:v>
      </x:c>
      <x:c r="M867" t="str">
        <x:f>IF(L867&lt;=0,"Payée",IF(G867=0,"Impayée","Partielle"))</x:f>
        <x:v>Payée</x:v>
      </x:c>
      <x:c r="N867" t="n">
        <x:f>IF(I867="","",I867-B867)</x:f>
        <x:v>73</x:v>
      </x:c>
      <x:c r="O867" t="str">
        <x:f>IF(TRIM(C867)&lt;&gt;TRIM(H867),"Oui","Non")</x:f>
        <x:v>Oui</x:v>
      </x:c>
      <x:c r="P867" t="str">
        <x:f>IFERROR(INDEX('02_REFERENTIEL_CLIENTS'!$B$2:$B$51,MATCH(TRIM(C867),'02_REFERENTIEL_CLIENTS'!$A$2:$A$51,0)),"Non trouvé")</x:f>
        <x:v>Particuliers</x:v>
      </x:c>
      <x:c r="Q867" t="str">
        <x:f>IFERROR(INDEX('02_REFERENTIEL_CLIENTS'!$C$2:$C$51,MATCH(TRIM(C867),'02_REFERENTIEL_CLIENTS'!$A$2:$A$51,0)),"Non trouvé")</x:f>
        <x:v>International</x:v>
      </x:c>
      <x:c r="R867" t="str">
        <x:f>IF(OR(F867&lt;=0,G867&lt;0,G867&gt;F867,N867&lt;0,P867="Non trouvé"),"À vérifier","OK")</x:f>
        <x:v>OK</x:v>
      </x:c>
    </x:row>
    <x:row r="868">
      <x:c r="A868" t="str">
        <x:v>DV-2024-00867</x:v>
      </x:c>
      <x:c r="B868" s="16" t="n">
        <x:v>45298</x:v>
      </x:c>
      <x:c r="C868" t="str">
        <x:v>Client 41</x:v>
      </x:c>
      <x:c r="D868" t="str">
        <x:v>Logistique</x:v>
      </x:c>
      <x:c r="E868" t="str">
        <x:v>Pôle B</x:v>
      </x:c>
      <x:c r="F868" s="18" t="n">
        <x:v>18506.23</x:v>
      </x:c>
      <x:c r="G868" s="18" t="n">
        <x:v>18506.23</x:v>
      </x:c>
      <x:c r="H868" t="str">
        <x:v>Client 41</x:v>
      </x:c>
      <x:c r="I868" s="16" t="n">
        <x:v>45363</x:v>
      </x:c>
      <x:c r="J868" t="n">
        <x:f>YEAR(B868)</x:f>
        <x:v>2024</x:v>
      </x:c>
      <x:c r="K868" s="20" t="n">
        <x:f>DATE(YEAR(B868),MONTH(B868),1)</x:f>
        <x:v>45292</x:v>
      </x:c>
      <x:c r="L868" s="18" t="n">
        <x:f>F868-G868</x:f>
        <x:v>0</x:v>
      </x:c>
      <x:c r="M868" t="str">
        <x:f>IF(L868&lt;=0,"Payée",IF(G868=0,"Impayée","Partielle"))</x:f>
        <x:v>Payée</x:v>
      </x:c>
      <x:c r="N868" t="n">
        <x:f>IF(I868="","",I868-B868)</x:f>
        <x:v>65</x:v>
      </x:c>
      <x:c r="O868" t="str">
        <x:f>IF(TRIM(C868)&lt;&gt;TRIM(H868),"Oui","Non")</x:f>
        <x:v>Non</x:v>
      </x:c>
      <x:c r="P868" t="str">
        <x:f>IFERROR(INDEX('02_REFERENTIEL_CLIENTS'!$B$2:$B$51,MATCH(TRIM(C868),'02_REFERENTIEL_CLIENTS'!$A$2:$A$51,0)),"Non trouvé")</x:f>
        <x:v>PME</x:v>
      </x:c>
      <x:c r="Q868" t="str">
        <x:f>IFERROR(INDEX('02_REFERENTIEL_CLIENTS'!$C$2:$C$51,MATCH(TRIM(C868),'02_REFERENTIEL_CLIENTS'!$A$2:$A$51,0)),"Non trouvé")</x:f>
        <x:v>Europe</x:v>
      </x:c>
      <x:c r="R868" t="str">
        <x:f>IF(OR(F868&lt;=0,G868&lt;0,G868&gt;F868,N868&lt;0,P868="Non trouvé"),"À vérifier","OK")</x:f>
        <x:v>OK</x:v>
      </x:c>
    </x:row>
    <x:row r="869">
      <x:c r="A869" t="str">
        <x:v>DV-2025-00868</x:v>
      </x:c>
      <x:c r="B869" s="16" t="n">
        <x:v>45963</x:v>
      </x:c>
      <x:c r="C869" t="str">
        <x:v>Client 39</x:v>
      </x:c>
      <x:c r="D869" t="str">
        <x:v>Express</x:v>
      </x:c>
      <x:c r="E869" t="str">
        <x:v>Pôle B</x:v>
      </x:c>
      <x:c r="F869" s="18" t="n">
        <x:v>16124.11</x:v>
      </x:c>
      <x:c r="G869" s="18" t="n">
        <x:v>16124.11</x:v>
      </x:c>
      <x:c r="H869" t="str">
        <x:v>Client 39</x:v>
      </x:c>
      <x:c r="I869" s="16" t="n">
        <x:v>45991</x:v>
      </x:c>
      <x:c r="J869" t="n">
        <x:f>YEAR(B869)</x:f>
        <x:v>2025</x:v>
      </x:c>
      <x:c r="K869" s="20" t="n">
        <x:f>DATE(YEAR(B869),MONTH(B869),1)</x:f>
        <x:v>45962</x:v>
      </x:c>
      <x:c r="L869" s="18" t="n">
        <x:f>F869-G869</x:f>
        <x:v>0</x:v>
      </x:c>
      <x:c r="M869" t="str">
        <x:f>IF(L869&lt;=0,"Payée",IF(G869=0,"Impayée","Partielle"))</x:f>
        <x:v>Payée</x:v>
      </x:c>
      <x:c r="N869" t="n">
        <x:f>IF(I869="","",I869-B869)</x:f>
        <x:v>28</x:v>
      </x:c>
      <x:c r="O869" t="str">
        <x:f>IF(TRIM(C869)&lt;&gt;TRIM(H869),"Oui","Non")</x:f>
        <x:v>Non</x:v>
      </x:c>
      <x:c r="P869" t="str">
        <x:f>IFERROR(INDEX('02_REFERENTIEL_CLIENTS'!$B$2:$B$51,MATCH(TRIM(C869),'02_REFERENTIEL_CLIENTS'!$A$2:$A$51,0)),"Non trouvé")</x:f>
        <x:v>Particuliers</x:v>
      </x:c>
      <x:c r="Q869" t="str">
        <x:f>IFERROR(INDEX('02_REFERENTIEL_CLIENTS'!$C$2:$C$51,MATCH(TRIM(C869),'02_REFERENTIEL_CLIENTS'!$A$2:$A$51,0)),"Non trouvé")</x:f>
        <x:v>International</x:v>
      </x:c>
      <x:c r="R869" t="str">
        <x:f>IF(OR(F869&lt;=0,G869&lt;0,G869&gt;F869,N869&lt;0,P869="Non trouvé"),"À vérifier","OK")</x:f>
        <x:v>OK</x:v>
      </x:c>
    </x:row>
    <x:row r="870">
      <x:c r="A870" t="str">
        <x:v>DV-2026-00869</x:v>
      </x:c>
      <x:c r="B870" s="16" t="n">
        <x:v>46137</x:v>
      </x:c>
      <x:c r="C870" t="str">
        <x:v>Client 10</x:v>
      </x:c>
      <x:c r="D870" t="str">
        <x:v>Douane</x:v>
      </x:c>
      <x:c r="E870" t="str">
        <x:v>Pôle A</x:v>
      </x:c>
      <x:c r="F870" s="18" t="n">
        <x:v>19471.18</x:v>
      </x:c>
      <x:c r="G870" s="18" t="n">
        <x:v>19471.18</x:v>
      </x:c>
      <x:c r="H870" t="str">
        <x:v>Client 10</x:v>
      </x:c>
      <x:c r="I870" s="16" t="n">
        <x:v>46157</x:v>
      </x:c>
      <x:c r="J870" t="n">
        <x:f>YEAR(B870)</x:f>
        <x:v>2026</x:v>
      </x:c>
      <x:c r="K870" s="20" t="n">
        <x:f>DATE(YEAR(B870),MONTH(B870),1)</x:f>
        <x:v>46113</x:v>
      </x:c>
      <x:c r="L870" s="18" t="n">
        <x:f>F870-G870</x:f>
        <x:v>0</x:v>
      </x:c>
      <x:c r="M870" t="str">
        <x:f>IF(L870&lt;=0,"Payée",IF(G870=0,"Impayée","Partielle"))</x:f>
        <x:v>Payée</x:v>
      </x:c>
      <x:c r="N870" t="n">
        <x:f>IF(I870="","",I870-B870)</x:f>
        <x:v>20</x:v>
      </x:c>
      <x:c r="O870" t="str">
        <x:f>IF(TRIM(C870)&lt;&gt;TRIM(H870),"Oui","Non")</x:f>
        <x:v>Non</x:v>
      </x:c>
      <x:c r="P870" t="str">
        <x:f>IFERROR(INDEX('02_REFERENTIEL_CLIENTS'!$B$2:$B$51,MATCH(TRIM(C870),'02_REFERENTIEL_CLIENTS'!$A$2:$A$51,0)),"Non trouvé")</x:f>
        <x:v>Grands comptes</x:v>
      </x:c>
      <x:c r="Q870" t="str">
        <x:f>IFERROR(INDEX('02_REFERENTIEL_CLIENTS'!$C$2:$C$51,MATCH(TRIM(C870),'02_REFERENTIEL_CLIENTS'!$A$2:$A$51,0)),"Non trouvé")</x:f>
        <x:v>France</x:v>
      </x:c>
      <x:c r="R870" t="str">
        <x:f>IF(OR(F870&lt;=0,G870&lt;0,G870&gt;F870,N870&lt;0,P870="Non trouvé"),"À vérifier","OK")</x:f>
        <x:v>OK</x:v>
      </x:c>
    </x:row>
    <x:row r="871">
      <x:c r="A871" t="str">
        <x:v>DV-2025-00870</x:v>
      </x:c>
      <x:c r="B871" s="16" t="n">
        <x:v>46008</x:v>
      </x:c>
      <x:c r="C871" t="str">
        <x:v>Client 20</x:v>
      </x:c>
      <x:c r="D871" t="str">
        <x:v>Fret aérien</x:v>
      </x:c>
      <x:c r="E871" t="str">
        <x:v>Pôle C</x:v>
      </x:c>
      <x:c r="F871" s="18" t="n">
        <x:v>5670.13</x:v>
      </x:c>
      <x:c r="G871" s="18" t="n">
        <x:v>5670.13</x:v>
      </x:c>
      <x:c r="H871" t="str">
        <x:v>Client 20</x:v>
      </x:c>
      <x:c r="I871" s="16" t="n">
        <x:v>46023</x:v>
      </x:c>
      <x:c r="J871" t="n">
        <x:f>YEAR(B871)</x:f>
        <x:v>2025</x:v>
      </x:c>
      <x:c r="K871" s="20" t="n">
        <x:f>DATE(YEAR(B871),MONTH(B871),1)</x:f>
        <x:v>45992</x:v>
      </x:c>
      <x:c r="L871" s="18" t="n">
        <x:f>F871-G871</x:f>
        <x:v>0</x:v>
      </x:c>
      <x:c r="M871" t="str">
        <x:f>IF(L871&lt;=0,"Payée",IF(G871=0,"Impayée","Partielle"))</x:f>
        <x:v>Payée</x:v>
      </x:c>
      <x:c r="N871" t="n">
        <x:f>IF(I871="","",I871-B871)</x:f>
        <x:v>15</x:v>
      </x:c>
      <x:c r="O871" t="str">
        <x:f>IF(TRIM(C871)&lt;&gt;TRIM(H871),"Oui","Non")</x:f>
        <x:v>Non</x:v>
      </x:c>
      <x:c r="P871" t="str">
        <x:f>IFERROR(INDEX('02_REFERENTIEL_CLIENTS'!$B$2:$B$51,MATCH(TRIM(C871),'02_REFERENTIEL_CLIENTS'!$A$2:$A$51,0)),"Non trouvé")</x:f>
        <x:v>PME</x:v>
      </x:c>
      <x:c r="Q871" t="str">
        <x:f>IFERROR(INDEX('02_REFERENTIEL_CLIENTS'!$C$2:$C$51,MATCH(TRIM(C871),'02_REFERENTIEL_CLIENTS'!$A$2:$A$51,0)),"Non trouvé")</x:f>
        <x:v>Europe</x:v>
      </x:c>
      <x:c r="R871" t="str">
        <x:f>IF(OR(F871&lt;=0,G871&lt;0,G871&gt;F871,N871&lt;0,P871="Non trouvé"),"À vérifier","OK")</x:f>
        <x:v>OK</x:v>
      </x:c>
    </x:row>
    <x:row r="872">
      <x:c r="A872" t="str">
        <x:v>DV-2025-00871</x:v>
      </x:c>
      <x:c r="B872" s="16" t="n">
        <x:v>45770</x:v>
      </x:c>
      <x:c r="C872" t="str">
        <x:v>Client 38</x:v>
      </x:c>
      <x:c r="D872" t="str">
        <x:v>Fret maritime</x:v>
      </x:c>
      <x:c r="E872" t="str">
        <x:v>Pôle D</x:v>
      </x:c>
      <x:c r="F872" s="18" t="n">
        <x:v>19742.37</x:v>
      </x:c>
      <x:c r="G872" s="18" t="n">
        <x:v>19742.37</x:v>
      </x:c>
      <x:c r="H872" t="str">
        <x:v>Client 38</x:v>
      </x:c>
      <x:c r="I872" s="16" t="n">
        <x:v>45829</x:v>
      </x:c>
      <x:c r="J872" t="n">
        <x:f>YEAR(B872)</x:f>
        <x:v>2025</x:v>
      </x:c>
      <x:c r="K872" s="20" t="n">
        <x:f>DATE(YEAR(B872),MONTH(B872),1)</x:f>
        <x:v>45748</x:v>
      </x:c>
      <x:c r="L872" s="18" t="n">
        <x:f>F872-G872</x:f>
        <x:v>0</x:v>
      </x:c>
      <x:c r="M872" t="str">
        <x:f>IF(L872&lt;=0,"Payée",IF(G872=0,"Impayée","Partielle"))</x:f>
        <x:v>Payée</x:v>
      </x:c>
      <x:c r="N872" t="n">
        <x:f>IF(I872="","",I872-B872)</x:f>
        <x:v>59</x:v>
      </x:c>
      <x:c r="O872" t="str">
        <x:f>IF(TRIM(C872)&lt;&gt;TRIM(H872),"Oui","Non")</x:f>
        <x:v>Non</x:v>
      </x:c>
      <x:c r="P872" t="str">
        <x:f>IFERROR(INDEX('02_REFERENTIEL_CLIENTS'!$B$2:$B$51,MATCH(TRIM(C872),'02_REFERENTIEL_CLIENTS'!$A$2:$A$51,0)),"Non trouvé")</x:f>
        <x:v>PME</x:v>
      </x:c>
      <x:c r="Q872" t="str">
        <x:f>IFERROR(INDEX('02_REFERENTIEL_CLIENTS'!$C$2:$C$51,MATCH(TRIM(C872),'02_REFERENTIEL_CLIENTS'!$A$2:$A$51,0)),"Non trouvé")</x:f>
        <x:v>Europe</x:v>
      </x:c>
      <x:c r="R872" t="str">
        <x:f>IF(OR(F872&lt;=0,G872&lt;0,G872&gt;F872,N872&lt;0,P872="Non trouvé"),"À vérifier","OK")</x:f>
        <x:v>OK</x:v>
      </x:c>
    </x:row>
    <x:row r="873">
      <x:c r="A873" t="str">
        <x:v>DV-2026-00872</x:v>
      </x:c>
      <x:c r="B873" s="16" t="n">
        <x:v>46122</x:v>
      </x:c>
      <x:c r="C873" t="str">
        <x:v>Client 23</x:v>
      </x:c>
      <x:c r="D873" t="str">
        <x:v>Douane</x:v>
      </x:c>
      <x:c r="E873" t="str">
        <x:v>Pôle C</x:v>
      </x:c>
      <x:c r="F873" s="18" t="n">
        <x:v>11607.24</x:v>
      </x:c>
      <x:c r="G873" s="18" t="n">
        <x:v>11607.24</x:v>
      </x:c>
      <x:c r="H873" t="str">
        <x:v>Client 33</x:v>
      </x:c>
      <x:c r="I873" s="16" t="n">
        <x:v>46178</x:v>
      </x:c>
      <x:c r="J873" t="n">
        <x:f>YEAR(B873)</x:f>
        <x:v>2026</x:v>
      </x:c>
      <x:c r="K873" s="20" t="n">
        <x:f>DATE(YEAR(B873),MONTH(B873),1)</x:f>
        <x:v>46113</x:v>
      </x:c>
      <x:c r="L873" s="18" t="n">
        <x:f>F873-G873</x:f>
        <x:v>0</x:v>
      </x:c>
      <x:c r="M873" t="str">
        <x:f>IF(L873&lt;=0,"Payée",IF(G873=0,"Impayée","Partielle"))</x:f>
        <x:v>Payée</x:v>
      </x:c>
      <x:c r="N873" t="n">
        <x:f>IF(I873="","",I873-B873)</x:f>
        <x:v>56</x:v>
      </x:c>
      <x:c r="O873" t="str">
        <x:f>IF(TRIM(C873)&lt;&gt;TRIM(H873),"Oui","Non")</x:f>
        <x:v>Oui</x:v>
      </x:c>
      <x:c r="P873" t="str">
        <x:f>IFERROR(INDEX('02_REFERENTIEL_CLIENTS'!$B$2:$B$51,MATCH(TRIM(C873),'02_REFERENTIEL_CLIENTS'!$A$2:$A$51,0)),"Non trouvé")</x:f>
        <x:v>PME</x:v>
      </x:c>
      <x:c r="Q873" t="str">
        <x:f>IFERROR(INDEX('02_REFERENTIEL_CLIENTS'!$C$2:$C$51,MATCH(TRIM(C873),'02_REFERENTIEL_CLIENTS'!$A$2:$A$51,0)),"Non trouvé")</x:f>
        <x:v>Europe</x:v>
      </x:c>
      <x:c r="R873" t="str">
        <x:f>IF(OR(F873&lt;=0,G873&lt;0,G873&gt;F873,N873&lt;0,P873="Non trouvé"),"À vérifier","OK")</x:f>
        <x:v>OK</x:v>
      </x:c>
    </x:row>
    <x:row r="874">
      <x:c r="A874" t="str">
        <x:v>DV-2024-00873</x:v>
      </x:c>
      <x:c r="B874" s="16" t="n">
        <x:v>45526</x:v>
      </x:c>
      <x:c r="C874" t="str">
        <x:v>Client 28</x:v>
      </x:c>
      <x:c r="D874" t="str">
        <x:v>Logistique</x:v>
      </x:c>
      <x:c r="E874" t="str">
        <x:v>Pôle B</x:v>
      </x:c>
      <x:c r="F874" s="18" t="n">
        <x:v>7974.99</x:v>
      </x:c>
      <x:c r="G874" s="18" t="n">
        <x:v>3682.17</x:v>
      </x:c>
      <x:c r="H874" t="str">
        <x:v>Client 28</x:v>
      </x:c>
      <x:c r="I874" s="16" t="n">
        <x:v>45545</x:v>
      </x:c>
      <x:c r="J874" t="n">
        <x:f>YEAR(B874)</x:f>
        <x:v>2024</x:v>
      </x:c>
      <x:c r="K874" s="20" t="n">
        <x:f>DATE(YEAR(B874),MONTH(B874),1)</x:f>
        <x:v>45505</x:v>
      </x:c>
      <x:c r="L874" s="18" t="n">
        <x:f>F874-G874</x:f>
        <x:v>4292.82</x:v>
      </x:c>
      <x:c r="M874" t="str">
        <x:f>IF(L874&lt;=0,"Payée",IF(G874=0,"Impayée","Partielle"))</x:f>
        <x:v>Partielle</x:v>
      </x:c>
      <x:c r="N874" t="n">
        <x:f>IF(I874="","",I874-B874)</x:f>
        <x:v>19</x:v>
      </x:c>
      <x:c r="O874" t="str">
        <x:f>IF(TRIM(C874)&lt;&gt;TRIM(H874),"Oui","Non")</x:f>
        <x:v>Non</x:v>
      </x:c>
      <x:c r="P874" t="str">
        <x:f>IFERROR(INDEX('02_REFERENTIEL_CLIENTS'!$B$2:$B$51,MATCH(TRIM(C874),'02_REFERENTIEL_CLIENTS'!$A$2:$A$51,0)),"Non trouvé")</x:f>
        <x:v>Grands comptes</x:v>
      </x:c>
      <x:c r="Q874" t="str">
        <x:f>IFERROR(INDEX('02_REFERENTIEL_CLIENTS'!$C$2:$C$51,MATCH(TRIM(C874),'02_REFERENTIEL_CLIENTS'!$A$2:$A$51,0)),"Non trouvé")</x:f>
        <x:v>France</x:v>
      </x:c>
      <x:c r="R874" t="str">
        <x:f>IF(OR(F874&lt;=0,G874&lt;0,G874&gt;F874,N874&lt;0,P874="Non trouvé"),"À vérifier","OK")</x:f>
        <x:v>OK</x:v>
      </x:c>
    </x:row>
    <x:row r="875">
      <x:c r="A875" t="str">
        <x:v>DV-2025-00874</x:v>
      </x:c>
      <x:c r="B875" s="16" t="n">
        <x:v>45771</x:v>
      </x:c>
      <x:c r="C875" t="str">
        <x:v>Client 41</x:v>
      </x:c>
      <x:c r="D875" t="str">
        <x:v>Fret maritime</x:v>
      </x:c>
      <x:c r="E875" t="str">
        <x:v>Pôle A</x:v>
      </x:c>
      <x:c r="F875" s="18" t="n">
        <x:v>13200.98</x:v>
      </x:c>
      <x:c r="G875" s="18" t="n">
        <x:v>8684.87</x:v>
      </x:c>
      <x:c r="H875" t="str">
        <x:v>Client 41</x:v>
      </x:c>
      <x:c r="I875" s="16" t="n">
        <x:v>45822</x:v>
      </x:c>
      <x:c r="J875" t="n">
        <x:f>YEAR(B875)</x:f>
        <x:v>2025</x:v>
      </x:c>
      <x:c r="K875" s="20" t="n">
        <x:f>DATE(YEAR(B875),MONTH(B875),1)</x:f>
        <x:v>45748</x:v>
      </x:c>
      <x:c r="L875" s="18" t="n">
        <x:f>F875-G875</x:f>
        <x:v>4516.109999999999</x:v>
      </x:c>
      <x:c r="M875" t="str">
        <x:f>IF(L875&lt;=0,"Payée",IF(G875=0,"Impayée","Partielle"))</x:f>
        <x:v>Partielle</x:v>
      </x:c>
      <x:c r="N875" t="n">
        <x:f>IF(I875="","",I875-B875)</x:f>
        <x:v>51</x:v>
      </x:c>
      <x:c r="O875" t="str">
        <x:f>IF(TRIM(C875)&lt;&gt;TRIM(H875),"Oui","Non")</x:f>
        <x:v>Non</x:v>
      </x:c>
      <x:c r="P875" t="str">
        <x:f>IFERROR(INDEX('02_REFERENTIEL_CLIENTS'!$B$2:$B$51,MATCH(TRIM(C875),'02_REFERENTIEL_CLIENTS'!$A$2:$A$51,0)),"Non trouvé")</x:f>
        <x:v>PME</x:v>
      </x:c>
      <x:c r="Q875" t="str">
        <x:f>IFERROR(INDEX('02_REFERENTIEL_CLIENTS'!$C$2:$C$51,MATCH(TRIM(C875),'02_REFERENTIEL_CLIENTS'!$A$2:$A$51,0)),"Non trouvé")</x:f>
        <x:v>Europe</x:v>
      </x:c>
      <x:c r="R875" t="str">
        <x:f>IF(OR(F875&lt;=0,G875&lt;0,G875&gt;F875,N875&lt;0,P875="Non trouvé"),"À vérifier","OK")</x:f>
        <x:v>OK</x:v>
      </x:c>
    </x:row>
    <x:row r="876">
      <x:c r="A876" t="str">
        <x:v>DV-2024-00875</x:v>
      </x:c>
      <x:c r="B876" s="16" t="n">
        <x:v>45331</x:v>
      </x:c>
      <x:c r="C876" t="str">
        <x:v>Client 42</x:v>
      </x:c>
      <x:c r="D876" t="str">
        <x:v>Fret aérien</x:v>
      </x:c>
      <x:c r="E876" t="str">
        <x:v>Pôle D</x:v>
      </x:c>
      <x:c r="F876" s="18" t="n">
        <x:v>6181.24</x:v>
      </x:c>
      <x:c r="G876" s="18" t="n">
        <x:v>0</x:v>
      </x:c>
      <x:c r="H876" t="str">
        <x:v>Client 42</x:v>
      </x:c>
      <x:c r="I876" s="16"/>
      <x:c r="J876" t="n">
        <x:f>YEAR(B876)</x:f>
        <x:v>2024</x:v>
      </x:c>
      <x:c r="K876" s="20" t="n">
        <x:f>DATE(YEAR(B876),MONTH(B876),1)</x:f>
        <x:v>45323</x:v>
      </x:c>
      <x:c r="L876" s="18" t="n">
        <x:f>F876-G876</x:f>
        <x:v>6181.24</x:v>
      </x:c>
      <x:c r="M876" t="str">
        <x:f>IF(L876&lt;=0,"Payée",IF(G876=0,"Impayée","Partielle"))</x:f>
        <x:v>Impayée</x:v>
      </x:c>
      <x:c r="N876" t="str">
        <x:f>IF(I876="","",I876-B876)</x:f>
      </x:c>
      <x:c r="O876" t="str">
        <x:f>IF(TRIM(C876)&lt;&gt;TRIM(H876),"Oui","Non")</x:f>
        <x:v>Non</x:v>
      </x:c>
      <x:c r="P876" t="str">
        <x:f>IFERROR(INDEX('02_REFERENTIEL_CLIENTS'!$B$2:$B$51,MATCH(TRIM(C876),'02_REFERENTIEL_CLIENTS'!$A$2:$A$51,0)),"Non trouvé")</x:f>
        <x:v>Particuliers</x:v>
      </x:c>
      <x:c r="Q876" t="str">
        <x:f>IFERROR(INDEX('02_REFERENTIEL_CLIENTS'!$C$2:$C$51,MATCH(TRIM(C876),'02_REFERENTIEL_CLIENTS'!$A$2:$A$51,0)),"Non trouvé")</x:f>
        <x:v>International</x:v>
      </x:c>
      <x:c r="R876" t="str">
        <x:f>IF(OR(F876&lt;=0,G876&lt;0,G876&gt;F876,N876&lt;0,P876="Non trouvé"),"À vérifier","OK")</x:f>
        <x:v>OK</x:v>
      </x:c>
    </x:row>
    <x:row r="877">
      <x:c r="A877" t="str">
        <x:v>DV-2024-00876</x:v>
      </x:c>
      <x:c r="B877" s="16" t="n">
        <x:v>45459</x:v>
      </x:c>
      <x:c r="C877" t="str">
        <x:v>Client 02</x:v>
      </x:c>
      <x:c r="D877" t="str">
        <x:v>Fret aérien</x:v>
      </x:c>
      <x:c r="E877" t="str">
        <x:v>Pôle E</x:v>
      </x:c>
      <x:c r="F877" s="18" t="n">
        <x:v>16638.94</x:v>
      </x:c>
      <x:c r="G877" s="18" t="n">
        <x:v>16638.94</x:v>
      </x:c>
      <x:c r="H877" t="str">
        <x:v>Client 02</x:v>
      </x:c>
      <x:c r="I877" s="16" t="n">
        <x:v>45515</x:v>
      </x:c>
      <x:c r="J877" t="n">
        <x:f>YEAR(B877)</x:f>
        <x:v>2024</x:v>
      </x:c>
      <x:c r="K877" s="20" t="n">
        <x:f>DATE(YEAR(B877),MONTH(B877),1)</x:f>
        <x:v>45444</x:v>
      </x:c>
      <x:c r="L877" s="18" t="n">
        <x:f>F877-G877</x:f>
        <x:v>0</x:v>
      </x:c>
      <x:c r="M877" t="str">
        <x:f>IF(L877&lt;=0,"Payée",IF(G877=0,"Impayée","Partielle"))</x:f>
        <x:v>Payée</x:v>
      </x:c>
      <x:c r="N877" t="n">
        <x:f>IF(I877="","",I877-B877)</x:f>
        <x:v>56</x:v>
      </x:c>
      <x:c r="O877" t="str">
        <x:f>IF(TRIM(C877)&lt;&gt;TRIM(H877),"Oui","Non")</x:f>
        <x:v>Non</x:v>
      </x:c>
      <x:c r="P877" t="str">
        <x:f>IFERROR(INDEX('02_REFERENTIEL_CLIENTS'!$B$2:$B$51,MATCH(TRIM(C877),'02_REFERENTIEL_CLIENTS'!$A$2:$A$51,0)),"Non trouvé")</x:f>
        <x:v>PME</x:v>
      </x:c>
      <x:c r="Q877" t="str">
        <x:f>IFERROR(INDEX('02_REFERENTIEL_CLIENTS'!$C$2:$C$51,MATCH(TRIM(C877),'02_REFERENTIEL_CLIENTS'!$A$2:$A$51,0)),"Non trouvé")</x:f>
        <x:v>Europe</x:v>
      </x:c>
      <x:c r="R877" t="str">
        <x:f>IF(OR(F877&lt;=0,G877&lt;0,G877&gt;F877,N877&lt;0,P877="Non trouvé"),"À vérifier","OK")</x:f>
        <x:v>OK</x:v>
      </x:c>
    </x:row>
    <x:row r="878">
      <x:c r="A878" t="str">
        <x:v>DV-2024-00877</x:v>
      </x:c>
      <x:c r="B878" s="16" t="n">
        <x:v>45492</x:v>
      </x:c>
      <x:c r="C878" t="str">
        <x:v>Client 07</x:v>
      </x:c>
      <x:c r="D878" t="str">
        <x:v>Fret aérien</x:v>
      </x:c>
      <x:c r="E878" t="str">
        <x:v>Pôle E</x:v>
      </x:c>
      <x:c r="F878" s="18" t="n">
        <x:v>7490.67</x:v>
      </x:c>
      <x:c r="G878" s="18" t="n">
        <x:v>7490.67</x:v>
      </x:c>
      <x:c r="H878" t="str">
        <x:v>Client 07</x:v>
      </x:c>
      <x:c r="I878" s="16" t="n">
        <x:v>45509</x:v>
      </x:c>
      <x:c r="J878" t="n">
        <x:f>YEAR(B878)</x:f>
        <x:v>2024</x:v>
      </x:c>
      <x:c r="K878" s="20" t="n">
        <x:f>DATE(YEAR(B878),MONTH(B878),1)</x:f>
        <x:v>45474</x:v>
      </x:c>
      <x:c r="L878" s="18" t="n">
        <x:f>F878-G878</x:f>
        <x:v>0</x:v>
      </x:c>
      <x:c r="M878" t="str">
        <x:f>IF(L878&lt;=0,"Payée",IF(G878=0,"Impayée","Partielle"))</x:f>
        <x:v>Payée</x:v>
      </x:c>
      <x:c r="N878" t="n">
        <x:f>IF(I878="","",I878-B878)</x:f>
        <x:v>17</x:v>
      </x:c>
      <x:c r="O878" t="str">
        <x:f>IF(TRIM(C878)&lt;&gt;TRIM(H878),"Oui","Non")</x:f>
        <x:v>Non</x:v>
      </x:c>
      <x:c r="P878" t="str">
        <x:f>IFERROR(INDEX('02_REFERENTIEL_CLIENTS'!$B$2:$B$51,MATCH(TRIM(C878),'02_REFERENTIEL_CLIENTS'!$A$2:$A$51,0)),"Non trouvé")</x:f>
        <x:v>Grands comptes</x:v>
      </x:c>
      <x:c r="Q878" t="str">
        <x:f>IFERROR(INDEX('02_REFERENTIEL_CLIENTS'!$C$2:$C$51,MATCH(TRIM(C878),'02_REFERENTIEL_CLIENTS'!$A$2:$A$51,0)),"Non trouvé")</x:f>
        <x:v>France</x:v>
      </x:c>
      <x:c r="R878" t="str">
        <x:f>IF(OR(F878&lt;=0,G878&lt;0,G878&gt;F878,N878&lt;0,P878="Non trouvé"),"À vérifier","OK")</x:f>
        <x:v>OK</x:v>
      </x:c>
    </x:row>
    <x:row r="879">
      <x:c r="A879" t="str">
        <x:v>DV-2024-00878</x:v>
      </x:c>
      <x:c r="B879" s="16" t="n">
        <x:v>45540</x:v>
      </x:c>
      <x:c r="C879" t="str">
        <x:v>Client 07</x:v>
      </x:c>
      <x:c r="D879" t="str">
        <x:v>Fret maritime</x:v>
      </x:c>
      <x:c r="E879" t="str">
        <x:v>Pôle D</x:v>
      </x:c>
      <x:c r="F879" s="18" t="n">
        <x:v>1459.56</x:v>
      </x:c>
      <x:c r="G879" s="18" t="n">
        <x:v>1459.56</x:v>
      </x:c>
      <x:c r="H879" t="str">
        <x:v>Client 49</x:v>
      </x:c>
      <x:c r="I879" s="16" t="n">
        <x:v>45542</x:v>
      </x:c>
      <x:c r="J879" t="n">
        <x:f>YEAR(B879)</x:f>
        <x:v>2024</x:v>
      </x:c>
      <x:c r="K879" s="20" t="n">
        <x:f>DATE(YEAR(B879),MONTH(B879),1)</x:f>
        <x:v>45536</x:v>
      </x:c>
      <x:c r="L879" s="18" t="n">
        <x:f>F879-G879</x:f>
        <x:v>0</x:v>
      </x:c>
      <x:c r="M879" t="str">
        <x:f>IF(L879&lt;=0,"Payée",IF(G879=0,"Impayée","Partielle"))</x:f>
        <x:v>Payée</x:v>
      </x:c>
      <x:c r="N879" t="n">
        <x:f>IF(I879="","",I879-B879)</x:f>
        <x:v>2</x:v>
      </x:c>
      <x:c r="O879" t="str">
        <x:f>IF(TRIM(C879)&lt;&gt;TRIM(H879),"Oui","Non")</x:f>
        <x:v>Oui</x:v>
      </x:c>
      <x:c r="P879" t="str">
        <x:f>IFERROR(INDEX('02_REFERENTIEL_CLIENTS'!$B$2:$B$51,MATCH(TRIM(C879),'02_REFERENTIEL_CLIENTS'!$A$2:$A$51,0)),"Non trouvé")</x:f>
        <x:v>Grands comptes</x:v>
      </x:c>
      <x:c r="Q879" t="str">
        <x:f>IFERROR(INDEX('02_REFERENTIEL_CLIENTS'!$C$2:$C$51,MATCH(TRIM(C879),'02_REFERENTIEL_CLIENTS'!$A$2:$A$51,0)),"Non trouvé")</x:f>
        <x:v>France</x:v>
      </x:c>
      <x:c r="R879" t="str">
        <x:f>IF(OR(F879&lt;=0,G879&lt;0,G879&gt;F879,N879&lt;0,P879="Non trouvé"),"À vérifier","OK")</x:f>
        <x:v>OK</x:v>
      </x:c>
    </x:row>
    <x:row r="880">
      <x:c r="A880" t="str">
        <x:v>DV-2026-00879</x:v>
      </x:c>
      <x:c r="B880" s="16" t="n">
        <x:v>46111</x:v>
      </x:c>
      <x:c r="C880" t="str">
        <x:v>Client 18</x:v>
      </x:c>
      <x:c r="D880" t="str">
        <x:v>Douane</x:v>
      </x:c>
      <x:c r="E880" t="str">
        <x:v>Pôle D</x:v>
      </x:c>
      <x:c r="F880" s="18" t="n">
        <x:v>10092.98</x:v>
      </x:c>
      <x:c r="G880" s="18" t="n">
        <x:v>10092.98</x:v>
      </x:c>
      <x:c r="H880" t="str">
        <x:v>Client 18</x:v>
      </x:c>
      <x:c r="I880" s="16" t="n">
        <x:v>46160</x:v>
      </x:c>
      <x:c r="J880" t="n">
        <x:f>YEAR(B880)</x:f>
        <x:v>2026</x:v>
      </x:c>
      <x:c r="K880" s="20" t="n">
        <x:f>DATE(YEAR(B880),MONTH(B880),1)</x:f>
        <x:v>46082</x:v>
      </x:c>
      <x:c r="L880" s="18" t="n">
        <x:f>F880-G880</x:f>
        <x:v>0</x:v>
      </x:c>
      <x:c r="M880" t="str">
        <x:f>IF(L880&lt;=0,"Payée",IF(G880=0,"Impayée","Partielle"))</x:f>
        <x:v>Payée</x:v>
      </x:c>
      <x:c r="N880" t="n">
        <x:f>IF(I880="","",I880-B880)</x:f>
        <x:v>49</x:v>
      </x:c>
      <x:c r="O880" t="str">
        <x:f>IF(TRIM(C880)&lt;&gt;TRIM(H880),"Oui","Non")</x:f>
        <x:v>Non</x:v>
      </x:c>
      <x:c r="P880" t="str">
        <x:f>IFERROR(INDEX('02_REFERENTIEL_CLIENTS'!$B$2:$B$51,MATCH(TRIM(C880),'02_REFERENTIEL_CLIENTS'!$A$2:$A$51,0)),"Non trouvé")</x:f>
        <x:v>Particuliers</x:v>
      </x:c>
      <x:c r="Q880" t="str">
        <x:f>IFERROR(INDEX('02_REFERENTIEL_CLIENTS'!$C$2:$C$51,MATCH(TRIM(C880),'02_REFERENTIEL_CLIENTS'!$A$2:$A$51,0)),"Non trouvé")</x:f>
        <x:v>International</x:v>
      </x:c>
      <x:c r="R880" t="str">
        <x:f>IF(OR(F880&lt;=0,G880&lt;0,G880&gt;F880,N880&lt;0,P880="Non trouvé"),"À vérifier","OK")</x:f>
        <x:v>OK</x:v>
      </x:c>
    </x:row>
    <x:row r="881">
      <x:c r="A881" t="str">
        <x:v>DV-2025-00880</x:v>
      </x:c>
      <x:c r="B881" s="16" t="n">
        <x:v>45785</x:v>
      </x:c>
      <x:c r="C881" t="str">
        <x:v>Client 39</x:v>
      </x:c>
      <x:c r="D881" t="str">
        <x:v>Fret aérien</x:v>
      </x:c>
      <x:c r="E881" t="str">
        <x:v>Pôle C</x:v>
      </x:c>
      <x:c r="F881" s="18" t="n">
        <x:v>3017.99</x:v>
      </x:c>
      <x:c r="G881" s="18" t="n">
        <x:v>601.97</x:v>
      </x:c>
      <x:c r="H881" t="str">
        <x:v>Client 39</x:v>
      </x:c>
      <x:c r="I881" s="16" t="n">
        <x:v>45878</x:v>
      </x:c>
      <x:c r="J881" t="n">
        <x:f>YEAR(B881)</x:f>
        <x:v>2025</x:v>
      </x:c>
      <x:c r="K881" s="20" t="n">
        <x:f>DATE(YEAR(B881),MONTH(B881),1)</x:f>
        <x:v>45778</x:v>
      </x:c>
      <x:c r="L881" s="18" t="n">
        <x:f>F881-G881</x:f>
        <x:v>2416.0199999999995</x:v>
      </x:c>
      <x:c r="M881" t="str">
        <x:f>IF(L881&lt;=0,"Payée",IF(G881=0,"Impayée","Partielle"))</x:f>
        <x:v>Partielle</x:v>
      </x:c>
      <x:c r="N881" t="n">
        <x:f>IF(I881="","",I881-B881)</x:f>
        <x:v>93</x:v>
      </x:c>
      <x:c r="O881" t="str">
        <x:f>IF(TRIM(C881)&lt;&gt;TRIM(H881),"Oui","Non")</x:f>
        <x:v>Non</x:v>
      </x:c>
      <x:c r="P881" t="str">
        <x:f>IFERROR(INDEX('02_REFERENTIEL_CLIENTS'!$B$2:$B$51,MATCH(TRIM(C881),'02_REFERENTIEL_CLIENTS'!$A$2:$A$51,0)),"Non trouvé")</x:f>
        <x:v>Particuliers</x:v>
      </x:c>
      <x:c r="Q881" t="str">
        <x:f>IFERROR(INDEX('02_REFERENTIEL_CLIENTS'!$C$2:$C$51,MATCH(TRIM(C881),'02_REFERENTIEL_CLIENTS'!$A$2:$A$51,0)),"Non trouvé")</x:f>
        <x:v>International</x:v>
      </x:c>
      <x:c r="R881" t="str">
        <x:f>IF(OR(F881&lt;=0,G881&lt;0,G881&gt;F881,N881&lt;0,P881="Non trouvé"),"À vérifier","OK")</x:f>
        <x:v>OK</x:v>
      </x:c>
    </x:row>
    <x:row r="882">
      <x:c r="A882" t="str">
        <x:v>DV-2026-00881</x:v>
      </x:c>
      <x:c r="B882" s="16" t="n">
        <x:v>46201</x:v>
      </x:c>
      <x:c r="C882" t="str">
        <x:v>Client 24</x:v>
      </x:c>
      <x:c r="D882" t="str">
        <x:v>Douane</x:v>
      </x:c>
      <x:c r="E882" t="str">
        <x:v>Pôle D</x:v>
      </x:c>
      <x:c r="F882" s="18" t="n">
        <x:v>11607.21</x:v>
      </x:c>
      <x:c r="G882" s="18" t="n">
        <x:v>11607.21</x:v>
      </x:c>
      <x:c r="H882" t="str">
        <x:v>Client 24</x:v>
      </x:c>
      <x:c r="I882" s="16" t="n">
        <x:v>46263</x:v>
      </x:c>
      <x:c r="J882" t="n">
        <x:f>YEAR(B882)</x:f>
        <x:v>2026</x:v>
      </x:c>
      <x:c r="K882" s="20" t="n">
        <x:f>DATE(YEAR(B882),MONTH(B882),1)</x:f>
        <x:v>46174</x:v>
      </x:c>
      <x:c r="L882" s="18" t="n">
        <x:f>F882-G882</x:f>
        <x:v>0</x:v>
      </x:c>
      <x:c r="M882" t="str">
        <x:f>IF(L882&lt;=0,"Payée",IF(G882=0,"Impayée","Partielle"))</x:f>
        <x:v>Payée</x:v>
      </x:c>
      <x:c r="N882" t="n">
        <x:f>IF(I882="","",I882-B882)</x:f>
        <x:v>62</x:v>
      </x:c>
      <x:c r="O882" t="str">
        <x:f>IF(TRIM(C882)&lt;&gt;TRIM(H882),"Oui","Non")</x:f>
        <x:v>Non</x:v>
      </x:c>
      <x:c r="P882" t="str">
        <x:f>IFERROR(INDEX('02_REFERENTIEL_CLIENTS'!$B$2:$B$51,MATCH(TRIM(C882),'02_REFERENTIEL_CLIENTS'!$A$2:$A$51,0)),"Non trouvé")</x:f>
        <x:v>Particuliers</x:v>
      </x:c>
      <x:c r="Q882" t="str">
        <x:f>IFERROR(INDEX('02_REFERENTIEL_CLIENTS'!$C$2:$C$51,MATCH(TRIM(C882),'02_REFERENTIEL_CLIENTS'!$A$2:$A$51,0)),"Non trouvé")</x:f>
        <x:v>International</x:v>
      </x:c>
      <x:c r="R882" t="str">
        <x:f>IF(OR(F882&lt;=0,G882&lt;0,G882&gt;F882,N882&lt;0,P882="Non trouvé"),"À vérifier","OK")</x:f>
        <x:v>OK</x:v>
      </x:c>
    </x:row>
    <x:row r="883">
      <x:c r="A883" t="str">
        <x:v>DV-2024-00882</x:v>
      </x:c>
      <x:c r="B883" s="16" t="n">
        <x:v>45598</x:v>
      </x:c>
      <x:c r="C883" t="str">
        <x:v>Client 19</x:v>
      </x:c>
      <x:c r="D883" t="str">
        <x:v>Fret maritime</x:v>
      </x:c>
      <x:c r="E883" t="str">
        <x:v>Pôle B</x:v>
      </x:c>
      <x:c r="F883" s="18" t="n">
        <x:v>2236.47</x:v>
      </x:c>
      <x:c r="G883" s="18" t="n">
        <x:v>2236.47</x:v>
      </x:c>
      <x:c r="H883" t="str">
        <x:v>Client 19</x:v>
      </x:c>
      <x:c r="I883" s="16" t="n">
        <x:v>45631</x:v>
      </x:c>
      <x:c r="J883" t="n">
        <x:f>YEAR(B883)</x:f>
        <x:v>2024</x:v>
      </x:c>
      <x:c r="K883" s="20" t="n">
        <x:f>DATE(YEAR(B883),MONTH(B883),1)</x:f>
        <x:v>45597</x:v>
      </x:c>
      <x:c r="L883" s="18" t="n">
        <x:f>F883-G883</x:f>
        <x:v>0</x:v>
      </x:c>
      <x:c r="M883" t="str">
        <x:f>IF(L883&lt;=0,"Payée",IF(G883=0,"Impayée","Partielle"))</x:f>
        <x:v>Payée</x:v>
      </x:c>
      <x:c r="N883" t="n">
        <x:f>IF(I883="","",I883-B883)</x:f>
        <x:v>33</x:v>
      </x:c>
      <x:c r="O883" t="str">
        <x:f>IF(TRIM(C883)&lt;&gt;TRIM(H883),"Oui","Non")</x:f>
        <x:v>Non</x:v>
      </x:c>
      <x:c r="P883" t="str">
        <x:f>IFERROR(INDEX('02_REFERENTIEL_CLIENTS'!$B$2:$B$51,MATCH(TRIM(C883),'02_REFERENTIEL_CLIENTS'!$A$2:$A$51,0)),"Non trouvé")</x:f>
        <x:v>Grands comptes</x:v>
      </x:c>
      <x:c r="Q883" t="str">
        <x:f>IFERROR(INDEX('02_REFERENTIEL_CLIENTS'!$C$2:$C$51,MATCH(TRIM(C883),'02_REFERENTIEL_CLIENTS'!$A$2:$A$51,0)),"Non trouvé")</x:f>
        <x:v>France</x:v>
      </x:c>
      <x:c r="R883" t="str">
        <x:f>IF(OR(F883&lt;=0,G883&lt;0,G883&gt;F883,N883&lt;0,P883="Non trouvé"),"À vérifier","OK")</x:f>
        <x:v>OK</x:v>
      </x:c>
    </x:row>
    <x:row r="884">
      <x:c r="A884" t="str">
        <x:v>DV-2026-00883</x:v>
      </x:c>
      <x:c r="B884" s="16" t="n">
        <x:v>46184</x:v>
      </x:c>
      <x:c r="C884" t="str">
        <x:v>Client 43</x:v>
      </x:c>
      <x:c r="D884" t="str">
        <x:v>Express</x:v>
      </x:c>
      <x:c r="E884" t="str">
        <x:v>Pôle D</x:v>
      </x:c>
      <x:c r="F884" s="18" t="n">
        <x:v>8772.2</x:v>
      </x:c>
      <x:c r="G884" s="18" t="n">
        <x:v>8772.2</x:v>
      </x:c>
      <x:c r="H884" t="str">
        <x:v>Client 43</x:v>
      </x:c>
      <x:c r="I884" s="16" t="n">
        <x:v>46211</x:v>
      </x:c>
      <x:c r="J884" t="n">
        <x:f>YEAR(B884)</x:f>
        <x:v>2026</x:v>
      </x:c>
      <x:c r="K884" s="20" t="n">
        <x:f>DATE(YEAR(B884),MONTH(B884),1)</x:f>
        <x:v>46174</x:v>
      </x:c>
      <x:c r="L884" s="18" t="n">
        <x:f>F884-G884</x:f>
        <x:v>0</x:v>
      </x:c>
      <x:c r="M884" t="str">
        <x:f>IF(L884&lt;=0,"Payée",IF(G884=0,"Impayée","Partielle"))</x:f>
        <x:v>Payée</x:v>
      </x:c>
      <x:c r="N884" t="n">
        <x:f>IF(I884="","",I884-B884)</x:f>
        <x:v>27</x:v>
      </x:c>
      <x:c r="O884" t="str">
        <x:f>IF(TRIM(C884)&lt;&gt;TRIM(H884),"Oui","Non")</x:f>
        <x:v>Non</x:v>
      </x:c>
      <x:c r="P884" t="str">
        <x:f>IFERROR(INDEX('02_REFERENTIEL_CLIENTS'!$B$2:$B$51,MATCH(TRIM(C884),'02_REFERENTIEL_CLIENTS'!$A$2:$A$51,0)),"Non trouvé")</x:f>
        <x:v>Grands comptes</x:v>
      </x:c>
      <x:c r="Q884" t="str">
        <x:f>IFERROR(INDEX('02_REFERENTIEL_CLIENTS'!$C$2:$C$51,MATCH(TRIM(C884),'02_REFERENTIEL_CLIENTS'!$A$2:$A$51,0)),"Non trouvé")</x:f>
        <x:v>France</x:v>
      </x:c>
      <x:c r="R884" t="str">
        <x:f>IF(OR(F884&lt;=0,G884&lt;0,G884&gt;F884,N884&lt;0,P884="Non trouvé"),"À vérifier","OK")</x:f>
        <x:v>OK</x:v>
      </x:c>
    </x:row>
    <x:row r="885">
      <x:c r="A885" t="str">
        <x:v>DV-2025-00884</x:v>
      </x:c>
      <x:c r="B885" s="16" t="n">
        <x:v>45927</x:v>
      </x:c>
      <x:c r="C885" t="str">
        <x:v>Client 05</x:v>
      </x:c>
      <x:c r="D885" t="str">
        <x:v>Fret maritime</x:v>
      </x:c>
      <x:c r="E885" t="str">
        <x:v>Pôle B</x:v>
      </x:c>
      <x:c r="F885" s="18" t="n">
        <x:v>12033.32</x:v>
      </x:c>
      <x:c r="G885" s="18" t="n">
        <x:v>12033.32</x:v>
      </x:c>
      <x:c r="H885" t="str">
        <x:v>Client 05</x:v>
      </x:c>
      <x:c r="I885" s="16" t="n">
        <x:v>45964</x:v>
      </x:c>
      <x:c r="J885" t="n">
        <x:f>YEAR(B885)</x:f>
        <x:v>2025</x:v>
      </x:c>
      <x:c r="K885" s="20" t="n">
        <x:f>DATE(YEAR(B885),MONTH(B885),1)</x:f>
        <x:v>45901</x:v>
      </x:c>
      <x:c r="L885" s="18" t="n">
        <x:f>F885-G885</x:f>
        <x:v>0</x:v>
      </x:c>
      <x:c r="M885" t="str">
        <x:f>IF(L885&lt;=0,"Payée",IF(G885=0,"Impayée","Partielle"))</x:f>
        <x:v>Payée</x:v>
      </x:c>
      <x:c r="N885" t="n">
        <x:f>IF(I885="","",I885-B885)</x:f>
        <x:v>37</x:v>
      </x:c>
      <x:c r="O885" t="str">
        <x:f>IF(TRIM(C885)&lt;&gt;TRIM(H885),"Oui","Non")</x:f>
        <x:v>Non</x:v>
      </x:c>
      <x:c r="P885" t="str">
        <x:f>IFERROR(INDEX('02_REFERENTIEL_CLIENTS'!$B$2:$B$51,MATCH(TRIM(C885),'02_REFERENTIEL_CLIENTS'!$A$2:$A$51,0)),"Non trouvé")</x:f>
        <x:v>PME</x:v>
      </x:c>
      <x:c r="Q885" t="str">
        <x:f>IFERROR(INDEX('02_REFERENTIEL_CLIENTS'!$C$2:$C$51,MATCH(TRIM(C885),'02_REFERENTIEL_CLIENTS'!$A$2:$A$51,0)),"Non trouvé")</x:f>
        <x:v>Europe</x:v>
      </x:c>
      <x:c r="R885" t="str">
        <x:f>IF(OR(F885&lt;=0,G885&lt;0,G885&gt;F885,N885&lt;0,P885="Non trouvé"),"À vérifier","OK")</x:f>
        <x:v>OK</x:v>
      </x:c>
    </x:row>
    <x:row r="886">
      <x:c r="A886" t="str">
        <x:v>DV-2024-00885</x:v>
      </x:c>
      <x:c r="B886" s="16" t="n">
        <x:v>45496</x:v>
      </x:c>
      <x:c r="C886" t="str">
        <x:v>Client 41</x:v>
      </x:c>
      <x:c r="D886" t="str">
        <x:v>Fret aérien</x:v>
      </x:c>
      <x:c r="E886" t="str">
        <x:v>Pôle A</x:v>
      </x:c>
      <x:c r="F886" s="18" t="n">
        <x:v>24430.1</x:v>
      </x:c>
      <x:c r="G886" s="18" t="n">
        <x:v>24430.1</x:v>
      </x:c>
      <x:c r="H886" t="str">
        <x:v>Client 41</x:v>
      </x:c>
      <x:c r="I886" s="16" t="n">
        <x:v>45538</x:v>
      </x:c>
      <x:c r="J886" t="n">
        <x:f>YEAR(B886)</x:f>
        <x:v>2024</x:v>
      </x:c>
      <x:c r="K886" s="20" t="n">
        <x:f>DATE(YEAR(B886),MONTH(B886),1)</x:f>
        <x:v>45474</x:v>
      </x:c>
      <x:c r="L886" s="18" t="n">
        <x:f>F886-G886</x:f>
        <x:v>0</x:v>
      </x:c>
      <x:c r="M886" t="str">
        <x:f>IF(L886&lt;=0,"Payée",IF(G886=0,"Impayée","Partielle"))</x:f>
        <x:v>Payée</x:v>
      </x:c>
      <x:c r="N886" t="n">
        <x:f>IF(I886="","",I886-B886)</x:f>
        <x:v>42</x:v>
      </x:c>
      <x:c r="O886" t="str">
        <x:f>IF(TRIM(C886)&lt;&gt;TRIM(H886),"Oui","Non")</x:f>
        <x:v>Non</x:v>
      </x:c>
      <x:c r="P886" t="str">
        <x:f>IFERROR(INDEX('02_REFERENTIEL_CLIENTS'!$B$2:$B$51,MATCH(TRIM(C886),'02_REFERENTIEL_CLIENTS'!$A$2:$A$51,0)),"Non trouvé")</x:f>
        <x:v>PME</x:v>
      </x:c>
      <x:c r="Q886" t="str">
        <x:f>IFERROR(INDEX('02_REFERENTIEL_CLIENTS'!$C$2:$C$51,MATCH(TRIM(C886),'02_REFERENTIEL_CLIENTS'!$A$2:$A$51,0)),"Non trouvé")</x:f>
        <x:v>Europe</x:v>
      </x:c>
      <x:c r="R886" t="str">
        <x:f>IF(OR(F886&lt;=0,G886&lt;0,G886&gt;F886,N886&lt;0,P886="Non trouvé"),"À vérifier","OK")</x:f>
        <x:v>OK</x:v>
      </x:c>
    </x:row>
    <x:row r="887">
      <x:c r="A887" t="str">
        <x:v>DV-2026-00886</x:v>
      </x:c>
      <x:c r="B887" s="16" t="n">
        <x:v>46113</x:v>
      </x:c>
      <x:c r="C887" t="str">
        <x:v>Client 43</x:v>
      </x:c>
      <x:c r="D887" t="str">
        <x:v>Fret aérien</x:v>
      </x:c>
      <x:c r="E887" t="str">
        <x:v>Pôle B</x:v>
      </x:c>
      <x:c r="F887" s="18" t="n">
        <x:v>17777.44</x:v>
      </x:c>
      <x:c r="G887" s="18" t="n">
        <x:v>17777.44</x:v>
      </x:c>
      <x:c r="H887" t="str">
        <x:v>Client 43</x:v>
      </x:c>
      <x:c r="I887" s="16" t="n">
        <x:v>46123</x:v>
      </x:c>
      <x:c r="J887" t="n">
        <x:f>YEAR(B887)</x:f>
        <x:v>2026</x:v>
      </x:c>
      <x:c r="K887" s="20" t="n">
        <x:f>DATE(YEAR(B887),MONTH(B887),1)</x:f>
        <x:v>46113</x:v>
      </x:c>
      <x:c r="L887" s="18" t="n">
        <x:f>F887-G887</x:f>
        <x:v>0</x:v>
      </x:c>
      <x:c r="M887" t="str">
        <x:f>IF(L887&lt;=0,"Payée",IF(G887=0,"Impayée","Partielle"))</x:f>
        <x:v>Payée</x:v>
      </x:c>
      <x:c r="N887" t="n">
        <x:f>IF(I887="","",I887-B887)</x:f>
        <x:v>10</x:v>
      </x:c>
      <x:c r="O887" t="str">
        <x:f>IF(TRIM(C887)&lt;&gt;TRIM(H887),"Oui","Non")</x:f>
        <x:v>Non</x:v>
      </x:c>
      <x:c r="P887" t="str">
        <x:f>IFERROR(INDEX('02_REFERENTIEL_CLIENTS'!$B$2:$B$51,MATCH(TRIM(C887),'02_REFERENTIEL_CLIENTS'!$A$2:$A$51,0)),"Non trouvé")</x:f>
        <x:v>Grands comptes</x:v>
      </x:c>
      <x:c r="Q887" t="str">
        <x:f>IFERROR(INDEX('02_REFERENTIEL_CLIENTS'!$C$2:$C$51,MATCH(TRIM(C887),'02_REFERENTIEL_CLIENTS'!$A$2:$A$51,0)),"Non trouvé")</x:f>
        <x:v>France</x:v>
      </x:c>
      <x:c r="R887" t="str">
        <x:f>IF(OR(F887&lt;=0,G887&lt;0,G887&gt;F887,N887&lt;0,P887="Non trouvé"),"À vérifier","OK")</x:f>
        <x:v>OK</x:v>
      </x:c>
    </x:row>
    <x:row r="888">
      <x:c r="A888" t="str">
        <x:v>DV-2024-00887</x:v>
      </x:c>
      <x:c r="B888" s="16" t="n">
        <x:v>45589</x:v>
      </x:c>
      <x:c r="C888" t="str">
        <x:v>Client 50</x:v>
      </x:c>
      <x:c r="D888" t="str">
        <x:v>Express</x:v>
      </x:c>
      <x:c r="E888" t="str">
        <x:v>Pôle C</x:v>
      </x:c>
      <x:c r="F888" s="18" t="n">
        <x:v>24459.47</x:v>
      </x:c>
      <x:c r="G888" s="18" t="n">
        <x:v>24459.47</x:v>
      </x:c>
      <x:c r="H888" t="str">
        <x:v>Client 06</x:v>
      </x:c>
      <x:c r="I888" s="16" t="n">
        <x:v>45607</x:v>
      </x:c>
      <x:c r="J888" t="n">
        <x:f>YEAR(B888)</x:f>
        <x:v>2024</x:v>
      </x:c>
      <x:c r="K888" s="20" t="n">
        <x:f>DATE(YEAR(B888),MONTH(B888),1)</x:f>
        <x:v>45566</x:v>
      </x:c>
      <x:c r="L888" s="18" t="n">
        <x:f>F888-G888</x:f>
        <x:v>0</x:v>
      </x:c>
      <x:c r="M888" t="str">
        <x:f>IF(L888&lt;=0,"Payée",IF(G888=0,"Impayée","Partielle"))</x:f>
        <x:v>Payée</x:v>
      </x:c>
      <x:c r="N888" t="n">
        <x:f>IF(I888="","",I888-B888)</x:f>
        <x:v>18</x:v>
      </x:c>
      <x:c r="O888" t="str">
        <x:f>IF(TRIM(C888)&lt;&gt;TRIM(H888),"Oui","Non")</x:f>
        <x:v>Oui</x:v>
      </x:c>
      <x:c r="P888" t="str">
        <x:f>IFERROR(INDEX('02_REFERENTIEL_CLIENTS'!$B$2:$B$51,MATCH(TRIM(C888),'02_REFERENTIEL_CLIENTS'!$A$2:$A$51,0)),"Non trouvé")</x:f>
        <x:v>PME</x:v>
      </x:c>
      <x:c r="Q888" t="str">
        <x:f>IFERROR(INDEX('02_REFERENTIEL_CLIENTS'!$C$2:$C$51,MATCH(TRIM(C888),'02_REFERENTIEL_CLIENTS'!$A$2:$A$51,0)),"Non trouvé")</x:f>
        <x:v>Europe</x:v>
      </x:c>
      <x:c r="R888" t="str">
        <x:f>IF(OR(F888&lt;=0,G888&lt;0,G888&gt;F888,N888&lt;0,P888="Non trouvé"),"À vérifier","OK")</x:f>
        <x:v>OK</x:v>
      </x:c>
    </x:row>
    <x:row r="889">
      <x:c r="A889" t="str">
        <x:v>DV-2024-00888</x:v>
      </x:c>
      <x:c r="B889" s="16" t="n">
        <x:v>45533</x:v>
      </x:c>
      <x:c r="C889" t="str">
        <x:v>Client 22</x:v>
      </x:c>
      <x:c r="D889" t="str">
        <x:v>Fret maritime</x:v>
      </x:c>
      <x:c r="E889" t="str">
        <x:v>Pôle E</x:v>
      </x:c>
      <x:c r="F889" s="18" t="n">
        <x:v>15900.95</x:v>
      </x:c>
      <x:c r="G889" s="18" t="n">
        <x:v>15900.95</x:v>
      </x:c>
      <x:c r="H889" t="str">
        <x:v>Client 46</x:v>
      </x:c>
      <x:c r="I889" s="16" t="n">
        <x:v>45606</x:v>
      </x:c>
      <x:c r="J889" t="n">
        <x:f>YEAR(B889)</x:f>
        <x:v>2024</x:v>
      </x:c>
      <x:c r="K889" s="20" t="n">
        <x:f>DATE(YEAR(B889),MONTH(B889),1)</x:f>
        <x:v>45505</x:v>
      </x:c>
      <x:c r="L889" s="18" t="n">
        <x:f>F889-G889</x:f>
        <x:v>0</x:v>
      </x:c>
      <x:c r="M889" t="str">
        <x:f>IF(L889&lt;=0,"Payée",IF(G889=0,"Impayée","Partielle"))</x:f>
        <x:v>Payée</x:v>
      </x:c>
      <x:c r="N889" t="n">
        <x:f>IF(I889="","",I889-B889)</x:f>
        <x:v>73</x:v>
      </x:c>
      <x:c r="O889" t="str">
        <x:f>IF(TRIM(C889)&lt;&gt;TRIM(H889),"Oui","Non")</x:f>
        <x:v>Oui</x:v>
      </x:c>
      <x:c r="P889" t="str">
        <x:f>IFERROR(INDEX('02_REFERENTIEL_CLIENTS'!$B$2:$B$51,MATCH(TRIM(C889),'02_REFERENTIEL_CLIENTS'!$A$2:$A$51,0)),"Non trouvé")</x:f>
        <x:v>Grands comptes</x:v>
      </x:c>
      <x:c r="Q889" t="str">
        <x:f>IFERROR(INDEX('02_REFERENTIEL_CLIENTS'!$C$2:$C$51,MATCH(TRIM(C889),'02_REFERENTIEL_CLIENTS'!$A$2:$A$51,0)),"Non trouvé")</x:f>
        <x:v>France</x:v>
      </x:c>
      <x:c r="R889" t="str">
        <x:f>IF(OR(F889&lt;=0,G889&lt;0,G889&gt;F889,N889&lt;0,P889="Non trouvé"),"À vérifier","OK")</x:f>
        <x:v>OK</x:v>
      </x:c>
    </x:row>
    <x:row r="890">
      <x:c r="A890" t="str">
        <x:v>DV-2024-00889</x:v>
      </x:c>
      <x:c r="B890" s="16" t="n">
        <x:v>45624</x:v>
      </x:c>
      <x:c r="C890" t="str">
        <x:v>Client 12</x:v>
      </x:c>
      <x:c r="D890" t="str">
        <x:v>Express</x:v>
      </x:c>
      <x:c r="E890" t="str">
        <x:v>Pôle E</x:v>
      </x:c>
      <x:c r="F890" s="18" t="n">
        <x:v>16292.49</x:v>
      </x:c>
      <x:c r="G890" s="18" t="n">
        <x:v>16292.49</x:v>
      </x:c>
      <x:c r="H890" t="str">
        <x:v>Client 12</x:v>
      </x:c>
      <x:c r="I890" s="16" t="n">
        <x:v>45707</x:v>
      </x:c>
      <x:c r="J890" t="n">
        <x:f>YEAR(B890)</x:f>
        <x:v>2024</x:v>
      </x:c>
      <x:c r="K890" s="20" t="n">
        <x:f>DATE(YEAR(B890),MONTH(B890),1)</x:f>
        <x:v>45597</x:v>
      </x:c>
      <x:c r="L890" s="18" t="n">
        <x:f>F890-G890</x:f>
        <x:v>0</x:v>
      </x:c>
      <x:c r="M890" t="str">
        <x:f>IF(L890&lt;=0,"Payée",IF(G890=0,"Impayée","Partielle"))</x:f>
        <x:v>Payée</x:v>
      </x:c>
      <x:c r="N890" t="n">
        <x:f>IF(I890="","",I890-B890)</x:f>
        <x:v>83</x:v>
      </x:c>
      <x:c r="O890" t="str">
        <x:f>IF(TRIM(C890)&lt;&gt;TRIM(H890),"Oui","Non")</x:f>
        <x:v>Non</x:v>
      </x:c>
      <x:c r="P890" t="str">
        <x:f>IFERROR(INDEX('02_REFERENTIEL_CLIENTS'!$B$2:$B$51,MATCH(TRIM(C890),'02_REFERENTIEL_CLIENTS'!$A$2:$A$51,0)),"Non trouvé")</x:f>
        <x:v>Particuliers</x:v>
      </x:c>
      <x:c r="Q890" t="str">
        <x:f>IFERROR(INDEX('02_REFERENTIEL_CLIENTS'!$C$2:$C$51,MATCH(TRIM(C890),'02_REFERENTIEL_CLIENTS'!$A$2:$A$51,0)),"Non trouvé")</x:f>
        <x:v>International</x:v>
      </x:c>
      <x:c r="R890" t="str">
        <x:f>IF(OR(F890&lt;=0,G890&lt;0,G890&gt;F890,N890&lt;0,P890="Non trouvé"),"À vérifier","OK")</x:f>
        <x:v>OK</x:v>
      </x:c>
    </x:row>
    <x:row r="891">
      <x:c r="A891" t="str">
        <x:v>DV-2024-00890</x:v>
      </x:c>
      <x:c r="B891" s="16" t="n">
        <x:v>45505</x:v>
      </x:c>
      <x:c r="C891" t="str">
        <x:v>Client 39</x:v>
      </x:c>
      <x:c r="D891" t="str">
        <x:v>Express</x:v>
      </x:c>
      <x:c r="E891" t="str">
        <x:v>Pôle E</x:v>
      </x:c>
      <x:c r="F891" s="18" t="n">
        <x:v>20597.84</x:v>
      </x:c>
      <x:c r="G891" s="18" t="n">
        <x:v>20597.84</x:v>
      </x:c>
      <x:c r="H891" t="str">
        <x:v>Client 39</x:v>
      </x:c>
      <x:c r="I891" s="16" t="n">
        <x:v>45572</x:v>
      </x:c>
      <x:c r="J891" t="n">
        <x:f>YEAR(B891)</x:f>
        <x:v>2024</x:v>
      </x:c>
      <x:c r="K891" s="20" t="n">
        <x:f>DATE(YEAR(B891),MONTH(B891),1)</x:f>
        <x:v>45505</x:v>
      </x:c>
      <x:c r="L891" s="18" t="n">
        <x:f>F891-G891</x:f>
        <x:v>0</x:v>
      </x:c>
      <x:c r="M891" t="str">
        <x:f>IF(L891&lt;=0,"Payée",IF(G891=0,"Impayée","Partielle"))</x:f>
        <x:v>Payée</x:v>
      </x:c>
      <x:c r="N891" t="n">
        <x:f>IF(I891="","",I891-B891)</x:f>
        <x:v>67</x:v>
      </x:c>
      <x:c r="O891" t="str">
        <x:f>IF(TRIM(C891)&lt;&gt;TRIM(H891),"Oui","Non")</x:f>
        <x:v>Non</x:v>
      </x:c>
      <x:c r="P891" t="str">
        <x:f>IFERROR(INDEX('02_REFERENTIEL_CLIENTS'!$B$2:$B$51,MATCH(TRIM(C891),'02_REFERENTIEL_CLIENTS'!$A$2:$A$51,0)),"Non trouvé")</x:f>
        <x:v>Particuliers</x:v>
      </x:c>
      <x:c r="Q891" t="str">
        <x:f>IFERROR(INDEX('02_REFERENTIEL_CLIENTS'!$C$2:$C$51,MATCH(TRIM(C891),'02_REFERENTIEL_CLIENTS'!$A$2:$A$51,0)),"Non trouvé")</x:f>
        <x:v>International</x:v>
      </x:c>
      <x:c r="R891" t="str">
        <x:f>IF(OR(F891&lt;=0,G891&lt;0,G891&gt;F891,N891&lt;0,P891="Non trouvé"),"À vérifier","OK")</x:f>
        <x:v>OK</x:v>
      </x:c>
    </x:row>
    <x:row r="892">
      <x:c r="A892" t="str">
        <x:v>DV-2024-00891</x:v>
      </x:c>
      <x:c r="B892" s="16" t="n">
        <x:v>45321</x:v>
      </x:c>
      <x:c r="C892" t="str">
        <x:v>Client 37</x:v>
      </x:c>
      <x:c r="D892" t="str">
        <x:v>Logistique</x:v>
      </x:c>
      <x:c r="E892" t="str">
        <x:v>Pôle E</x:v>
      </x:c>
      <x:c r="F892" s="18" t="n">
        <x:v>21543.41</x:v>
      </x:c>
      <x:c r="G892" s="18" t="n">
        <x:v>18427.03</x:v>
      </x:c>
      <x:c r="H892" t="str">
        <x:v>Client 37</x:v>
      </x:c>
      <x:c r="I892" s="16" t="n">
        <x:v>45359</x:v>
      </x:c>
      <x:c r="J892" t="n">
        <x:f>YEAR(B892)</x:f>
        <x:v>2024</x:v>
      </x:c>
      <x:c r="K892" s="20" t="n">
        <x:f>DATE(YEAR(B892),MONTH(B892),1)</x:f>
        <x:v>45292</x:v>
      </x:c>
      <x:c r="L892" s="18" t="n">
        <x:f>F892-G892</x:f>
        <x:v>3116.380000000001</x:v>
      </x:c>
      <x:c r="M892" t="str">
        <x:f>IF(L892&lt;=0,"Payée",IF(G892=0,"Impayée","Partielle"))</x:f>
        <x:v>Partielle</x:v>
      </x:c>
      <x:c r="N892" t="n">
        <x:f>IF(I892="","",I892-B892)</x:f>
        <x:v>38</x:v>
      </x:c>
      <x:c r="O892" t="str">
        <x:f>IF(TRIM(C892)&lt;&gt;TRIM(H892),"Oui","Non")</x:f>
        <x:v>Non</x:v>
      </x:c>
      <x:c r="P892" t="str">
        <x:f>IFERROR(INDEX('02_REFERENTIEL_CLIENTS'!$B$2:$B$51,MATCH(TRIM(C892),'02_REFERENTIEL_CLIENTS'!$A$2:$A$51,0)),"Non trouvé")</x:f>
        <x:v>Grands comptes</x:v>
      </x:c>
      <x:c r="Q892" t="str">
        <x:f>IFERROR(INDEX('02_REFERENTIEL_CLIENTS'!$C$2:$C$51,MATCH(TRIM(C892),'02_REFERENTIEL_CLIENTS'!$A$2:$A$51,0)),"Non trouvé")</x:f>
        <x:v>France</x:v>
      </x:c>
      <x:c r="R892" t="str">
        <x:f>IF(OR(F892&lt;=0,G892&lt;0,G892&gt;F892,N892&lt;0,P892="Non trouvé"),"À vérifier","OK")</x:f>
        <x:v>OK</x:v>
      </x:c>
    </x:row>
    <x:row r="893">
      <x:c r="A893" t="str">
        <x:v>DV-2025-00892</x:v>
      </x:c>
      <x:c r="B893" s="16" t="n">
        <x:v>45922</x:v>
      </x:c>
      <x:c r="C893" t="str">
        <x:v>Client 12</x:v>
      </x:c>
      <x:c r="D893" t="str">
        <x:v>Logistique</x:v>
      </x:c>
      <x:c r="E893" t="str">
        <x:v>Pôle D</x:v>
      </x:c>
      <x:c r="F893" s="18" t="n">
        <x:v>1763.39</x:v>
      </x:c>
      <x:c r="G893" s="18" t="n">
        <x:v>1763.39</x:v>
      </x:c>
      <x:c r="H893" t="str">
        <x:v>Client 12</x:v>
      </x:c>
      <x:c r="I893" s="16" t="n">
        <x:v>45961</x:v>
      </x:c>
      <x:c r="J893" t="n">
        <x:f>YEAR(B893)</x:f>
        <x:v>2025</x:v>
      </x:c>
      <x:c r="K893" s="20" t="n">
        <x:f>DATE(YEAR(B893),MONTH(B893),1)</x:f>
        <x:v>45901</x:v>
      </x:c>
      <x:c r="L893" s="18" t="n">
        <x:f>F893-G893</x:f>
        <x:v>0</x:v>
      </x:c>
      <x:c r="M893" t="str">
        <x:f>IF(L893&lt;=0,"Payée",IF(G893=0,"Impayée","Partielle"))</x:f>
        <x:v>Payée</x:v>
      </x:c>
      <x:c r="N893" t="n">
        <x:f>IF(I893="","",I893-B893)</x:f>
        <x:v>39</x:v>
      </x:c>
      <x:c r="O893" t="str">
        <x:f>IF(TRIM(C893)&lt;&gt;TRIM(H893),"Oui","Non")</x:f>
        <x:v>Non</x:v>
      </x:c>
      <x:c r="P893" t="str">
        <x:f>IFERROR(INDEX('02_REFERENTIEL_CLIENTS'!$B$2:$B$51,MATCH(TRIM(C893),'02_REFERENTIEL_CLIENTS'!$A$2:$A$51,0)),"Non trouvé")</x:f>
        <x:v>Particuliers</x:v>
      </x:c>
      <x:c r="Q893" t="str">
        <x:f>IFERROR(INDEX('02_REFERENTIEL_CLIENTS'!$C$2:$C$51,MATCH(TRIM(C893),'02_REFERENTIEL_CLIENTS'!$A$2:$A$51,0)),"Non trouvé")</x:f>
        <x:v>International</x:v>
      </x:c>
      <x:c r="R893" t="str">
        <x:f>IF(OR(F893&lt;=0,G893&lt;0,G893&gt;F893,N893&lt;0,P893="Non trouvé"),"À vérifier","OK")</x:f>
        <x:v>OK</x:v>
      </x:c>
    </x:row>
    <x:row r="894">
      <x:c r="A894" t="str">
        <x:v>DV-2025-00893</x:v>
      </x:c>
      <x:c r="B894" s="16" t="n">
        <x:v>45965</x:v>
      </x:c>
      <x:c r="C894" t="str">
        <x:v>Client 44</x:v>
      </x:c>
      <x:c r="D894" t="str">
        <x:v>Logistique</x:v>
      </x:c>
      <x:c r="E894" t="str">
        <x:v>Pôle B</x:v>
      </x:c>
      <x:c r="F894" s="18" t="n">
        <x:v>5048.67</x:v>
      </x:c>
      <x:c r="G894" s="18" t="n">
        <x:v>0</x:v>
      </x:c>
      <x:c r="H894" t="str">
        <x:v>Client 44</x:v>
      </x:c>
      <x:c r="I894" s="16"/>
      <x:c r="J894" t="n">
        <x:f>YEAR(B894)</x:f>
        <x:v>2025</x:v>
      </x:c>
      <x:c r="K894" s="20" t="n">
        <x:f>DATE(YEAR(B894),MONTH(B894),1)</x:f>
        <x:v>45962</x:v>
      </x:c>
      <x:c r="L894" s="18" t="n">
        <x:f>F894-G894</x:f>
        <x:v>5048.67</x:v>
      </x:c>
      <x:c r="M894" t="str">
        <x:f>IF(L894&lt;=0,"Payée",IF(G894=0,"Impayée","Partielle"))</x:f>
        <x:v>Impayée</x:v>
      </x:c>
      <x:c r="N894" t="str">
        <x:f>IF(I894="","",I894-B894)</x:f>
      </x:c>
      <x:c r="O894" t="str">
        <x:f>IF(TRIM(C894)&lt;&gt;TRIM(H894),"Oui","Non")</x:f>
        <x:v>Non</x:v>
      </x:c>
      <x:c r="P894" t="str">
        <x:f>IFERROR(INDEX('02_REFERENTIEL_CLIENTS'!$B$2:$B$51,MATCH(TRIM(C894),'02_REFERENTIEL_CLIENTS'!$A$2:$A$51,0)),"Non trouvé")</x:f>
        <x:v>PME</x:v>
      </x:c>
      <x:c r="Q894" t="str">
        <x:f>IFERROR(INDEX('02_REFERENTIEL_CLIENTS'!$C$2:$C$51,MATCH(TRIM(C894),'02_REFERENTIEL_CLIENTS'!$A$2:$A$51,0)),"Non trouvé")</x:f>
        <x:v>Europe</x:v>
      </x:c>
      <x:c r="R894" t="str">
        <x:f>IF(OR(F894&lt;=0,G894&lt;0,G894&gt;F894,N894&lt;0,P894="Non trouvé"),"À vérifier","OK")</x:f>
        <x:v>OK</x:v>
      </x:c>
    </x:row>
    <x:row r="895">
      <x:c r="A895" t="str">
        <x:v>DV-2026-00894</x:v>
      </x:c>
      <x:c r="B895" s="16" t="n">
        <x:v>46180</x:v>
      </x:c>
      <x:c r="C895" t="str">
        <x:v>Client 47</x:v>
      </x:c>
      <x:c r="D895" t="str">
        <x:v>Express</x:v>
      </x:c>
      <x:c r="E895" t="str">
        <x:v>Pôle C</x:v>
      </x:c>
      <x:c r="F895" s="18" t="n">
        <x:v>3203.35</x:v>
      </x:c>
      <x:c r="G895" s="18" t="n">
        <x:v>2177.23</x:v>
      </x:c>
      <x:c r="H895" t="str">
        <x:v>Client 47</x:v>
      </x:c>
      <x:c r="I895" s="16" t="n">
        <x:v>46222</x:v>
      </x:c>
      <x:c r="J895" t="n">
        <x:f>YEAR(B895)</x:f>
        <x:v>2026</x:v>
      </x:c>
      <x:c r="K895" s="20" t="n">
        <x:f>DATE(YEAR(B895),MONTH(B895),1)</x:f>
        <x:v>46174</x:v>
      </x:c>
      <x:c r="L895" s="18" t="n">
        <x:f>F895-G895</x:f>
        <x:v>1026.12</x:v>
      </x:c>
      <x:c r="M895" t="str">
        <x:f>IF(L895&lt;=0,"Payée",IF(G895=0,"Impayée","Partielle"))</x:f>
        <x:v>Partielle</x:v>
      </x:c>
      <x:c r="N895" t="n">
        <x:f>IF(I895="","",I895-B895)</x:f>
        <x:v>42</x:v>
      </x:c>
      <x:c r="O895" t="str">
        <x:f>IF(TRIM(C895)&lt;&gt;TRIM(H895),"Oui","Non")</x:f>
        <x:v>Non</x:v>
      </x:c>
      <x:c r="P895" t="str">
        <x:f>IFERROR(INDEX('02_REFERENTIEL_CLIENTS'!$B$2:$B$51,MATCH(TRIM(C895),'02_REFERENTIEL_CLIENTS'!$A$2:$A$51,0)),"Non trouvé")</x:f>
        <x:v>PME</x:v>
      </x:c>
      <x:c r="Q895" t="str">
        <x:f>IFERROR(INDEX('02_REFERENTIEL_CLIENTS'!$C$2:$C$51,MATCH(TRIM(C895),'02_REFERENTIEL_CLIENTS'!$A$2:$A$51,0)),"Non trouvé")</x:f>
        <x:v>Europe</x:v>
      </x:c>
      <x:c r="R895" t="str">
        <x:f>IF(OR(F895&lt;=0,G895&lt;0,G895&gt;F895,N895&lt;0,P895="Non trouvé"),"À vérifier","OK")</x:f>
        <x:v>OK</x:v>
      </x:c>
    </x:row>
    <x:row r="896">
      <x:c r="A896" t="str">
        <x:v>DV-2025-00895</x:v>
      </x:c>
      <x:c r="B896" s="16" t="n">
        <x:v>45774</x:v>
      </x:c>
      <x:c r="C896" t="str">
        <x:v>Client 08</x:v>
      </x:c>
      <x:c r="D896" t="str">
        <x:v>Fret aérien</x:v>
      </x:c>
      <x:c r="E896" t="str">
        <x:v>Pôle C</x:v>
      </x:c>
      <x:c r="F896" s="18" t="n">
        <x:v>14721.88</x:v>
      </x:c>
      <x:c r="G896" s="18" t="n">
        <x:v>14721.88</x:v>
      </x:c>
      <x:c r="H896" t="str">
        <x:v>Client 08</x:v>
      </x:c>
      <x:c r="I896" s="16" t="n">
        <x:v>45837</x:v>
      </x:c>
      <x:c r="J896" t="n">
        <x:f>YEAR(B896)</x:f>
        <x:v>2025</x:v>
      </x:c>
      <x:c r="K896" s="20" t="n">
        <x:f>DATE(YEAR(B896),MONTH(B896),1)</x:f>
        <x:v>45748</x:v>
      </x:c>
      <x:c r="L896" s="18" t="n">
        <x:f>F896-G896</x:f>
        <x:v>0</x:v>
      </x:c>
      <x:c r="M896" t="str">
        <x:f>IF(L896&lt;=0,"Payée",IF(G896=0,"Impayée","Partielle"))</x:f>
        <x:v>Payée</x:v>
      </x:c>
      <x:c r="N896" t="n">
        <x:f>IF(I896="","",I896-B896)</x:f>
        <x:v>63</x:v>
      </x:c>
      <x:c r="O896" t="str">
        <x:f>IF(TRIM(C896)&lt;&gt;TRIM(H896),"Oui","Non")</x:f>
        <x:v>Non</x:v>
      </x:c>
      <x:c r="P896" t="str">
        <x:f>IFERROR(INDEX('02_REFERENTIEL_CLIENTS'!$B$2:$B$51,MATCH(TRIM(C896),'02_REFERENTIEL_CLIENTS'!$A$2:$A$51,0)),"Non trouvé")</x:f>
        <x:v>PME</x:v>
      </x:c>
      <x:c r="Q896" t="str">
        <x:f>IFERROR(INDEX('02_REFERENTIEL_CLIENTS'!$C$2:$C$51,MATCH(TRIM(C896),'02_REFERENTIEL_CLIENTS'!$A$2:$A$51,0)),"Non trouvé")</x:f>
        <x:v>Europe</x:v>
      </x:c>
      <x:c r="R896" t="str">
        <x:f>IF(OR(F896&lt;=0,G896&lt;0,G896&gt;F896,N896&lt;0,P896="Non trouvé"),"À vérifier","OK")</x:f>
        <x:v>OK</x:v>
      </x:c>
    </x:row>
    <x:row r="897">
      <x:c r="A897" t="str">
        <x:v>DV-2025-00896</x:v>
      </x:c>
      <x:c r="B897" s="16" t="n">
        <x:v>45733</x:v>
      </x:c>
      <x:c r="C897" t="str">
        <x:v>Client 29</x:v>
      </x:c>
      <x:c r="D897" t="str">
        <x:v>Express</x:v>
      </x:c>
      <x:c r="E897" t="str">
        <x:v>Pôle E</x:v>
      </x:c>
      <x:c r="F897" s="18" t="n">
        <x:v>18666.33</x:v>
      </x:c>
      <x:c r="G897" s="18" t="n">
        <x:v>0</x:v>
      </x:c>
      <x:c r="H897" t="str">
        <x:v>Client 29</x:v>
      </x:c>
      <x:c r="I897" s="16"/>
      <x:c r="J897" t="n">
        <x:f>YEAR(B897)</x:f>
        <x:v>2025</x:v>
      </x:c>
      <x:c r="K897" s="20" t="n">
        <x:f>DATE(YEAR(B897),MONTH(B897),1)</x:f>
        <x:v>45717</x:v>
      </x:c>
      <x:c r="L897" s="18" t="n">
        <x:f>F897-G897</x:f>
        <x:v>18666.33</x:v>
      </x:c>
      <x:c r="M897" t="str">
        <x:f>IF(L897&lt;=0,"Payée",IF(G897=0,"Impayée","Partielle"))</x:f>
        <x:v>Impayée</x:v>
      </x:c>
      <x:c r="N897" t="str">
        <x:f>IF(I897="","",I897-B897)</x:f>
      </x:c>
      <x:c r="O897" t="str">
        <x:f>IF(TRIM(C897)&lt;&gt;TRIM(H897),"Oui","Non")</x:f>
        <x:v>Non</x:v>
      </x:c>
      <x:c r="P897" t="str">
        <x:f>IFERROR(INDEX('02_REFERENTIEL_CLIENTS'!$B$2:$B$51,MATCH(TRIM(C897),'02_REFERENTIEL_CLIENTS'!$A$2:$A$51,0)),"Non trouvé")</x:f>
        <x:v>PME</x:v>
      </x:c>
      <x:c r="Q897" t="str">
        <x:f>IFERROR(INDEX('02_REFERENTIEL_CLIENTS'!$C$2:$C$51,MATCH(TRIM(C897),'02_REFERENTIEL_CLIENTS'!$A$2:$A$51,0)),"Non trouvé")</x:f>
        <x:v>Europe</x:v>
      </x:c>
      <x:c r="R897" t="str">
        <x:f>IF(OR(F897&lt;=0,G897&lt;0,G897&gt;F897,N897&lt;0,P897="Non trouvé"),"À vérifier","OK")</x:f>
        <x:v>OK</x:v>
      </x:c>
    </x:row>
    <x:row r="898">
      <x:c r="A898" t="str">
        <x:v>DV-2024-00897</x:v>
      </x:c>
      <x:c r="B898" s="16" t="n">
        <x:v>45579</x:v>
      </x:c>
      <x:c r="C898" t="str">
        <x:v>Client 40</x:v>
      </x:c>
      <x:c r="D898" t="str">
        <x:v>Douane</x:v>
      </x:c>
      <x:c r="E898" t="str">
        <x:v>Pôle A</x:v>
      </x:c>
      <x:c r="F898" s="18" t="n">
        <x:v>2056.92</x:v>
      </x:c>
      <x:c r="G898" s="18" t="n">
        <x:v>2056.92</x:v>
      </x:c>
      <x:c r="H898" t="str">
        <x:v>Client 40</x:v>
      </x:c>
      <x:c r="I898" s="16" t="n">
        <x:v>45594</x:v>
      </x:c>
      <x:c r="J898" t="n">
        <x:f>YEAR(B898)</x:f>
        <x:v>2024</x:v>
      </x:c>
      <x:c r="K898" s="20" t="n">
        <x:f>DATE(YEAR(B898),MONTH(B898),1)</x:f>
        <x:v>45566</x:v>
      </x:c>
      <x:c r="L898" s="18" t="n">
        <x:f>F898-G898</x:f>
        <x:v>0</x:v>
      </x:c>
      <x:c r="M898" t="str">
        <x:f>IF(L898&lt;=0,"Payée",IF(G898=0,"Impayée","Partielle"))</x:f>
        <x:v>Payée</x:v>
      </x:c>
      <x:c r="N898" t="n">
        <x:f>IF(I898="","",I898-B898)</x:f>
        <x:v>15</x:v>
      </x:c>
      <x:c r="O898" t="str">
        <x:f>IF(TRIM(C898)&lt;&gt;TRIM(H898),"Oui","Non")</x:f>
        <x:v>Non</x:v>
      </x:c>
      <x:c r="P898" t="str">
        <x:f>IFERROR(INDEX('02_REFERENTIEL_CLIENTS'!$B$2:$B$51,MATCH(TRIM(C898),'02_REFERENTIEL_CLIENTS'!$A$2:$A$51,0)),"Non trouvé")</x:f>
        <x:v>Grands comptes</x:v>
      </x:c>
      <x:c r="Q898" t="str">
        <x:f>IFERROR(INDEX('02_REFERENTIEL_CLIENTS'!$C$2:$C$51,MATCH(TRIM(C898),'02_REFERENTIEL_CLIENTS'!$A$2:$A$51,0)),"Non trouvé")</x:f>
        <x:v>France</x:v>
      </x:c>
      <x:c r="R898" t="str">
        <x:f>IF(OR(F898&lt;=0,G898&lt;0,G898&gt;F898,N898&lt;0,P898="Non trouvé"),"À vérifier","OK")</x:f>
        <x:v>OK</x:v>
      </x:c>
    </x:row>
    <x:row r="899">
      <x:c r="A899" t="str">
        <x:v>DV-2024-00898</x:v>
      </x:c>
      <x:c r="B899" s="16" t="n">
        <x:v>45572</x:v>
      </x:c>
      <x:c r="C899" t="str">
        <x:v>Client 05</x:v>
      </x:c>
      <x:c r="D899" t="str">
        <x:v>Douane</x:v>
      </x:c>
      <x:c r="E899" t="str">
        <x:v>Pôle C</x:v>
      </x:c>
      <x:c r="F899" s="18" t="n">
        <x:v>7314.6</x:v>
      </x:c>
      <x:c r="G899" s="18" t="n">
        <x:v>2603.79</x:v>
      </x:c>
      <x:c r="H899" t="str">
        <x:v>Client 05</x:v>
      </x:c>
      <x:c r="I899" s="16" t="n">
        <x:v>45584</x:v>
      </x:c>
      <x:c r="J899" t="n">
        <x:f>YEAR(B899)</x:f>
        <x:v>2024</x:v>
      </x:c>
      <x:c r="K899" s="20" t="n">
        <x:f>DATE(YEAR(B899),MONTH(B899),1)</x:f>
        <x:v>45566</x:v>
      </x:c>
      <x:c r="L899" s="18" t="n">
        <x:f>F899-G899</x:f>
        <x:v>4710.81</x:v>
      </x:c>
      <x:c r="M899" t="str">
        <x:f>IF(L899&lt;=0,"Payée",IF(G899=0,"Impayée","Partielle"))</x:f>
        <x:v>Partielle</x:v>
      </x:c>
      <x:c r="N899" t="n">
        <x:f>IF(I899="","",I899-B899)</x:f>
        <x:v>12</x:v>
      </x:c>
      <x:c r="O899" t="str">
        <x:f>IF(TRIM(C899)&lt;&gt;TRIM(H899),"Oui","Non")</x:f>
        <x:v>Non</x:v>
      </x:c>
      <x:c r="P899" t="str">
        <x:f>IFERROR(INDEX('02_REFERENTIEL_CLIENTS'!$B$2:$B$51,MATCH(TRIM(C899),'02_REFERENTIEL_CLIENTS'!$A$2:$A$51,0)),"Non trouvé")</x:f>
        <x:v>PME</x:v>
      </x:c>
      <x:c r="Q899" t="str">
        <x:f>IFERROR(INDEX('02_REFERENTIEL_CLIENTS'!$C$2:$C$51,MATCH(TRIM(C899),'02_REFERENTIEL_CLIENTS'!$A$2:$A$51,0)),"Non trouvé")</x:f>
        <x:v>Europe</x:v>
      </x:c>
      <x:c r="R899" t="str">
        <x:f>IF(OR(F899&lt;=0,G899&lt;0,G899&gt;F899,N899&lt;0,P899="Non trouvé"),"À vérifier","OK")</x:f>
        <x:v>OK</x:v>
      </x:c>
    </x:row>
    <x:row r="900">
      <x:c r="A900" t="str">
        <x:v>DV-2025-00899</x:v>
      </x:c>
      <x:c r="B900" s="16" t="n">
        <x:v>45941</x:v>
      </x:c>
      <x:c r="C900" t="str">
        <x:v>Client 02</x:v>
      </x:c>
      <x:c r="D900" t="str">
        <x:v>Express</x:v>
      </x:c>
      <x:c r="E900" t="str">
        <x:v>Pôle D</x:v>
      </x:c>
      <x:c r="F900" s="18" t="n">
        <x:v>338.11</x:v>
      </x:c>
      <x:c r="G900" s="18" t="n">
        <x:v>247.32</x:v>
      </x:c>
      <x:c r="H900" t="str">
        <x:v>Client 02</x:v>
      </x:c>
      <x:c r="I900" s="16" t="n">
        <x:v>46028</x:v>
      </x:c>
      <x:c r="J900" t="n">
        <x:f>YEAR(B900)</x:f>
        <x:v>2025</x:v>
      </x:c>
      <x:c r="K900" s="20" t="n">
        <x:f>DATE(YEAR(B900),MONTH(B900),1)</x:f>
        <x:v>45931</x:v>
      </x:c>
      <x:c r="L900" s="18" t="n">
        <x:f>F900-G900</x:f>
        <x:v>90.79000000000002</x:v>
      </x:c>
      <x:c r="M900" t="str">
        <x:f>IF(L900&lt;=0,"Payée",IF(G900=0,"Impayée","Partielle"))</x:f>
        <x:v>Partielle</x:v>
      </x:c>
      <x:c r="N900" t="n">
        <x:f>IF(I900="","",I900-B900)</x:f>
        <x:v>87</x:v>
      </x:c>
      <x:c r="O900" t="str">
        <x:f>IF(TRIM(C900)&lt;&gt;TRIM(H900),"Oui","Non")</x:f>
        <x:v>Non</x:v>
      </x:c>
      <x:c r="P900" t="str">
        <x:f>IFERROR(INDEX('02_REFERENTIEL_CLIENTS'!$B$2:$B$51,MATCH(TRIM(C900),'02_REFERENTIEL_CLIENTS'!$A$2:$A$51,0)),"Non trouvé")</x:f>
        <x:v>PME</x:v>
      </x:c>
      <x:c r="Q900" t="str">
        <x:f>IFERROR(INDEX('02_REFERENTIEL_CLIENTS'!$C$2:$C$51,MATCH(TRIM(C900),'02_REFERENTIEL_CLIENTS'!$A$2:$A$51,0)),"Non trouvé")</x:f>
        <x:v>Europe</x:v>
      </x:c>
      <x:c r="R900" t="str">
        <x:f>IF(OR(F900&lt;=0,G900&lt;0,G900&gt;F900,N900&lt;0,P900="Non trouvé"),"À vérifier","OK")</x:f>
        <x:v>OK</x:v>
      </x:c>
    </x:row>
    <x:row r="901">
      <x:c r="A901" t="str">
        <x:v>DV-2026-00900</x:v>
      </x:c>
      <x:c r="B901" s="16" t="n">
        <x:v>46239</x:v>
      </x:c>
      <x:c r="C901" t="str">
        <x:v>Client 01</x:v>
      </x:c>
      <x:c r="D901" t="str">
        <x:v>Fret aérien</x:v>
      </x:c>
      <x:c r="E901" t="str">
        <x:v>Pôle D</x:v>
      </x:c>
      <x:c r="F901" s="18" t="n">
        <x:v>23608.93</x:v>
      </x:c>
      <x:c r="G901" s="18" t="n">
        <x:v>23608.93</x:v>
      </x:c>
      <x:c r="H901" t="str">
        <x:v>Client 01</x:v>
      </x:c>
      <x:c r="I901" s="16" t="n">
        <x:v>46308</x:v>
      </x:c>
      <x:c r="J901" t="n">
        <x:f>YEAR(B901)</x:f>
        <x:v>2026</x:v>
      </x:c>
      <x:c r="K901" s="20" t="n">
        <x:f>DATE(YEAR(B901),MONTH(B901),1)</x:f>
        <x:v>46235</x:v>
      </x:c>
      <x:c r="L901" s="18" t="n">
        <x:f>F901-G901</x:f>
        <x:v>0</x:v>
      </x:c>
      <x:c r="M901" t="str">
        <x:f>IF(L901&lt;=0,"Payée",IF(G901=0,"Impayée","Partielle"))</x:f>
        <x:v>Payée</x:v>
      </x:c>
      <x:c r="N901" t="n">
        <x:f>IF(I901="","",I901-B901)</x:f>
        <x:v>69</x:v>
      </x:c>
      <x:c r="O901" t="str">
        <x:f>IF(TRIM(C901)&lt;&gt;TRIM(H901),"Oui","Non")</x:f>
        <x:v>Non</x:v>
      </x:c>
      <x:c r="P901" t="str">
        <x:f>IFERROR(INDEX('02_REFERENTIEL_CLIENTS'!$B$2:$B$51,MATCH(TRIM(C901),'02_REFERENTIEL_CLIENTS'!$A$2:$A$51,0)),"Non trouvé")</x:f>
        <x:v>Grands comptes</x:v>
      </x:c>
      <x:c r="Q901" t="str">
        <x:f>IFERROR(INDEX('02_REFERENTIEL_CLIENTS'!$C$2:$C$51,MATCH(TRIM(C901),'02_REFERENTIEL_CLIENTS'!$A$2:$A$51,0)),"Non trouvé")</x:f>
        <x:v>France</x:v>
      </x:c>
      <x:c r="R901" t="str">
        <x:f>IF(OR(F901&lt;=0,G901&lt;0,G901&gt;F901,N901&lt;0,P901="Non trouvé"),"À vérifier","OK")</x:f>
        <x:v>OK</x:v>
      </x:c>
    </x:row>
    <x:row r="902">
      <x:c r="A902" t="str">
        <x:v>DV-2024-00901</x:v>
      </x:c>
      <x:c r="B902" s="16" t="n">
        <x:v>45362</x:v>
      </x:c>
      <x:c r="C902" t="str">
        <x:v>Client 38</x:v>
      </x:c>
      <x:c r="D902" t="str">
        <x:v>Express</x:v>
      </x:c>
      <x:c r="E902" t="str">
        <x:v>Pôle C</x:v>
      </x:c>
      <x:c r="F902" s="18" t="n">
        <x:v>5775.64</x:v>
      </x:c>
      <x:c r="G902" s="18" t="n">
        <x:v>2473.14</x:v>
      </x:c>
      <x:c r="H902" t="str">
        <x:v>Client 38</x:v>
      </x:c>
      <x:c r="I902" s="16" t="n">
        <x:v>45447</x:v>
      </x:c>
      <x:c r="J902" t="n">
        <x:f>YEAR(B902)</x:f>
        <x:v>2024</x:v>
      </x:c>
      <x:c r="K902" s="20" t="n">
        <x:f>DATE(YEAR(B902),MONTH(B902),1)</x:f>
        <x:v>45352</x:v>
      </x:c>
      <x:c r="L902" s="18" t="n">
        <x:f>F902-G902</x:f>
        <x:v>3302.5000000000005</x:v>
      </x:c>
      <x:c r="M902" t="str">
        <x:f>IF(L902&lt;=0,"Payée",IF(G902=0,"Impayée","Partielle"))</x:f>
        <x:v>Partielle</x:v>
      </x:c>
      <x:c r="N902" t="n">
        <x:f>IF(I902="","",I902-B902)</x:f>
        <x:v>85</x:v>
      </x:c>
      <x:c r="O902" t="str">
        <x:f>IF(TRIM(C902)&lt;&gt;TRIM(H902),"Oui","Non")</x:f>
        <x:v>Non</x:v>
      </x:c>
      <x:c r="P902" t="str">
        <x:f>IFERROR(INDEX('02_REFERENTIEL_CLIENTS'!$B$2:$B$51,MATCH(TRIM(C902),'02_REFERENTIEL_CLIENTS'!$A$2:$A$51,0)),"Non trouvé")</x:f>
        <x:v>PME</x:v>
      </x:c>
      <x:c r="Q902" t="str">
        <x:f>IFERROR(INDEX('02_REFERENTIEL_CLIENTS'!$C$2:$C$51,MATCH(TRIM(C902),'02_REFERENTIEL_CLIENTS'!$A$2:$A$51,0)),"Non trouvé")</x:f>
        <x:v>Europe</x:v>
      </x:c>
      <x:c r="R902" t="str">
        <x:f>IF(OR(F902&lt;=0,G902&lt;0,G902&gt;F902,N902&lt;0,P902="Non trouvé"),"À vérifier","OK")</x:f>
        <x:v>OK</x:v>
      </x:c>
    </x:row>
    <x:row r="903">
      <x:c r="A903" t="str">
        <x:v>DV-2024-00902</x:v>
      </x:c>
      <x:c r="B903" s="16" t="n">
        <x:v>45414</x:v>
      </x:c>
      <x:c r="C903" t="str">
        <x:v>Client 01</x:v>
      </x:c>
      <x:c r="D903" t="str">
        <x:v>Fret maritime</x:v>
      </x:c>
      <x:c r="E903" t="str">
        <x:v>Pôle D</x:v>
      </x:c>
      <x:c r="F903" s="18" t="n">
        <x:v>24801.33</x:v>
      </x:c>
      <x:c r="G903" s="18" t="n">
        <x:v>24801.33</x:v>
      </x:c>
      <x:c r="H903" t="str">
        <x:v>Client 15</x:v>
      </x:c>
      <x:c r="I903" s="16" t="n">
        <x:v>45475</x:v>
      </x:c>
      <x:c r="J903" t="n">
        <x:f>YEAR(B903)</x:f>
        <x:v>2024</x:v>
      </x:c>
      <x:c r="K903" s="20" t="n">
        <x:f>DATE(YEAR(B903),MONTH(B903),1)</x:f>
        <x:v>45413</x:v>
      </x:c>
      <x:c r="L903" s="18" t="n">
        <x:f>F903-G903</x:f>
        <x:v>0</x:v>
      </x:c>
      <x:c r="M903" t="str">
        <x:f>IF(L903&lt;=0,"Payée",IF(G903=0,"Impayée","Partielle"))</x:f>
        <x:v>Payée</x:v>
      </x:c>
      <x:c r="N903" t="n">
        <x:f>IF(I903="","",I903-B903)</x:f>
        <x:v>61</x:v>
      </x:c>
      <x:c r="O903" t="str">
        <x:f>IF(TRIM(C903)&lt;&gt;TRIM(H903),"Oui","Non")</x:f>
        <x:v>Oui</x:v>
      </x:c>
      <x:c r="P903" t="str">
        <x:f>IFERROR(INDEX('02_REFERENTIEL_CLIENTS'!$B$2:$B$51,MATCH(TRIM(C903),'02_REFERENTIEL_CLIENTS'!$A$2:$A$51,0)),"Non trouvé")</x:f>
        <x:v>Grands comptes</x:v>
      </x:c>
      <x:c r="Q903" t="str">
        <x:f>IFERROR(INDEX('02_REFERENTIEL_CLIENTS'!$C$2:$C$51,MATCH(TRIM(C903),'02_REFERENTIEL_CLIENTS'!$A$2:$A$51,0)),"Non trouvé")</x:f>
        <x:v>France</x:v>
      </x:c>
      <x:c r="R903" t="str">
        <x:f>IF(OR(F903&lt;=0,G903&lt;0,G903&gt;F903,N903&lt;0,P903="Non trouvé"),"À vérifier","OK")</x:f>
        <x:v>OK</x:v>
      </x:c>
    </x:row>
    <x:row r="904">
      <x:c r="A904" t="str">
        <x:v>DV-2026-00903</x:v>
      </x:c>
      <x:c r="B904" s="16" t="n">
        <x:v>46235</x:v>
      </x:c>
      <x:c r="C904" t="str">
        <x:v>Client 30</x:v>
      </x:c>
      <x:c r="D904" t="str">
        <x:v>Logistique</x:v>
      </x:c>
      <x:c r="E904" t="str">
        <x:v>Pôle C</x:v>
      </x:c>
      <x:c r="F904" s="18" t="n">
        <x:v>11769.52</x:v>
      </x:c>
      <x:c r="G904" s="18" t="n">
        <x:v>11769.52</x:v>
      </x:c>
      <x:c r="H904" t="str">
        <x:v>Client 35</x:v>
      </x:c>
      <x:c r="I904" s="16" t="n">
        <x:v>46327</x:v>
      </x:c>
      <x:c r="J904" t="n">
        <x:f>YEAR(B904)</x:f>
        <x:v>2026</x:v>
      </x:c>
      <x:c r="K904" s="20" t="n">
        <x:f>DATE(YEAR(B904),MONTH(B904),1)</x:f>
        <x:v>46235</x:v>
      </x:c>
      <x:c r="L904" s="18" t="n">
        <x:f>F904-G904</x:f>
        <x:v>0</x:v>
      </x:c>
      <x:c r="M904" t="str">
        <x:f>IF(L904&lt;=0,"Payée",IF(G904=0,"Impayée","Partielle"))</x:f>
        <x:v>Payée</x:v>
      </x:c>
      <x:c r="N904" t="n">
        <x:f>IF(I904="","",I904-B904)</x:f>
        <x:v>92</x:v>
      </x:c>
      <x:c r="O904" t="str">
        <x:f>IF(TRIM(C904)&lt;&gt;TRIM(H904),"Oui","Non")</x:f>
        <x:v>Oui</x:v>
      </x:c>
      <x:c r="P904" t="str">
        <x:f>IFERROR(INDEX('02_REFERENTIEL_CLIENTS'!$B$2:$B$51,MATCH(TRIM(C904),'02_REFERENTIEL_CLIENTS'!$A$2:$A$51,0)),"Non trouvé")</x:f>
        <x:v>Particuliers</x:v>
      </x:c>
      <x:c r="Q904" t="str">
        <x:f>IFERROR(INDEX('02_REFERENTIEL_CLIENTS'!$C$2:$C$51,MATCH(TRIM(C904),'02_REFERENTIEL_CLIENTS'!$A$2:$A$51,0)),"Non trouvé")</x:f>
        <x:v>International</x:v>
      </x:c>
      <x:c r="R904" t="str">
        <x:f>IF(OR(F904&lt;=0,G904&lt;0,G904&gt;F904,N904&lt;0,P904="Non trouvé"),"À vérifier","OK")</x:f>
        <x:v>OK</x:v>
      </x:c>
    </x:row>
    <x:row r="905">
      <x:c r="A905" t="str">
        <x:v>DV-2026-00904</x:v>
      </x:c>
      <x:c r="B905" s="16" t="n">
        <x:v>46054</x:v>
      </x:c>
      <x:c r="C905" t="str">
        <x:v>Client 09</x:v>
      </x:c>
      <x:c r="D905" t="str">
        <x:v>Douane</x:v>
      </x:c>
      <x:c r="E905" t="str">
        <x:v>Pôle B</x:v>
      </x:c>
      <x:c r="F905" s="18" t="n">
        <x:v>18471.97</x:v>
      </x:c>
      <x:c r="G905" s="18" t="n">
        <x:v>18471.97</x:v>
      </x:c>
      <x:c r="H905" t="str">
        <x:v>Client 09</x:v>
      </x:c>
      <x:c r="I905" s="16" t="n">
        <x:v>46144</x:v>
      </x:c>
      <x:c r="J905" t="n">
        <x:f>YEAR(B905)</x:f>
        <x:v>2026</x:v>
      </x:c>
      <x:c r="K905" s="20" t="n">
        <x:f>DATE(YEAR(B905),MONTH(B905),1)</x:f>
        <x:v>46054</x:v>
      </x:c>
      <x:c r="L905" s="18" t="n">
        <x:f>F905-G905</x:f>
        <x:v>0</x:v>
      </x:c>
      <x:c r="M905" t="str">
        <x:f>IF(L905&lt;=0,"Payée",IF(G905=0,"Impayée","Partielle"))</x:f>
        <x:v>Payée</x:v>
      </x:c>
      <x:c r="N905" t="n">
        <x:f>IF(I905="","",I905-B905)</x:f>
        <x:v>90</x:v>
      </x:c>
      <x:c r="O905" t="str">
        <x:f>IF(TRIM(C905)&lt;&gt;TRIM(H905),"Oui","Non")</x:f>
        <x:v>Non</x:v>
      </x:c>
      <x:c r="P905" t="str">
        <x:f>IFERROR(INDEX('02_REFERENTIEL_CLIENTS'!$B$2:$B$51,MATCH(TRIM(C905),'02_REFERENTIEL_CLIENTS'!$A$2:$A$51,0)),"Non trouvé")</x:f>
        <x:v>Particuliers</x:v>
      </x:c>
      <x:c r="Q905" t="str">
        <x:f>IFERROR(INDEX('02_REFERENTIEL_CLIENTS'!$C$2:$C$51,MATCH(TRIM(C905),'02_REFERENTIEL_CLIENTS'!$A$2:$A$51,0)),"Non trouvé")</x:f>
        <x:v>International</x:v>
      </x:c>
      <x:c r="R905" t="str">
        <x:f>IF(OR(F905&lt;=0,G905&lt;0,G905&gt;F905,N905&lt;0,P905="Non trouvé"),"À vérifier","OK")</x:f>
        <x:v>OK</x:v>
      </x:c>
    </x:row>
    <x:row r="906">
      <x:c r="A906" t="str">
        <x:v>DV-2024-00905</x:v>
      </x:c>
      <x:c r="B906" s="16" t="n">
        <x:v>45358</x:v>
      </x:c>
      <x:c r="C906" t="str">
        <x:v>Client 45</x:v>
      </x:c>
      <x:c r="D906" t="str">
        <x:v>Logistique</x:v>
      </x:c>
      <x:c r="E906" t="str">
        <x:v>Pôle E</x:v>
      </x:c>
      <x:c r="F906" s="18" t="n">
        <x:v>14849.94</x:v>
      </x:c>
      <x:c r="G906" s="18" t="n">
        <x:v>14849.94</x:v>
      </x:c>
      <x:c r="H906" t="str">
        <x:v>Client 45</x:v>
      </x:c>
      <x:c r="I906" s="16" t="n">
        <x:v>45433</x:v>
      </x:c>
      <x:c r="J906" t="n">
        <x:f>YEAR(B906)</x:f>
        <x:v>2024</x:v>
      </x:c>
      <x:c r="K906" s="20" t="n">
        <x:f>DATE(YEAR(B906),MONTH(B906),1)</x:f>
        <x:v>45352</x:v>
      </x:c>
      <x:c r="L906" s="18" t="n">
        <x:f>F906-G906</x:f>
        <x:v>0</x:v>
      </x:c>
      <x:c r="M906" t="str">
        <x:f>IF(L906&lt;=0,"Payée",IF(G906=0,"Impayée","Partielle"))</x:f>
        <x:v>Payée</x:v>
      </x:c>
      <x:c r="N906" t="n">
        <x:f>IF(I906="","",I906-B906)</x:f>
        <x:v>75</x:v>
      </x:c>
      <x:c r="O906" t="str">
        <x:f>IF(TRIM(C906)&lt;&gt;TRIM(H906),"Oui","Non")</x:f>
        <x:v>Non</x:v>
      </x:c>
      <x:c r="P906" t="str">
        <x:f>IFERROR(INDEX('02_REFERENTIEL_CLIENTS'!$B$2:$B$51,MATCH(TRIM(C906),'02_REFERENTIEL_CLIENTS'!$A$2:$A$51,0)),"Non trouvé")</x:f>
        <x:v>Particuliers</x:v>
      </x:c>
      <x:c r="Q906" t="str">
        <x:f>IFERROR(INDEX('02_REFERENTIEL_CLIENTS'!$C$2:$C$51,MATCH(TRIM(C906),'02_REFERENTIEL_CLIENTS'!$A$2:$A$51,0)),"Non trouvé")</x:f>
        <x:v>International</x:v>
      </x:c>
      <x:c r="R906" t="str">
        <x:f>IF(OR(F906&lt;=0,G906&lt;0,G906&gt;F906,N906&lt;0,P906="Non trouvé"),"À vérifier","OK")</x:f>
        <x:v>OK</x:v>
      </x:c>
    </x:row>
    <x:row r="907">
      <x:c r="A907" t="str">
        <x:v>DV-2024-00906</x:v>
      </x:c>
      <x:c r="B907" s="16" t="n">
        <x:v>45533</x:v>
      </x:c>
      <x:c r="C907" t="str">
        <x:v>Client 22</x:v>
      </x:c>
      <x:c r="D907" t="str">
        <x:v>Fret aérien</x:v>
      </x:c>
      <x:c r="E907" t="str">
        <x:v>Pôle E</x:v>
      </x:c>
      <x:c r="F907" s="18" t="n">
        <x:v>24158.84</x:v>
      </x:c>
      <x:c r="G907" s="18" t="n">
        <x:v>24158.84</x:v>
      </x:c>
      <x:c r="H907" t="str">
        <x:v>Client 22</x:v>
      </x:c>
      <x:c r="I907" s="16" t="n">
        <x:v>45628</x:v>
      </x:c>
      <x:c r="J907" t="n">
        <x:f>YEAR(B907)</x:f>
        <x:v>2024</x:v>
      </x:c>
      <x:c r="K907" s="20" t="n">
        <x:f>DATE(YEAR(B907),MONTH(B907),1)</x:f>
        <x:v>45505</x:v>
      </x:c>
      <x:c r="L907" s="18" t="n">
        <x:f>F907-G907</x:f>
        <x:v>0</x:v>
      </x:c>
      <x:c r="M907" t="str">
        <x:f>IF(L907&lt;=0,"Payée",IF(G907=0,"Impayée","Partielle"))</x:f>
        <x:v>Payée</x:v>
      </x:c>
      <x:c r="N907" t="n">
        <x:f>IF(I907="","",I907-B907)</x:f>
        <x:v>95</x:v>
      </x:c>
      <x:c r="O907" t="str">
        <x:f>IF(TRIM(C907)&lt;&gt;TRIM(H907),"Oui","Non")</x:f>
        <x:v>Non</x:v>
      </x:c>
      <x:c r="P907" t="str">
        <x:f>IFERROR(INDEX('02_REFERENTIEL_CLIENTS'!$B$2:$B$51,MATCH(TRIM(C907),'02_REFERENTIEL_CLIENTS'!$A$2:$A$51,0)),"Non trouvé")</x:f>
        <x:v>Grands comptes</x:v>
      </x:c>
      <x:c r="Q907" t="str">
        <x:f>IFERROR(INDEX('02_REFERENTIEL_CLIENTS'!$C$2:$C$51,MATCH(TRIM(C907),'02_REFERENTIEL_CLIENTS'!$A$2:$A$51,0)),"Non trouvé")</x:f>
        <x:v>France</x:v>
      </x:c>
      <x:c r="R907" t="str">
        <x:f>IF(OR(F907&lt;=0,G907&lt;0,G907&gt;F907,N907&lt;0,P907="Non trouvé"),"À vérifier","OK")</x:f>
        <x:v>OK</x:v>
      </x:c>
    </x:row>
    <x:row r="908">
      <x:c r="A908" t="str">
        <x:v>DV-2025-00907</x:v>
      </x:c>
      <x:c r="B908" s="16" t="n">
        <x:v>45894</x:v>
      </x:c>
      <x:c r="C908" t="str">
        <x:v>Client 09</x:v>
      </x:c>
      <x:c r="D908" t="str">
        <x:v>Fret maritime</x:v>
      </x:c>
      <x:c r="E908" t="str">
        <x:v>Pôle B</x:v>
      </x:c>
      <x:c r="F908" s="18" t="n">
        <x:v>21539.31</x:v>
      </x:c>
      <x:c r="G908" s="18" t="n">
        <x:v>21539.31</x:v>
      </x:c>
      <x:c r="H908" t="str">
        <x:v>Client 09</x:v>
      </x:c>
      <x:c r="I908" s="16" t="n">
        <x:v>45949</x:v>
      </x:c>
      <x:c r="J908" t="n">
        <x:f>YEAR(B908)</x:f>
        <x:v>2025</x:v>
      </x:c>
      <x:c r="K908" s="20" t="n">
        <x:f>DATE(YEAR(B908),MONTH(B908),1)</x:f>
        <x:v>45870</x:v>
      </x:c>
      <x:c r="L908" s="18" t="n">
        <x:f>F908-G908</x:f>
        <x:v>0</x:v>
      </x:c>
      <x:c r="M908" t="str">
        <x:f>IF(L908&lt;=0,"Payée",IF(G908=0,"Impayée","Partielle"))</x:f>
        <x:v>Payée</x:v>
      </x:c>
      <x:c r="N908" t="n">
        <x:f>IF(I908="","",I908-B908)</x:f>
        <x:v>55</x:v>
      </x:c>
      <x:c r="O908" t="str">
        <x:f>IF(TRIM(C908)&lt;&gt;TRIM(H908),"Oui","Non")</x:f>
        <x:v>Non</x:v>
      </x:c>
      <x:c r="P908" t="str">
        <x:f>IFERROR(INDEX('02_REFERENTIEL_CLIENTS'!$B$2:$B$51,MATCH(TRIM(C908),'02_REFERENTIEL_CLIENTS'!$A$2:$A$51,0)),"Non trouvé")</x:f>
        <x:v>Particuliers</x:v>
      </x:c>
      <x:c r="Q908" t="str">
        <x:f>IFERROR(INDEX('02_REFERENTIEL_CLIENTS'!$C$2:$C$51,MATCH(TRIM(C908),'02_REFERENTIEL_CLIENTS'!$A$2:$A$51,0)),"Non trouvé")</x:f>
        <x:v>International</x:v>
      </x:c>
      <x:c r="R908" t="str">
        <x:f>IF(OR(F908&lt;=0,G908&lt;0,G908&gt;F908,N908&lt;0,P908="Non trouvé"),"À vérifier","OK")</x:f>
        <x:v>OK</x:v>
      </x:c>
    </x:row>
    <x:row r="909">
      <x:c r="A909" t="str">
        <x:v>DV-2025-00908</x:v>
      </x:c>
      <x:c r="B909" s="16" t="n">
        <x:v>45717</x:v>
      </x:c>
      <x:c r="C909" t="str">
        <x:v>Client 36</x:v>
      </x:c>
      <x:c r="D909" t="str">
        <x:v>Fret maritime</x:v>
      </x:c>
      <x:c r="E909" t="str">
        <x:v>Pôle B</x:v>
      </x:c>
      <x:c r="F909" s="18" t="n">
        <x:v>10280.85</x:v>
      </x:c>
      <x:c r="G909" s="18" t="n">
        <x:v>10280.85</x:v>
      </x:c>
      <x:c r="H909" t="str">
        <x:v>Client 36</x:v>
      </x:c>
      <x:c r="I909" s="16" t="n">
        <x:v>45744</x:v>
      </x:c>
      <x:c r="J909" t="n">
        <x:f>YEAR(B909)</x:f>
        <x:v>2025</x:v>
      </x:c>
      <x:c r="K909" s="20" t="n">
        <x:f>DATE(YEAR(B909),MONTH(B909),1)</x:f>
        <x:v>45717</x:v>
      </x:c>
      <x:c r="L909" s="18" t="n">
        <x:f>F909-G909</x:f>
        <x:v>0</x:v>
      </x:c>
      <x:c r="M909" t="str">
        <x:f>IF(L909&lt;=0,"Payée",IF(G909=0,"Impayée","Partielle"))</x:f>
        <x:v>Payée</x:v>
      </x:c>
      <x:c r="N909" t="n">
        <x:f>IF(I909="","",I909-B909)</x:f>
        <x:v>27</x:v>
      </x:c>
      <x:c r="O909" t="str">
        <x:f>IF(TRIM(C909)&lt;&gt;TRIM(H909),"Oui","Non")</x:f>
        <x:v>Non</x:v>
      </x:c>
      <x:c r="P909" t="str">
        <x:f>IFERROR(INDEX('02_REFERENTIEL_CLIENTS'!$B$2:$B$51,MATCH(TRIM(C909),'02_REFERENTIEL_CLIENTS'!$A$2:$A$51,0)),"Non trouvé")</x:f>
        <x:v>Particuliers</x:v>
      </x:c>
      <x:c r="Q909" t="str">
        <x:f>IFERROR(INDEX('02_REFERENTIEL_CLIENTS'!$C$2:$C$51,MATCH(TRIM(C909),'02_REFERENTIEL_CLIENTS'!$A$2:$A$51,0)),"Non trouvé")</x:f>
        <x:v>International</x:v>
      </x:c>
      <x:c r="R909" t="str">
        <x:f>IF(OR(F909&lt;=0,G909&lt;0,G909&gt;F909,N909&lt;0,P909="Non trouvé"),"À vérifier","OK")</x:f>
        <x:v>OK</x:v>
      </x:c>
    </x:row>
    <x:row r="910">
      <x:c r="A910" t="str">
        <x:v>DV-2025-00909</x:v>
      </x:c>
      <x:c r="B910" s="16" t="n">
        <x:v>45860</x:v>
      </x:c>
      <x:c r="C910" t="str">
        <x:v>Client 07</x:v>
      </x:c>
      <x:c r="D910" t="str">
        <x:v>Douane</x:v>
      </x:c>
      <x:c r="E910" t="str">
        <x:v>Pôle E</x:v>
      </x:c>
      <x:c r="F910" s="18" t="n">
        <x:v>15474.84</x:v>
      </x:c>
      <x:c r="G910" s="18" t="n">
        <x:v>15474.84</x:v>
      </x:c>
      <x:c r="H910" t="str">
        <x:v>Client 07</x:v>
      </x:c>
      <x:c r="I910" s="16" t="n">
        <x:v>45894</x:v>
      </x:c>
      <x:c r="J910" t="n">
        <x:f>YEAR(B910)</x:f>
        <x:v>2025</x:v>
      </x:c>
      <x:c r="K910" s="20" t="n">
        <x:f>DATE(YEAR(B910),MONTH(B910),1)</x:f>
        <x:v>45839</x:v>
      </x:c>
      <x:c r="L910" s="18" t="n">
        <x:f>F910-G910</x:f>
        <x:v>0</x:v>
      </x:c>
      <x:c r="M910" t="str">
        <x:f>IF(L910&lt;=0,"Payée",IF(G910=0,"Impayée","Partielle"))</x:f>
        <x:v>Payée</x:v>
      </x:c>
      <x:c r="N910" t="n">
        <x:f>IF(I910="","",I910-B910)</x:f>
        <x:v>34</x:v>
      </x:c>
      <x:c r="O910" t="str">
        <x:f>IF(TRIM(C910)&lt;&gt;TRIM(H910),"Oui","Non")</x:f>
        <x:v>Non</x:v>
      </x:c>
      <x:c r="P910" t="str">
        <x:f>IFERROR(INDEX('02_REFERENTIEL_CLIENTS'!$B$2:$B$51,MATCH(TRIM(C910),'02_REFERENTIEL_CLIENTS'!$A$2:$A$51,0)),"Non trouvé")</x:f>
        <x:v>Grands comptes</x:v>
      </x:c>
      <x:c r="Q910" t="str">
        <x:f>IFERROR(INDEX('02_REFERENTIEL_CLIENTS'!$C$2:$C$51,MATCH(TRIM(C910),'02_REFERENTIEL_CLIENTS'!$A$2:$A$51,0)),"Non trouvé")</x:f>
        <x:v>France</x:v>
      </x:c>
      <x:c r="R910" t="str">
        <x:f>IF(OR(F910&lt;=0,G910&lt;0,G910&gt;F910,N910&lt;0,P910="Non trouvé"),"À vérifier","OK")</x:f>
        <x:v>OK</x:v>
      </x:c>
    </x:row>
    <x:row r="911">
      <x:c r="A911" t="str">
        <x:v>DV-2024-00910</x:v>
      </x:c>
      <x:c r="B911" s="16" t="n">
        <x:v>45593</x:v>
      </x:c>
      <x:c r="C911" t="str">
        <x:v>Client 42</x:v>
      </x:c>
      <x:c r="D911" t="str">
        <x:v>Logistique</x:v>
      </x:c>
      <x:c r="E911" t="str">
        <x:v>Pôle D</x:v>
      </x:c>
      <x:c r="F911" s="18" t="n">
        <x:v>5521.3</x:v>
      </x:c>
      <x:c r="G911" s="18" t="n">
        <x:v>5521.3</x:v>
      </x:c>
      <x:c r="H911" t="str">
        <x:v>Client 42</x:v>
      </x:c>
      <x:c r="I911" s="16" t="n">
        <x:v>45669</x:v>
      </x:c>
      <x:c r="J911" t="n">
        <x:f>YEAR(B911)</x:f>
        <x:v>2024</x:v>
      </x:c>
      <x:c r="K911" s="20" t="n">
        <x:f>DATE(YEAR(B911),MONTH(B911),1)</x:f>
        <x:v>45566</x:v>
      </x:c>
      <x:c r="L911" s="18" t="n">
        <x:f>F911-G911</x:f>
        <x:v>0</x:v>
      </x:c>
      <x:c r="M911" t="str">
        <x:f>IF(L911&lt;=0,"Payée",IF(G911=0,"Impayée","Partielle"))</x:f>
        <x:v>Payée</x:v>
      </x:c>
      <x:c r="N911" t="n">
        <x:f>IF(I911="","",I911-B911)</x:f>
        <x:v>76</x:v>
      </x:c>
      <x:c r="O911" t="str">
        <x:f>IF(TRIM(C911)&lt;&gt;TRIM(H911),"Oui","Non")</x:f>
        <x:v>Non</x:v>
      </x:c>
      <x:c r="P911" t="str">
        <x:f>IFERROR(INDEX('02_REFERENTIEL_CLIENTS'!$B$2:$B$51,MATCH(TRIM(C911),'02_REFERENTIEL_CLIENTS'!$A$2:$A$51,0)),"Non trouvé")</x:f>
        <x:v>Particuliers</x:v>
      </x:c>
      <x:c r="Q911" t="str">
        <x:f>IFERROR(INDEX('02_REFERENTIEL_CLIENTS'!$C$2:$C$51,MATCH(TRIM(C911),'02_REFERENTIEL_CLIENTS'!$A$2:$A$51,0)),"Non trouvé")</x:f>
        <x:v>International</x:v>
      </x:c>
      <x:c r="R911" t="str">
        <x:f>IF(OR(F911&lt;=0,G911&lt;0,G911&gt;F911,N911&lt;0,P911="Non trouvé"),"À vérifier","OK")</x:f>
        <x:v>OK</x:v>
      </x:c>
    </x:row>
    <x:row r="912">
      <x:c r="A912" t="str">
        <x:v>DV-2025-00911</x:v>
      </x:c>
      <x:c r="B912" s="16" t="n">
        <x:v>45985</x:v>
      </x:c>
      <x:c r="C912" t="str">
        <x:v>Client 36</x:v>
      </x:c>
      <x:c r="D912" t="str">
        <x:v>Logistique</x:v>
      </x:c>
      <x:c r="E912" t="str">
        <x:v>Pôle A</x:v>
      </x:c>
      <x:c r="F912" s="18" t="n">
        <x:v>12665.81</x:v>
      </x:c>
      <x:c r="G912" s="18" t="n">
        <x:v>6318.56</x:v>
      </x:c>
      <x:c r="H912" t="str">
        <x:v>Client 43</x:v>
      </x:c>
      <x:c r="I912" s="16" t="n">
        <x:v>46039</x:v>
      </x:c>
      <x:c r="J912" t="n">
        <x:f>YEAR(B912)</x:f>
        <x:v>2025</x:v>
      </x:c>
      <x:c r="K912" s="20" t="n">
        <x:f>DATE(YEAR(B912),MONTH(B912),1)</x:f>
        <x:v>45962</x:v>
      </x:c>
      <x:c r="L912" s="18" t="n">
        <x:f>F912-G912</x:f>
        <x:v>6347.249999999999</x:v>
      </x:c>
      <x:c r="M912" t="str">
        <x:f>IF(L912&lt;=0,"Payée",IF(G912=0,"Impayée","Partielle"))</x:f>
        <x:v>Partielle</x:v>
      </x:c>
      <x:c r="N912" t="n">
        <x:f>IF(I912="","",I912-B912)</x:f>
        <x:v>54</x:v>
      </x:c>
      <x:c r="O912" t="str">
        <x:f>IF(TRIM(C912)&lt;&gt;TRIM(H912),"Oui","Non")</x:f>
        <x:v>Oui</x:v>
      </x:c>
      <x:c r="P912" t="str">
        <x:f>IFERROR(INDEX('02_REFERENTIEL_CLIENTS'!$B$2:$B$51,MATCH(TRIM(C912),'02_REFERENTIEL_CLIENTS'!$A$2:$A$51,0)),"Non trouvé")</x:f>
        <x:v>Particuliers</x:v>
      </x:c>
      <x:c r="Q912" t="str">
        <x:f>IFERROR(INDEX('02_REFERENTIEL_CLIENTS'!$C$2:$C$51,MATCH(TRIM(C912),'02_REFERENTIEL_CLIENTS'!$A$2:$A$51,0)),"Non trouvé")</x:f>
        <x:v>International</x:v>
      </x:c>
      <x:c r="R912" t="str">
        <x:f>IF(OR(F912&lt;=0,G912&lt;0,G912&gt;F912,N912&lt;0,P912="Non trouvé"),"À vérifier","OK")</x:f>
        <x:v>OK</x:v>
      </x:c>
    </x:row>
    <x:row r="913">
      <x:c r="A913" t="str">
        <x:v>DV-2025-00912</x:v>
      </x:c>
      <x:c r="B913" s="16" t="n">
        <x:v>45808</x:v>
      </x:c>
      <x:c r="C913" t="str">
        <x:v>Client 14</x:v>
      </x:c>
      <x:c r="D913" t="str">
        <x:v>Express</x:v>
      </x:c>
      <x:c r="E913" t="str">
        <x:v>Pôle E</x:v>
      </x:c>
      <x:c r="F913" s="18" t="n">
        <x:v>13652.05</x:v>
      </x:c>
      <x:c r="G913" s="18" t="n">
        <x:v>13652.05</x:v>
      </x:c>
      <x:c r="H913" t="str">
        <x:v>Client 27</x:v>
      </x:c>
      <x:c r="I913" s="16" t="n">
        <x:v>45816</x:v>
      </x:c>
      <x:c r="J913" t="n">
        <x:f>YEAR(B913)</x:f>
        <x:v>2025</x:v>
      </x:c>
      <x:c r="K913" s="20" t="n">
        <x:f>DATE(YEAR(B913),MONTH(B913),1)</x:f>
        <x:v>45778</x:v>
      </x:c>
      <x:c r="L913" s="18" t="n">
        <x:f>F913-G913</x:f>
        <x:v>0</x:v>
      </x:c>
      <x:c r="M913" t="str">
        <x:f>IF(L913&lt;=0,"Payée",IF(G913=0,"Impayée","Partielle"))</x:f>
        <x:v>Payée</x:v>
      </x:c>
      <x:c r="N913" t="n">
        <x:f>IF(I913="","",I913-B913)</x:f>
        <x:v>8</x:v>
      </x:c>
      <x:c r="O913" t="str">
        <x:f>IF(TRIM(C913)&lt;&gt;TRIM(H913),"Oui","Non")</x:f>
        <x:v>Oui</x:v>
      </x:c>
      <x:c r="P913" t="str">
        <x:f>IFERROR(INDEX('02_REFERENTIEL_CLIENTS'!$B$2:$B$51,MATCH(TRIM(C913),'02_REFERENTIEL_CLIENTS'!$A$2:$A$51,0)),"Non trouvé")</x:f>
        <x:v>PME</x:v>
      </x:c>
      <x:c r="Q913" t="str">
        <x:f>IFERROR(INDEX('02_REFERENTIEL_CLIENTS'!$C$2:$C$51,MATCH(TRIM(C913),'02_REFERENTIEL_CLIENTS'!$A$2:$A$51,0)),"Non trouvé")</x:f>
        <x:v>Europe</x:v>
      </x:c>
      <x:c r="R913" t="str">
        <x:f>IF(OR(F913&lt;=0,G913&lt;0,G913&gt;F913,N913&lt;0,P913="Non trouvé"),"À vérifier","OK")</x:f>
        <x:v>OK</x:v>
      </x:c>
    </x:row>
    <x:row r="914">
      <x:c r="A914" t="str">
        <x:v>DV-2024-00913</x:v>
      </x:c>
      <x:c r="B914" s="16" t="n">
        <x:v>45577</x:v>
      </x:c>
      <x:c r="C914" t="str">
        <x:v>Client 25</x:v>
      </x:c>
      <x:c r="D914" t="str">
        <x:v>Express</x:v>
      </x:c>
      <x:c r="E914" t="str">
        <x:v>Pôle D</x:v>
      </x:c>
      <x:c r="F914" s="18" t="n">
        <x:v>4329.09</x:v>
      </x:c>
      <x:c r="G914" s="18" t="n">
        <x:v>4329.09</x:v>
      </x:c>
      <x:c r="H914" t="str">
        <x:v>Client 25</x:v>
      </x:c>
      <x:c r="I914" s="16" t="n">
        <x:v>45646</x:v>
      </x:c>
      <x:c r="J914" t="n">
        <x:f>YEAR(B914)</x:f>
        <x:v>2024</x:v>
      </x:c>
      <x:c r="K914" s="20" t="n">
        <x:f>DATE(YEAR(B914),MONTH(B914),1)</x:f>
        <x:v>45566</x:v>
      </x:c>
      <x:c r="L914" s="18" t="n">
        <x:f>F914-G914</x:f>
        <x:v>0</x:v>
      </x:c>
      <x:c r="M914" t="str">
        <x:f>IF(L914&lt;=0,"Payée",IF(G914=0,"Impayée","Partielle"))</x:f>
        <x:v>Payée</x:v>
      </x:c>
      <x:c r="N914" t="n">
        <x:f>IF(I914="","",I914-B914)</x:f>
        <x:v>69</x:v>
      </x:c>
      <x:c r="O914" t="str">
        <x:f>IF(TRIM(C914)&lt;&gt;TRIM(H914),"Oui","Non")</x:f>
        <x:v>Non</x:v>
      </x:c>
      <x:c r="P914" t="str">
        <x:f>IFERROR(INDEX('02_REFERENTIEL_CLIENTS'!$B$2:$B$51,MATCH(TRIM(C914),'02_REFERENTIEL_CLIENTS'!$A$2:$A$51,0)),"Non trouvé")</x:f>
        <x:v>Grands comptes</x:v>
      </x:c>
      <x:c r="Q914" t="str">
        <x:f>IFERROR(INDEX('02_REFERENTIEL_CLIENTS'!$C$2:$C$51,MATCH(TRIM(C914),'02_REFERENTIEL_CLIENTS'!$A$2:$A$51,0)),"Non trouvé")</x:f>
        <x:v>France</x:v>
      </x:c>
      <x:c r="R914" t="str">
        <x:f>IF(OR(F914&lt;=0,G914&lt;0,G914&gt;F914,N914&lt;0,P914="Non trouvé"),"À vérifier","OK")</x:f>
        <x:v>OK</x:v>
      </x:c>
    </x:row>
    <x:row r="915">
      <x:c r="A915" t="str">
        <x:v>DV-2025-00914</x:v>
      </x:c>
      <x:c r="B915" s="16" t="n">
        <x:v>45944</x:v>
      </x:c>
      <x:c r="C915" t="str">
        <x:v>Client 24</x:v>
      </x:c>
      <x:c r="D915" t="str">
        <x:v>Express</x:v>
      </x:c>
      <x:c r="E915" t="str">
        <x:v>Pôle C</x:v>
      </x:c>
      <x:c r="F915" s="18" t="n">
        <x:v>6217.95</x:v>
      </x:c>
      <x:c r="G915" s="18" t="n">
        <x:v>6217.95</x:v>
      </x:c>
      <x:c r="H915" t="str">
        <x:v>Client 24</x:v>
      </x:c>
      <x:c r="I915" s="16" t="n">
        <x:v>46034</x:v>
      </x:c>
      <x:c r="J915" t="n">
        <x:f>YEAR(B915)</x:f>
        <x:v>2025</x:v>
      </x:c>
      <x:c r="K915" s="20" t="n">
        <x:f>DATE(YEAR(B915),MONTH(B915),1)</x:f>
        <x:v>45931</x:v>
      </x:c>
      <x:c r="L915" s="18" t="n">
        <x:f>F915-G915</x:f>
        <x:v>0</x:v>
      </x:c>
      <x:c r="M915" t="str">
        <x:f>IF(L915&lt;=0,"Payée",IF(G915=0,"Impayée","Partielle"))</x:f>
        <x:v>Payée</x:v>
      </x:c>
      <x:c r="N915" t="n">
        <x:f>IF(I915="","",I915-B915)</x:f>
        <x:v>90</x:v>
      </x:c>
      <x:c r="O915" t="str">
        <x:f>IF(TRIM(C915)&lt;&gt;TRIM(H915),"Oui","Non")</x:f>
        <x:v>Non</x:v>
      </x:c>
      <x:c r="P915" t="str">
        <x:f>IFERROR(INDEX('02_REFERENTIEL_CLIENTS'!$B$2:$B$51,MATCH(TRIM(C915),'02_REFERENTIEL_CLIENTS'!$A$2:$A$51,0)),"Non trouvé")</x:f>
        <x:v>Particuliers</x:v>
      </x:c>
      <x:c r="Q915" t="str">
        <x:f>IFERROR(INDEX('02_REFERENTIEL_CLIENTS'!$C$2:$C$51,MATCH(TRIM(C915),'02_REFERENTIEL_CLIENTS'!$A$2:$A$51,0)),"Non trouvé")</x:f>
        <x:v>International</x:v>
      </x:c>
      <x:c r="R915" t="str">
        <x:f>IF(OR(F915&lt;=0,G915&lt;0,G915&gt;F915,N915&lt;0,P915="Non trouvé"),"À vérifier","OK")</x:f>
        <x:v>OK</x:v>
      </x:c>
    </x:row>
    <x:row r="916">
      <x:c r="A916" t="str">
        <x:v>DV-2024-00915</x:v>
      </x:c>
      <x:c r="B916" s="16" t="n">
        <x:v>45621</x:v>
      </x:c>
      <x:c r="C916" t="str">
        <x:v>Client 25</x:v>
      </x:c>
      <x:c r="D916" t="str">
        <x:v>Fret maritime</x:v>
      </x:c>
      <x:c r="E916" t="str">
        <x:v>Pôle A</x:v>
      </x:c>
      <x:c r="F916" s="18" t="n">
        <x:v>3717.72</x:v>
      </x:c>
      <x:c r="G916" s="18" t="n">
        <x:v>3717.72</x:v>
      </x:c>
      <x:c r="H916" t="str">
        <x:v>Client 25</x:v>
      </x:c>
      <x:c r="I916" s="16" t="n">
        <x:v>45687</x:v>
      </x:c>
      <x:c r="J916" t="n">
        <x:f>YEAR(B916)</x:f>
        <x:v>2024</x:v>
      </x:c>
      <x:c r="K916" s="20" t="n">
        <x:f>DATE(YEAR(B916),MONTH(B916),1)</x:f>
        <x:v>45597</x:v>
      </x:c>
      <x:c r="L916" s="18" t="n">
        <x:f>F916-G916</x:f>
        <x:v>0</x:v>
      </x:c>
      <x:c r="M916" t="str">
        <x:f>IF(L916&lt;=0,"Payée",IF(G916=0,"Impayée","Partielle"))</x:f>
        <x:v>Payée</x:v>
      </x:c>
      <x:c r="N916" t="n">
        <x:f>IF(I916="","",I916-B916)</x:f>
        <x:v>66</x:v>
      </x:c>
      <x:c r="O916" t="str">
        <x:f>IF(TRIM(C916)&lt;&gt;TRIM(H916),"Oui","Non")</x:f>
        <x:v>Non</x:v>
      </x:c>
      <x:c r="P916" t="str">
        <x:f>IFERROR(INDEX('02_REFERENTIEL_CLIENTS'!$B$2:$B$51,MATCH(TRIM(C916),'02_REFERENTIEL_CLIENTS'!$A$2:$A$51,0)),"Non trouvé")</x:f>
        <x:v>Grands comptes</x:v>
      </x:c>
      <x:c r="Q916" t="str">
        <x:f>IFERROR(INDEX('02_REFERENTIEL_CLIENTS'!$C$2:$C$51,MATCH(TRIM(C916),'02_REFERENTIEL_CLIENTS'!$A$2:$A$51,0)),"Non trouvé")</x:f>
        <x:v>France</x:v>
      </x:c>
      <x:c r="R916" t="str">
        <x:f>IF(OR(F916&lt;=0,G916&lt;0,G916&gt;F916,N916&lt;0,P916="Non trouvé"),"À vérifier","OK")</x:f>
        <x:v>OK</x:v>
      </x:c>
    </x:row>
    <x:row r="917">
      <x:c r="A917" t="str">
        <x:v>DV-2024-00916</x:v>
      </x:c>
      <x:c r="B917" s="16" t="n">
        <x:v>45378</x:v>
      </x:c>
      <x:c r="C917" t="str">
        <x:v>Client 04</x:v>
      </x:c>
      <x:c r="D917" t="str">
        <x:v>Fret maritime</x:v>
      </x:c>
      <x:c r="E917" t="str">
        <x:v>Pôle B</x:v>
      </x:c>
      <x:c r="F917" s="18" t="n">
        <x:v>12046.97</x:v>
      </x:c>
      <x:c r="G917" s="18" t="n">
        <x:v>12046.97</x:v>
      </x:c>
      <x:c r="H917" t="str">
        <x:v>Client 04</x:v>
      </x:c>
      <x:c r="I917" s="16" t="n">
        <x:v>45401</x:v>
      </x:c>
      <x:c r="J917" t="n">
        <x:f>YEAR(B917)</x:f>
        <x:v>2024</x:v>
      </x:c>
      <x:c r="K917" s="20" t="n">
        <x:f>DATE(YEAR(B917),MONTH(B917),1)</x:f>
        <x:v>45352</x:v>
      </x:c>
      <x:c r="L917" s="18" t="n">
        <x:f>F917-G917</x:f>
        <x:v>0</x:v>
      </x:c>
      <x:c r="M917" t="str">
        <x:f>IF(L917&lt;=0,"Payée",IF(G917=0,"Impayée","Partielle"))</x:f>
        <x:v>Payée</x:v>
      </x:c>
      <x:c r="N917" t="n">
        <x:f>IF(I917="","",I917-B917)</x:f>
        <x:v>23</x:v>
      </x:c>
      <x:c r="O917" t="str">
        <x:f>IF(TRIM(C917)&lt;&gt;TRIM(H917),"Oui","Non")</x:f>
        <x:v>Non</x:v>
      </x:c>
      <x:c r="P917" t="str">
        <x:f>IFERROR(INDEX('02_REFERENTIEL_CLIENTS'!$B$2:$B$51,MATCH(TRIM(C917),'02_REFERENTIEL_CLIENTS'!$A$2:$A$51,0)),"Non trouvé")</x:f>
        <x:v>Grands comptes</x:v>
      </x:c>
      <x:c r="Q917" t="str">
        <x:f>IFERROR(INDEX('02_REFERENTIEL_CLIENTS'!$C$2:$C$51,MATCH(TRIM(C917),'02_REFERENTIEL_CLIENTS'!$A$2:$A$51,0)),"Non trouvé")</x:f>
        <x:v>France</x:v>
      </x:c>
      <x:c r="R917" t="str">
        <x:f>IF(OR(F917&lt;=0,G917&lt;0,G917&gt;F917,N917&lt;0,P917="Non trouvé"),"À vérifier","OK")</x:f>
        <x:v>OK</x:v>
      </x:c>
    </x:row>
    <x:row r="918">
      <x:c r="A918" t="str">
        <x:v>DV-2025-00917</x:v>
      </x:c>
      <x:c r="B918" s="16" t="n">
        <x:v>45960</x:v>
      </x:c>
      <x:c r="C918" t="str">
        <x:v>Client 48</x:v>
      </x:c>
      <x:c r="D918" t="str">
        <x:v>Fret maritime</x:v>
      </x:c>
      <x:c r="E918" t="str">
        <x:v>Pôle A</x:v>
      </x:c>
      <x:c r="F918" s="18" t="n">
        <x:v>20672.17</x:v>
      </x:c>
      <x:c r="G918" s="18" t="n">
        <x:v>20672.17</x:v>
      </x:c>
      <x:c r="H918" t="str">
        <x:v>Client 48</x:v>
      </x:c>
      <x:c r="I918" s="16" t="n">
        <x:v>45989</x:v>
      </x:c>
      <x:c r="J918" t="n">
        <x:f>YEAR(B918)</x:f>
        <x:v>2025</x:v>
      </x:c>
      <x:c r="K918" s="20" t="n">
        <x:f>DATE(YEAR(B918),MONTH(B918),1)</x:f>
        <x:v>45931</x:v>
      </x:c>
      <x:c r="L918" s="18" t="n">
        <x:f>F918-G918</x:f>
        <x:v>0</x:v>
      </x:c>
      <x:c r="M918" t="str">
        <x:f>IF(L918&lt;=0,"Payée",IF(G918=0,"Impayée","Partielle"))</x:f>
        <x:v>Payée</x:v>
      </x:c>
      <x:c r="N918" t="n">
        <x:f>IF(I918="","",I918-B918)</x:f>
        <x:v>29</x:v>
      </x:c>
      <x:c r="O918" t="str">
        <x:f>IF(TRIM(C918)&lt;&gt;TRIM(H918),"Oui","Non")</x:f>
        <x:v>Non</x:v>
      </x:c>
      <x:c r="P918" t="str">
        <x:f>IFERROR(INDEX('02_REFERENTIEL_CLIENTS'!$B$2:$B$51,MATCH(TRIM(C918),'02_REFERENTIEL_CLIENTS'!$A$2:$A$51,0)),"Non trouvé")</x:f>
        <x:v>Particuliers</x:v>
      </x:c>
      <x:c r="Q918" t="str">
        <x:f>IFERROR(INDEX('02_REFERENTIEL_CLIENTS'!$C$2:$C$51,MATCH(TRIM(C918),'02_REFERENTIEL_CLIENTS'!$A$2:$A$51,0)),"Non trouvé")</x:f>
        <x:v>International</x:v>
      </x:c>
      <x:c r="R918" t="str">
        <x:f>IF(OR(F918&lt;=0,G918&lt;0,G918&gt;F918,N918&lt;0,P918="Non trouvé"),"À vérifier","OK")</x:f>
        <x:v>OK</x:v>
      </x:c>
    </x:row>
    <x:row r="919">
      <x:c r="A919" t="str">
        <x:v>DV-2026-00918</x:v>
      </x:c>
      <x:c r="B919" s="16" t="n">
        <x:v>46036</x:v>
      </x:c>
      <x:c r="C919" t="str">
        <x:v>Client 33</x:v>
      </x:c>
      <x:c r="D919" t="str">
        <x:v>Express</x:v>
      </x:c>
      <x:c r="E919" t="str">
        <x:v>Pôle E</x:v>
      </x:c>
      <x:c r="F919" s="18" t="n">
        <x:v>4362.97</x:v>
      </x:c>
      <x:c r="G919" s="18" t="n">
        <x:v>4362.97</x:v>
      </x:c>
      <x:c r="H919" t="str">
        <x:v>Client 33</x:v>
      </x:c>
      <x:c r="I919" s="16" t="n">
        <x:v>46086</x:v>
      </x:c>
      <x:c r="J919" t="n">
        <x:f>YEAR(B919)</x:f>
        <x:v>2026</x:v>
      </x:c>
      <x:c r="K919" s="20" t="n">
        <x:f>DATE(YEAR(B919),MONTH(B919),1)</x:f>
        <x:v>46023</x:v>
      </x:c>
      <x:c r="L919" s="18" t="n">
        <x:f>F919-G919</x:f>
        <x:v>0</x:v>
      </x:c>
      <x:c r="M919" t="str">
        <x:f>IF(L919&lt;=0,"Payée",IF(G919=0,"Impayée","Partielle"))</x:f>
        <x:v>Payée</x:v>
      </x:c>
      <x:c r="N919" t="n">
        <x:f>IF(I919="","",I919-B919)</x:f>
        <x:v>50</x:v>
      </x:c>
      <x:c r="O919" t="str">
        <x:f>IF(TRIM(C919)&lt;&gt;TRIM(H919),"Oui","Non")</x:f>
        <x:v>Non</x:v>
      </x:c>
      <x:c r="P919" t="str">
        <x:f>IFERROR(INDEX('02_REFERENTIEL_CLIENTS'!$B$2:$B$51,MATCH(TRIM(C919),'02_REFERENTIEL_CLIENTS'!$A$2:$A$51,0)),"Non trouvé")</x:f>
        <x:v>Particuliers</x:v>
      </x:c>
      <x:c r="Q919" t="str">
        <x:f>IFERROR(INDEX('02_REFERENTIEL_CLIENTS'!$C$2:$C$51,MATCH(TRIM(C919),'02_REFERENTIEL_CLIENTS'!$A$2:$A$51,0)),"Non trouvé")</x:f>
        <x:v>International</x:v>
      </x:c>
      <x:c r="R919" t="str">
        <x:f>IF(OR(F919&lt;=0,G919&lt;0,G919&gt;F919,N919&lt;0,P919="Non trouvé"),"À vérifier","OK")</x:f>
        <x:v>OK</x:v>
      </x:c>
    </x:row>
    <x:row r="920">
      <x:c r="A920" t="str">
        <x:v>DV-2026-00919</x:v>
      </x:c>
      <x:c r="B920" s="16" t="n">
        <x:v>46028</x:v>
      </x:c>
      <x:c r="C920" t="str">
        <x:v>Client 31</x:v>
      </x:c>
      <x:c r="D920" t="str">
        <x:v>Logistique</x:v>
      </x:c>
      <x:c r="E920" t="str">
        <x:v>Pôle D</x:v>
      </x:c>
      <x:c r="F920" s="18" t="n">
        <x:v>9491.62</x:v>
      </x:c>
      <x:c r="G920" s="18" t="n">
        <x:v>9491.62</x:v>
      </x:c>
      <x:c r="H920" t="str">
        <x:v>Client 31</x:v>
      </x:c>
      <x:c r="I920" s="16" t="n">
        <x:v>46117</x:v>
      </x:c>
      <x:c r="J920" t="n">
        <x:f>YEAR(B920)</x:f>
        <x:v>2026</x:v>
      </x:c>
      <x:c r="K920" s="20" t="n">
        <x:f>DATE(YEAR(B920),MONTH(B920),1)</x:f>
        <x:v>46023</x:v>
      </x:c>
      <x:c r="L920" s="18" t="n">
        <x:f>F920-G920</x:f>
        <x:v>0</x:v>
      </x:c>
      <x:c r="M920" t="str">
        <x:f>IF(L920&lt;=0,"Payée",IF(G920=0,"Impayée","Partielle"))</x:f>
        <x:v>Payée</x:v>
      </x:c>
      <x:c r="N920" t="n">
        <x:f>IF(I920="","",I920-B920)</x:f>
        <x:v>89</x:v>
      </x:c>
      <x:c r="O920" t="str">
        <x:f>IF(TRIM(C920)&lt;&gt;TRIM(H920),"Oui","Non")</x:f>
        <x:v>Non</x:v>
      </x:c>
      <x:c r="P920" t="str">
        <x:f>IFERROR(INDEX('02_REFERENTIEL_CLIENTS'!$B$2:$B$51,MATCH(TRIM(C920),'02_REFERENTIEL_CLIENTS'!$A$2:$A$51,0)),"Non trouvé")</x:f>
        <x:v>Grands comptes</x:v>
      </x:c>
      <x:c r="Q920" t="str">
        <x:f>IFERROR(INDEX('02_REFERENTIEL_CLIENTS'!$C$2:$C$51,MATCH(TRIM(C920),'02_REFERENTIEL_CLIENTS'!$A$2:$A$51,0)),"Non trouvé")</x:f>
        <x:v>France</x:v>
      </x:c>
      <x:c r="R920" t="str">
        <x:f>IF(OR(F920&lt;=0,G920&lt;0,G920&gt;F920,N920&lt;0,P920="Non trouvé"),"À vérifier","OK")</x:f>
        <x:v>OK</x:v>
      </x:c>
    </x:row>
    <x:row r="921">
      <x:c r="A921" t="str">
        <x:v>DV-2024-00920</x:v>
      </x:c>
      <x:c r="B921" s="16" t="n">
        <x:v>45648</x:v>
      </x:c>
      <x:c r="C921" t="str">
        <x:v>Client 30</x:v>
      </x:c>
      <x:c r="D921" t="str">
        <x:v>Douane</x:v>
      </x:c>
      <x:c r="E921" t="str">
        <x:v>Pôle E</x:v>
      </x:c>
      <x:c r="F921" s="18" t="n">
        <x:v>6397.5</x:v>
      </x:c>
      <x:c r="G921" s="18" t="n">
        <x:v>6397.5</x:v>
      </x:c>
      <x:c r="H921" t="str">
        <x:v>Client 30</x:v>
      </x:c>
      <x:c r="I921" s="16" t="n">
        <x:v>45736</x:v>
      </x:c>
      <x:c r="J921" t="n">
        <x:f>YEAR(B921)</x:f>
        <x:v>2024</x:v>
      </x:c>
      <x:c r="K921" s="20" t="n">
        <x:f>DATE(YEAR(B921),MONTH(B921),1)</x:f>
        <x:v>45627</x:v>
      </x:c>
      <x:c r="L921" s="18" t="n">
        <x:f>F921-G921</x:f>
        <x:v>0</x:v>
      </x:c>
      <x:c r="M921" t="str">
        <x:f>IF(L921&lt;=0,"Payée",IF(G921=0,"Impayée","Partielle"))</x:f>
        <x:v>Payée</x:v>
      </x:c>
      <x:c r="N921" t="n">
        <x:f>IF(I921="","",I921-B921)</x:f>
        <x:v>88</x:v>
      </x:c>
      <x:c r="O921" t="str">
        <x:f>IF(TRIM(C921)&lt;&gt;TRIM(H921),"Oui","Non")</x:f>
        <x:v>Non</x:v>
      </x:c>
      <x:c r="P921" t="str">
        <x:f>IFERROR(INDEX('02_REFERENTIEL_CLIENTS'!$B$2:$B$51,MATCH(TRIM(C921),'02_REFERENTIEL_CLIENTS'!$A$2:$A$51,0)),"Non trouvé")</x:f>
        <x:v>Particuliers</x:v>
      </x:c>
      <x:c r="Q921" t="str">
        <x:f>IFERROR(INDEX('02_REFERENTIEL_CLIENTS'!$C$2:$C$51,MATCH(TRIM(C921),'02_REFERENTIEL_CLIENTS'!$A$2:$A$51,0)),"Non trouvé")</x:f>
        <x:v>International</x:v>
      </x:c>
      <x:c r="R921" t="str">
        <x:f>IF(OR(F921&lt;=0,G921&lt;0,G921&gt;F921,N921&lt;0,P921="Non trouvé"),"À vérifier","OK")</x:f>
        <x:v>OK</x:v>
      </x:c>
    </x:row>
    <x:row r="922">
      <x:c r="A922" t="str">
        <x:v>DV-2025-00921</x:v>
      </x:c>
      <x:c r="B922" s="16" t="n">
        <x:v>46012</x:v>
      </x:c>
      <x:c r="C922" t="str">
        <x:v>Client 15</x:v>
      </x:c>
      <x:c r="D922" t="str">
        <x:v>Fret maritime</x:v>
      </x:c>
      <x:c r="E922" t="str">
        <x:v>Pôle A</x:v>
      </x:c>
      <x:c r="F922" s="18" t="n">
        <x:v>24838.34</x:v>
      </x:c>
      <x:c r="G922" s="18" t="n">
        <x:v>24838.34</x:v>
      </x:c>
      <x:c r="H922" t="str">
        <x:v>Client 15</x:v>
      </x:c>
      <x:c r="I922" s="16" t="n">
        <x:v>46035</x:v>
      </x:c>
      <x:c r="J922" t="n">
        <x:f>YEAR(B922)</x:f>
        <x:v>2025</x:v>
      </x:c>
      <x:c r="K922" s="20" t="n">
        <x:f>DATE(YEAR(B922),MONTH(B922),1)</x:f>
        <x:v>45992</x:v>
      </x:c>
      <x:c r="L922" s="18" t="n">
        <x:f>F922-G922</x:f>
        <x:v>0</x:v>
      </x:c>
      <x:c r="M922" t="str">
        <x:f>IF(L922&lt;=0,"Payée",IF(G922=0,"Impayée","Partielle"))</x:f>
        <x:v>Payée</x:v>
      </x:c>
      <x:c r="N922" t="n">
        <x:f>IF(I922="","",I922-B922)</x:f>
        <x:v>23</x:v>
      </x:c>
      <x:c r="O922" t="str">
        <x:f>IF(TRIM(C922)&lt;&gt;TRIM(H922),"Oui","Non")</x:f>
        <x:v>Non</x:v>
      </x:c>
      <x:c r="P922" t="str">
        <x:f>IFERROR(INDEX('02_REFERENTIEL_CLIENTS'!$B$2:$B$51,MATCH(TRIM(C922),'02_REFERENTIEL_CLIENTS'!$A$2:$A$51,0)),"Non trouvé")</x:f>
        <x:v>Particuliers</x:v>
      </x:c>
      <x:c r="Q922" t="str">
        <x:f>IFERROR(INDEX('02_REFERENTIEL_CLIENTS'!$C$2:$C$51,MATCH(TRIM(C922),'02_REFERENTIEL_CLIENTS'!$A$2:$A$51,0)),"Non trouvé")</x:f>
        <x:v>International</x:v>
      </x:c>
      <x:c r="R922" t="str">
        <x:f>IF(OR(F922&lt;=0,G922&lt;0,G922&gt;F922,N922&lt;0,P922="Non trouvé"),"À vérifier","OK")</x:f>
        <x:v>OK</x:v>
      </x:c>
    </x:row>
    <x:row r="923">
      <x:c r="A923" t="str">
        <x:v>DV-2025-00922</x:v>
      </x:c>
      <x:c r="B923" s="16" t="n">
        <x:v>45968</x:v>
      </x:c>
      <x:c r="C923" t="str">
        <x:v>Client 34</x:v>
      </x:c>
      <x:c r="D923" t="str">
        <x:v>Express</x:v>
      </x:c>
      <x:c r="E923" t="str">
        <x:v>Pôle D</x:v>
      </x:c>
      <x:c r="F923" s="18" t="n">
        <x:v>23307.84</x:v>
      </x:c>
      <x:c r="G923" s="18" t="n">
        <x:v>23307.84</x:v>
      </x:c>
      <x:c r="H923" t="str">
        <x:v>Client 34</x:v>
      </x:c>
      <x:c r="I923" s="16" t="n">
        <x:v>45994</x:v>
      </x:c>
      <x:c r="J923" t="n">
        <x:f>YEAR(B923)</x:f>
        <x:v>2025</x:v>
      </x:c>
      <x:c r="K923" s="20" t="n">
        <x:f>DATE(YEAR(B923),MONTH(B923),1)</x:f>
        <x:v>45962</x:v>
      </x:c>
      <x:c r="L923" s="18" t="n">
        <x:f>F923-G923</x:f>
        <x:v>0</x:v>
      </x:c>
      <x:c r="M923" t="str">
        <x:f>IF(L923&lt;=0,"Payée",IF(G923=0,"Impayée","Partielle"))</x:f>
        <x:v>Payée</x:v>
      </x:c>
      <x:c r="N923" t="n">
        <x:f>IF(I923="","",I923-B923)</x:f>
        <x:v>26</x:v>
      </x:c>
      <x:c r="O923" t="str">
        <x:f>IF(TRIM(C923)&lt;&gt;TRIM(H923),"Oui","Non")</x:f>
        <x:v>Non</x:v>
      </x:c>
      <x:c r="P923" t="str">
        <x:f>IFERROR(INDEX('02_REFERENTIEL_CLIENTS'!$B$2:$B$51,MATCH(TRIM(C923),'02_REFERENTIEL_CLIENTS'!$A$2:$A$51,0)),"Non trouvé")</x:f>
        <x:v>Grands comptes</x:v>
      </x:c>
      <x:c r="Q923" t="str">
        <x:f>IFERROR(INDEX('02_REFERENTIEL_CLIENTS'!$C$2:$C$51,MATCH(TRIM(C923),'02_REFERENTIEL_CLIENTS'!$A$2:$A$51,0)),"Non trouvé")</x:f>
        <x:v>France</x:v>
      </x:c>
      <x:c r="R923" t="str">
        <x:f>IF(OR(F923&lt;=0,G923&lt;0,G923&gt;F923,N923&lt;0,P923="Non trouvé"),"À vérifier","OK")</x:f>
        <x:v>OK</x:v>
      </x:c>
    </x:row>
    <x:row r="924">
      <x:c r="A924" t="str">
        <x:v>DV-2026-00923</x:v>
      </x:c>
      <x:c r="B924" s="16" t="n">
        <x:v>46222</x:v>
      </x:c>
      <x:c r="C924" t="str">
        <x:v>Client 11</x:v>
      </x:c>
      <x:c r="D924" t="str">
        <x:v>Express</x:v>
      </x:c>
      <x:c r="E924" t="str">
        <x:v>Pôle C</x:v>
      </x:c>
      <x:c r="F924" s="18" t="n">
        <x:v>13599.54</x:v>
      </x:c>
      <x:c r="G924" s="18" t="n">
        <x:v>13599.54</x:v>
      </x:c>
      <x:c r="H924" t="str">
        <x:v>Client 11</x:v>
      </x:c>
      <x:c r="I924" s="16" t="n">
        <x:v>46274</x:v>
      </x:c>
      <x:c r="J924" t="n">
        <x:f>YEAR(B924)</x:f>
        <x:v>2026</x:v>
      </x:c>
      <x:c r="K924" s="20" t="n">
        <x:f>DATE(YEAR(B924),MONTH(B924),1)</x:f>
        <x:v>46204</x:v>
      </x:c>
      <x:c r="L924" s="18" t="n">
        <x:f>F924-G924</x:f>
        <x:v>0</x:v>
      </x:c>
      <x:c r="M924" t="str">
        <x:f>IF(L924&lt;=0,"Payée",IF(G924=0,"Impayée","Partielle"))</x:f>
        <x:v>Payée</x:v>
      </x:c>
      <x:c r="N924" t="n">
        <x:f>IF(I924="","",I924-B924)</x:f>
        <x:v>52</x:v>
      </x:c>
      <x:c r="O924" t="str">
        <x:f>IF(TRIM(C924)&lt;&gt;TRIM(H924),"Oui","Non")</x:f>
        <x:v>Non</x:v>
      </x:c>
      <x:c r="P924" t="str">
        <x:f>IFERROR(INDEX('02_REFERENTIEL_CLIENTS'!$B$2:$B$51,MATCH(TRIM(C924),'02_REFERENTIEL_CLIENTS'!$A$2:$A$51,0)),"Non trouvé")</x:f>
        <x:v>PME</x:v>
      </x:c>
      <x:c r="Q924" t="str">
        <x:f>IFERROR(INDEX('02_REFERENTIEL_CLIENTS'!$C$2:$C$51,MATCH(TRIM(C924),'02_REFERENTIEL_CLIENTS'!$A$2:$A$51,0)),"Non trouvé")</x:f>
        <x:v>Europe</x:v>
      </x:c>
      <x:c r="R924" t="str">
        <x:f>IF(OR(F924&lt;=0,G924&lt;0,G924&gt;F924,N924&lt;0,P924="Non trouvé"),"À vérifier","OK")</x:f>
        <x:v>OK</x:v>
      </x:c>
    </x:row>
    <x:row r="925">
      <x:c r="A925" t="str">
        <x:v>DV-2024-00924</x:v>
      </x:c>
      <x:c r="B925" s="16" t="n">
        <x:v>45549</x:v>
      </x:c>
      <x:c r="C925" t="str">
        <x:v>Client 31</x:v>
      </x:c>
      <x:c r="D925" t="str">
        <x:v>Fret aérien</x:v>
      </x:c>
      <x:c r="E925" t="str">
        <x:v>Pôle D</x:v>
      </x:c>
      <x:c r="F925" s="18" t="n">
        <x:v>6915.72</x:v>
      </x:c>
      <x:c r="G925" s="18" t="n">
        <x:v>0</x:v>
      </x:c>
      <x:c r="H925" t="str">
        <x:v>Client 31</x:v>
      </x:c>
      <x:c r="I925" s="16"/>
      <x:c r="J925" t="n">
        <x:f>YEAR(B925)</x:f>
        <x:v>2024</x:v>
      </x:c>
      <x:c r="K925" s="20" t="n">
        <x:f>DATE(YEAR(B925),MONTH(B925),1)</x:f>
        <x:v>45536</x:v>
      </x:c>
      <x:c r="L925" s="18" t="n">
        <x:f>F925-G925</x:f>
        <x:v>6915.72</x:v>
      </x:c>
      <x:c r="M925" t="str">
        <x:f>IF(L925&lt;=0,"Payée",IF(G925=0,"Impayée","Partielle"))</x:f>
        <x:v>Impayée</x:v>
      </x:c>
      <x:c r="N925" t="str">
        <x:f>IF(I925="","",I925-B925)</x:f>
      </x:c>
      <x:c r="O925" t="str">
        <x:f>IF(TRIM(C925)&lt;&gt;TRIM(H925),"Oui","Non")</x:f>
        <x:v>Non</x:v>
      </x:c>
      <x:c r="P925" t="str">
        <x:f>IFERROR(INDEX('02_REFERENTIEL_CLIENTS'!$B$2:$B$51,MATCH(TRIM(C925),'02_REFERENTIEL_CLIENTS'!$A$2:$A$51,0)),"Non trouvé")</x:f>
        <x:v>Grands comptes</x:v>
      </x:c>
      <x:c r="Q925" t="str">
        <x:f>IFERROR(INDEX('02_REFERENTIEL_CLIENTS'!$C$2:$C$51,MATCH(TRIM(C925),'02_REFERENTIEL_CLIENTS'!$A$2:$A$51,0)),"Non trouvé")</x:f>
        <x:v>France</x:v>
      </x:c>
      <x:c r="R925" t="str">
        <x:f>IF(OR(F925&lt;=0,G925&lt;0,G925&gt;F925,N925&lt;0,P925="Non trouvé"),"À vérifier","OK")</x:f>
        <x:v>OK</x:v>
      </x:c>
    </x:row>
    <x:row r="926">
      <x:c r="A926" t="str">
        <x:v>DV-2025-00925</x:v>
      </x:c>
      <x:c r="B926" s="16" t="n">
        <x:v>45707</x:v>
      </x:c>
      <x:c r="C926" t="str">
        <x:v>Client 25</x:v>
      </x:c>
      <x:c r="D926" t="str">
        <x:v>Fret aérien</x:v>
      </x:c>
      <x:c r="E926" t="str">
        <x:v>Pôle E</x:v>
      </x:c>
      <x:c r="F926" s="18" t="n">
        <x:v>8512.83</x:v>
      </x:c>
      <x:c r="G926" s="18" t="n">
        <x:v>8512.83</x:v>
      </x:c>
      <x:c r="H926" t="str">
        <x:v>Client 25</x:v>
      </x:c>
      <x:c r="I926" s="16" t="n">
        <x:v>45771</x:v>
      </x:c>
      <x:c r="J926" t="n">
        <x:f>YEAR(B926)</x:f>
        <x:v>2025</x:v>
      </x:c>
      <x:c r="K926" s="20" t="n">
        <x:f>DATE(YEAR(B926),MONTH(B926),1)</x:f>
        <x:v>45689</x:v>
      </x:c>
      <x:c r="L926" s="18" t="n">
        <x:f>F926-G926</x:f>
        <x:v>0</x:v>
      </x:c>
      <x:c r="M926" t="str">
        <x:f>IF(L926&lt;=0,"Payée",IF(G926=0,"Impayée","Partielle"))</x:f>
        <x:v>Payée</x:v>
      </x:c>
      <x:c r="N926" t="n">
        <x:f>IF(I926="","",I926-B926)</x:f>
        <x:v>64</x:v>
      </x:c>
      <x:c r="O926" t="str">
        <x:f>IF(TRIM(C926)&lt;&gt;TRIM(H926),"Oui","Non")</x:f>
        <x:v>Non</x:v>
      </x:c>
      <x:c r="P926" t="str">
        <x:f>IFERROR(INDEX('02_REFERENTIEL_CLIENTS'!$B$2:$B$51,MATCH(TRIM(C926),'02_REFERENTIEL_CLIENTS'!$A$2:$A$51,0)),"Non trouvé")</x:f>
        <x:v>Grands comptes</x:v>
      </x:c>
      <x:c r="Q926" t="str">
        <x:f>IFERROR(INDEX('02_REFERENTIEL_CLIENTS'!$C$2:$C$51,MATCH(TRIM(C926),'02_REFERENTIEL_CLIENTS'!$A$2:$A$51,0)),"Non trouvé")</x:f>
        <x:v>France</x:v>
      </x:c>
      <x:c r="R926" t="str">
        <x:f>IF(OR(F926&lt;=0,G926&lt;0,G926&gt;F926,N926&lt;0,P926="Non trouvé"),"À vérifier","OK")</x:f>
        <x:v>OK</x:v>
      </x:c>
    </x:row>
    <x:row r="927">
      <x:c r="A927" t="str">
        <x:v>DV-2026-00926</x:v>
      </x:c>
      <x:c r="B927" s="16" t="n">
        <x:v>46213</x:v>
      </x:c>
      <x:c r="C927" t="str">
        <x:v>Client 31</x:v>
      </x:c>
      <x:c r="D927" t="str">
        <x:v>Fret maritime</x:v>
      </x:c>
      <x:c r="E927" t="str">
        <x:v>Pôle D</x:v>
      </x:c>
      <x:c r="F927" s="18" t="n">
        <x:v>9389.48</x:v>
      </x:c>
      <x:c r="G927" s="18" t="n">
        <x:v>9389.48</x:v>
      </x:c>
      <x:c r="H927" t="str">
        <x:v>Client 31</x:v>
      </x:c>
      <x:c r="I927" s="16" t="n">
        <x:v>46267</x:v>
      </x:c>
      <x:c r="J927" t="n">
        <x:f>YEAR(B927)</x:f>
        <x:v>2026</x:v>
      </x:c>
      <x:c r="K927" s="20" t="n">
        <x:f>DATE(YEAR(B927),MONTH(B927),1)</x:f>
        <x:v>46204</x:v>
      </x:c>
      <x:c r="L927" s="18" t="n">
        <x:f>F927-G927</x:f>
        <x:v>0</x:v>
      </x:c>
      <x:c r="M927" t="str">
        <x:f>IF(L927&lt;=0,"Payée",IF(G927=0,"Impayée","Partielle"))</x:f>
        <x:v>Payée</x:v>
      </x:c>
      <x:c r="N927" t="n">
        <x:f>IF(I927="","",I927-B927)</x:f>
        <x:v>54</x:v>
      </x:c>
      <x:c r="O927" t="str">
        <x:f>IF(TRIM(C927)&lt;&gt;TRIM(H927),"Oui","Non")</x:f>
        <x:v>Non</x:v>
      </x:c>
      <x:c r="P927" t="str">
        <x:f>IFERROR(INDEX('02_REFERENTIEL_CLIENTS'!$B$2:$B$51,MATCH(TRIM(C927),'02_REFERENTIEL_CLIENTS'!$A$2:$A$51,0)),"Non trouvé")</x:f>
        <x:v>Grands comptes</x:v>
      </x:c>
      <x:c r="Q927" t="str">
        <x:f>IFERROR(INDEX('02_REFERENTIEL_CLIENTS'!$C$2:$C$51,MATCH(TRIM(C927),'02_REFERENTIEL_CLIENTS'!$A$2:$A$51,0)),"Non trouvé")</x:f>
        <x:v>France</x:v>
      </x:c>
      <x:c r="R927" t="str">
        <x:f>IF(OR(F927&lt;=0,G927&lt;0,G927&gt;F927,N927&lt;0,P927="Non trouvé"),"À vérifier","OK")</x:f>
        <x:v>OK</x:v>
      </x:c>
    </x:row>
    <x:row r="928">
      <x:c r="A928" t="str">
        <x:v>DV-2025-00927</x:v>
      </x:c>
      <x:c r="B928" s="16" t="n">
        <x:v>45810</x:v>
      </x:c>
      <x:c r="C928" t="str">
        <x:v>Client 30</x:v>
      </x:c>
      <x:c r="D928" t="str">
        <x:v>Logistique</x:v>
      </x:c>
      <x:c r="E928" t="str">
        <x:v>Pôle D</x:v>
      </x:c>
      <x:c r="F928" s="18" t="n">
        <x:v>925.84</x:v>
      </x:c>
      <x:c r="G928" s="18" t="n">
        <x:v>925.84</x:v>
      </x:c>
      <x:c r="H928" t="str">
        <x:v>Client 30</x:v>
      </x:c>
      <x:c r="I928" s="16" t="n">
        <x:v>45892</x:v>
      </x:c>
      <x:c r="J928" t="n">
        <x:f>YEAR(B928)</x:f>
        <x:v>2025</x:v>
      </x:c>
      <x:c r="K928" s="20" t="n">
        <x:f>DATE(YEAR(B928),MONTH(B928),1)</x:f>
        <x:v>45809</x:v>
      </x:c>
      <x:c r="L928" s="18" t="n">
        <x:f>F928-G928</x:f>
        <x:v>0</x:v>
      </x:c>
      <x:c r="M928" t="str">
        <x:f>IF(L928&lt;=0,"Payée",IF(G928=0,"Impayée","Partielle"))</x:f>
        <x:v>Payée</x:v>
      </x:c>
      <x:c r="N928" t="n">
        <x:f>IF(I928="","",I928-B928)</x:f>
        <x:v>82</x:v>
      </x:c>
      <x:c r="O928" t="str">
        <x:f>IF(TRIM(C928)&lt;&gt;TRIM(H928),"Oui","Non")</x:f>
        <x:v>Non</x:v>
      </x:c>
      <x:c r="P928" t="str">
        <x:f>IFERROR(INDEX('02_REFERENTIEL_CLIENTS'!$B$2:$B$51,MATCH(TRIM(C928),'02_REFERENTIEL_CLIENTS'!$A$2:$A$51,0)),"Non trouvé")</x:f>
        <x:v>Particuliers</x:v>
      </x:c>
      <x:c r="Q928" t="str">
        <x:f>IFERROR(INDEX('02_REFERENTIEL_CLIENTS'!$C$2:$C$51,MATCH(TRIM(C928),'02_REFERENTIEL_CLIENTS'!$A$2:$A$51,0)),"Non trouvé")</x:f>
        <x:v>International</x:v>
      </x:c>
      <x:c r="R928" t="str">
        <x:f>IF(OR(F928&lt;=0,G928&lt;0,G928&gt;F928,N928&lt;0,P928="Non trouvé"),"À vérifier","OK")</x:f>
        <x:v>OK</x:v>
      </x:c>
    </x:row>
    <x:row r="929">
      <x:c r="A929" t="str">
        <x:v>DV-2025-00928</x:v>
      </x:c>
      <x:c r="B929" s="16" t="n">
        <x:v>45858</x:v>
      </x:c>
      <x:c r="C929" t="str">
        <x:v>Client 44</x:v>
      </x:c>
      <x:c r="D929" t="str">
        <x:v>Fret maritime</x:v>
      </x:c>
      <x:c r="E929" t="str">
        <x:v>Pôle B</x:v>
      </x:c>
      <x:c r="F929" s="18" t="n">
        <x:v>8989.39</x:v>
      </x:c>
      <x:c r="G929" s="18" t="n">
        <x:v>8989.39</x:v>
      </x:c>
      <x:c r="H929" t="str">
        <x:v>Client 44</x:v>
      </x:c>
      <x:c r="I929" s="16" t="n">
        <x:v>45940</x:v>
      </x:c>
      <x:c r="J929" t="n">
        <x:f>YEAR(B929)</x:f>
        <x:v>2025</x:v>
      </x:c>
      <x:c r="K929" s="20" t="n">
        <x:f>DATE(YEAR(B929),MONTH(B929),1)</x:f>
        <x:v>45839</x:v>
      </x:c>
      <x:c r="L929" s="18" t="n">
        <x:f>F929-G929</x:f>
        <x:v>0</x:v>
      </x:c>
      <x:c r="M929" t="str">
        <x:f>IF(L929&lt;=0,"Payée",IF(G929=0,"Impayée","Partielle"))</x:f>
        <x:v>Payée</x:v>
      </x:c>
      <x:c r="N929" t="n">
        <x:f>IF(I929="","",I929-B929)</x:f>
        <x:v>82</x:v>
      </x:c>
      <x:c r="O929" t="str">
        <x:f>IF(TRIM(C929)&lt;&gt;TRIM(H929),"Oui","Non")</x:f>
        <x:v>Non</x:v>
      </x:c>
      <x:c r="P929" t="str">
        <x:f>IFERROR(INDEX('02_REFERENTIEL_CLIENTS'!$B$2:$B$51,MATCH(TRIM(C929),'02_REFERENTIEL_CLIENTS'!$A$2:$A$51,0)),"Non trouvé")</x:f>
        <x:v>PME</x:v>
      </x:c>
      <x:c r="Q929" t="str">
        <x:f>IFERROR(INDEX('02_REFERENTIEL_CLIENTS'!$C$2:$C$51,MATCH(TRIM(C929),'02_REFERENTIEL_CLIENTS'!$A$2:$A$51,0)),"Non trouvé")</x:f>
        <x:v>Europe</x:v>
      </x:c>
      <x:c r="R929" t="str">
        <x:f>IF(OR(F929&lt;=0,G929&lt;0,G929&gt;F929,N929&lt;0,P929="Non trouvé"),"À vérifier","OK")</x:f>
        <x:v>OK</x:v>
      </x:c>
    </x:row>
    <x:row r="930">
      <x:c r="A930" t="str">
        <x:v>DV-2025-00929</x:v>
      </x:c>
      <x:c r="B930" s="16" t="n">
        <x:v>45852</x:v>
      </x:c>
      <x:c r="C930" t="str">
        <x:v>Client 19</x:v>
      </x:c>
      <x:c r="D930" t="str">
        <x:v>Logistique</x:v>
      </x:c>
      <x:c r="E930" t="str">
        <x:v>Pôle C</x:v>
      </x:c>
      <x:c r="F930" s="18" t="n">
        <x:v>3041.45</x:v>
      </x:c>
      <x:c r="G930" s="18" t="n">
        <x:v>3041.45</x:v>
      </x:c>
      <x:c r="H930" t="str">
        <x:v>Client 19</x:v>
      </x:c>
      <x:c r="I930" s="16" t="n">
        <x:v>45857</x:v>
      </x:c>
      <x:c r="J930" t="n">
        <x:f>YEAR(B930)</x:f>
        <x:v>2025</x:v>
      </x:c>
      <x:c r="K930" s="20" t="n">
        <x:f>DATE(YEAR(B930),MONTH(B930),1)</x:f>
        <x:v>45839</x:v>
      </x:c>
      <x:c r="L930" s="18" t="n">
        <x:f>F930-G930</x:f>
        <x:v>0</x:v>
      </x:c>
      <x:c r="M930" t="str">
        <x:f>IF(L930&lt;=0,"Payée",IF(G930=0,"Impayée","Partielle"))</x:f>
        <x:v>Payée</x:v>
      </x:c>
      <x:c r="N930" t="n">
        <x:f>IF(I930="","",I930-B930)</x:f>
        <x:v>5</x:v>
      </x:c>
      <x:c r="O930" t="str">
        <x:f>IF(TRIM(C930)&lt;&gt;TRIM(H930),"Oui","Non")</x:f>
        <x:v>Non</x:v>
      </x:c>
      <x:c r="P930" t="str">
        <x:f>IFERROR(INDEX('02_REFERENTIEL_CLIENTS'!$B$2:$B$51,MATCH(TRIM(C930),'02_REFERENTIEL_CLIENTS'!$A$2:$A$51,0)),"Non trouvé")</x:f>
        <x:v>Grands comptes</x:v>
      </x:c>
      <x:c r="Q930" t="str">
        <x:f>IFERROR(INDEX('02_REFERENTIEL_CLIENTS'!$C$2:$C$51,MATCH(TRIM(C930),'02_REFERENTIEL_CLIENTS'!$A$2:$A$51,0)),"Non trouvé")</x:f>
        <x:v>France</x:v>
      </x:c>
      <x:c r="R930" t="str">
        <x:f>IF(OR(F930&lt;=0,G930&lt;0,G930&gt;F930,N930&lt;0,P930="Non trouvé"),"À vérifier","OK")</x:f>
        <x:v>OK</x:v>
      </x:c>
    </x:row>
    <x:row r="931">
      <x:c r="A931" t="str">
        <x:v>DV-2024-00930</x:v>
      </x:c>
      <x:c r="B931" s="16" t="n">
        <x:v>45469</x:v>
      </x:c>
      <x:c r="C931" t="str">
        <x:v>Client 15</x:v>
      </x:c>
      <x:c r="D931" t="str">
        <x:v>Fret aérien</x:v>
      </x:c>
      <x:c r="E931" t="str">
        <x:v>Pôle C</x:v>
      </x:c>
      <x:c r="F931" s="18" t="n">
        <x:v>10701.56</x:v>
      </x:c>
      <x:c r="G931" s="18" t="n">
        <x:v>10701.56</x:v>
      </x:c>
      <x:c r="H931" t="str">
        <x:v>Client 15</x:v>
      </x:c>
      <x:c r="I931" s="16" t="n">
        <x:v>45532</x:v>
      </x:c>
      <x:c r="J931" t="n">
        <x:f>YEAR(B931)</x:f>
        <x:v>2024</x:v>
      </x:c>
      <x:c r="K931" s="20" t="n">
        <x:f>DATE(YEAR(B931),MONTH(B931),1)</x:f>
        <x:v>45444</x:v>
      </x:c>
      <x:c r="L931" s="18" t="n">
        <x:f>F931-G931</x:f>
        <x:v>0</x:v>
      </x:c>
      <x:c r="M931" t="str">
        <x:f>IF(L931&lt;=0,"Payée",IF(G931=0,"Impayée","Partielle"))</x:f>
        <x:v>Payée</x:v>
      </x:c>
      <x:c r="N931" t="n">
        <x:f>IF(I931="","",I931-B931)</x:f>
        <x:v>63</x:v>
      </x:c>
      <x:c r="O931" t="str">
        <x:f>IF(TRIM(C931)&lt;&gt;TRIM(H931),"Oui","Non")</x:f>
        <x:v>Non</x:v>
      </x:c>
      <x:c r="P931" t="str">
        <x:f>IFERROR(INDEX('02_REFERENTIEL_CLIENTS'!$B$2:$B$51,MATCH(TRIM(C931),'02_REFERENTIEL_CLIENTS'!$A$2:$A$51,0)),"Non trouvé")</x:f>
        <x:v>Particuliers</x:v>
      </x:c>
      <x:c r="Q931" t="str">
        <x:f>IFERROR(INDEX('02_REFERENTIEL_CLIENTS'!$C$2:$C$51,MATCH(TRIM(C931),'02_REFERENTIEL_CLIENTS'!$A$2:$A$51,0)),"Non trouvé")</x:f>
        <x:v>International</x:v>
      </x:c>
      <x:c r="R931" t="str">
        <x:f>IF(OR(F931&lt;=0,G931&lt;0,G931&gt;F931,N931&lt;0,P931="Non trouvé"),"À vérifier","OK")</x:f>
        <x:v>OK</x:v>
      </x:c>
    </x:row>
    <x:row r="932">
      <x:c r="A932" t="str">
        <x:v>DV-2025-00931</x:v>
      </x:c>
      <x:c r="B932" s="16" t="n">
        <x:v>45774</x:v>
      </x:c>
      <x:c r="C932" t="str">
        <x:v>Client 44</x:v>
      </x:c>
      <x:c r="D932" t="str">
        <x:v>Fret maritime</x:v>
      </x:c>
      <x:c r="E932" t="str">
        <x:v>Pôle C</x:v>
      </x:c>
      <x:c r="F932" s="18" t="n">
        <x:v>3785.74</x:v>
      </x:c>
      <x:c r="G932" s="18" t="n">
        <x:v>3785.74</x:v>
      </x:c>
      <x:c r="H932" t="str">
        <x:v>Client 44</x:v>
      </x:c>
      <x:c r="I932" s="16" t="n">
        <x:v>45866</x:v>
      </x:c>
      <x:c r="J932" t="n">
        <x:f>YEAR(B932)</x:f>
        <x:v>2025</x:v>
      </x:c>
      <x:c r="K932" s="20" t="n">
        <x:f>DATE(YEAR(B932),MONTH(B932),1)</x:f>
        <x:v>45748</x:v>
      </x:c>
      <x:c r="L932" s="18" t="n">
        <x:f>F932-G932</x:f>
        <x:v>0</x:v>
      </x:c>
      <x:c r="M932" t="str">
        <x:f>IF(L932&lt;=0,"Payée",IF(G932=0,"Impayée","Partielle"))</x:f>
        <x:v>Payée</x:v>
      </x:c>
      <x:c r="N932" t="n">
        <x:f>IF(I932="","",I932-B932)</x:f>
        <x:v>92</x:v>
      </x:c>
      <x:c r="O932" t="str">
        <x:f>IF(TRIM(C932)&lt;&gt;TRIM(H932),"Oui","Non")</x:f>
        <x:v>Non</x:v>
      </x:c>
      <x:c r="P932" t="str">
        <x:f>IFERROR(INDEX('02_REFERENTIEL_CLIENTS'!$B$2:$B$51,MATCH(TRIM(C932),'02_REFERENTIEL_CLIENTS'!$A$2:$A$51,0)),"Non trouvé")</x:f>
        <x:v>PME</x:v>
      </x:c>
      <x:c r="Q932" t="str">
        <x:f>IFERROR(INDEX('02_REFERENTIEL_CLIENTS'!$C$2:$C$51,MATCH(TRIM(C932),'02_REFERENTIEL_CLIENTS'!$A$2:$A$51,0)),"Non trouvé")</x:f>
        <x:v>Europe</x:v>
      </x:c>
      <x:c r="R932" t="str">
        <x:f>IF(OR(F932&lt;=0,G932&lt;0,G932&gt;F932,N932&lt;0,P932="Non trouvé"),"À vérifier","OK")</x:f>
        <x:v>OK</x:v>
      </x:c>
    </x:row>
    <x:row r="933">
      <x:c r="A933" t="str">
        <x:v>DV-2026-00932</x:v>
      </x:c>
      <x:c r="B933" s="16" t="n">
        <x:v>46260</x:v>
      </x:c>
      <x:c r="C933" t="str">
        <x:v>Client 27</x:v>
      </x:c>
      <x:c r="D933" t="str">
        <x:v>Express</x:v>
      </x:c>
      <x:c r="E933" t="str">
        <x:v>Pôle D</x:v>
      </x:c>
      <x:c r="F933" s="18" t="n">
        <x:v>11931.35</x:v>
      </x:c>
      <x:c r="G933" s="18" t="n">
        <x:v>11931.35</x:v>
      </x:c>
      <x:c r="H933" t="str">
        <x:v>Client 27</x:v>
      </x:c>
      <x:c r="I933" s="16" t="n">
        <x:v>46299</x:v>
      </x:c>
      <x:c r="J933" t="n">
        <x:f>YEAR(B933)</x:f>
        <x:v>2026</x:v>
      </x:c>
      <x:c r="K933" s="20" t="n">
        <x:f>DATE(YEAR(B933),MONTH(B933),1)</x:f>
        <x:v>46235</x:v>
      </x:c>
      <x:c r="L933" s="18" t="n">
        <x:f>F933-G933</x:f>
        <x:v>0</x:v>
      </x:c>
      <x:c r="M933" t="str">
        <x:f>IF(L933&lt;=0,"Payée",IF(G933=0,"Impayée","Partielle"))</x:f>
        <x:v>Payée</x:v>
      </x:c>
      <x:c r="N933" t="n">
        <x:f>IF(I933="","",I933-B933)</x:f>
        <x:v>39</x:v>
      </x:c>
      <x:c r="O933" t="str">
        <x:f>IF(TRIM(C933)&lt;&gt;TRIM(H933),"Oui","Non")</x:f>
        <x:v>Non</x:v>
      </x:c>
      <x:c r="P933" t="str">
        <x:f>IFERROR(INDEX('02_REFERENTIEL_CLIENTS'!$B$2:$B$51,MATCH(TRIM(C933),'02_REFERENTIEL_CLIENTS'!$A$2:$A$51,0)),"Non trouvé")</x:f>
        <x:v>Particuliers</x:v>
      </x:c>
      <x:c r="Q933" t="str">
        <x:f>IFERROR(INDEX('02_REFERENTIEL_CLIENTS'!$C$2:$C$51,MATCH(TRIM(C933),'02_REFERENTIEL_CLIENTS'!$A$2:$A$51,0)),"Non trouvé")</x:f>
        <x:v>International</x:v>
      </x:c>
      <x:c r="R933" t="str">
        <x:f>IF(OR(F933&lt;=0,G933&lt;0,G933&gt;F933,N933&lt;0,P933="Non trouvé"),"À vérifier","OK")</x:f>
        <x:v>OK</x:v>
      </x:c>
    </x:row>
    <x:row r="934">
      <x:c r="A934" t="str">
        <x:v>DV-2024-00933</x:v>
      </x:c>
      <x:c r="B934" s="16" t="n">
        <x:v>45605</x:v>
      </x:c>
      <x:c r="C934" t="str">
        <x:v>Client 10</x:v>
      </x:c>
      <x:c r="D934" t="str">
        <x:v>Logistique</x:v>
      </x:c>
      <x:c r="E934" t="str">
        <x:v>Pôle C</x:v>
      </x:c>
      <x:c r="F934" s="18" t="n">
        <x:v>15573.4</x:v>
      </x:c>
      <x:c r="G934" s="18" t="n">
        <x:v>15573.4</x:v>
      </x:c>
      <x:c r="H934" t="str">
        <x:v>Client 10</x:v>
      </x:c>
      <x:c r="I934" s="16" t="n">
        <x:v>45692</x:v>
      </x:c>
      <x:c r="J934" t="n">
        <x:f>YEAR(B934)</x:f>
        <x:v>2024</x:v>
      </x:c>
      <x:c r="K934" s="20" t="n">
        <x:f>DATE(YEAR(B934),MONTH(B934),1)</x:f>
        <x:v>45597</x:v>
      </x:c>
      <x:c r="L934" s="18" t="n">
        <x:f>F934-G934</x:f>
        <x:v>0</x:v>
      </x:c>
      <x:c r="M934" t="str">
        <x:f>IF(L934&lt;=0,"Payée",IF(G934=0,"Impayée","Partielle"))</x:f>
        <x:v>Payée</x:v>
      </x:c>
      <x:c r="N934" t="n">
        <x:f>IF(I934="","",I934-B934)</x:f>
        <x:v>87</x:v>
      </x:c>
      <x:c r="O934" t="str">
        <x:f>IF(TRIM(C934)&lt;&gt;TRIM(H934),"Oui","Non")</x:f>
        <x:v>Non</x:v>
      </x:c>
      <x:c r="P934" t="str">
        <x:f>IFERROR(INDEX('02_REFERENTIEL_CLIENTS'!$B$2:$B$51,MATCH(TRIM(C934),'02_REFERENTIEL_CLIENTS'!$A$2:$A$51,0)),"Non trouvé")</x:f>
        <x:v>Grands comptes</x:v>
      </x:c>
      <x:c r="Q934" t="str">
        <x:f>IFERROR(INDEX('02_REFERENTIEL_CLIENTS'!$C$2:$C$51,MATCH(TRIM(C934),'02_REFERENTIEL_CLIENTS'!$A$2:$A$51,0)),"Non trouvé")</x:f>
        <x:v>France</x:v>
      </x:c>
      <x:c r="R934" t="str">
        <x:f>IF(OR(F934&lt;=0,G934&lt;0,G934&gt;F934,N934&lt;0,P934="Non trouvé"),"À vérifier","OK")</x:f>
        <x:v>OK</x:v>
      </x:c>
    </x:row>
    <x:row r="935">
      <x:c r="A935" t="str">
        <x:v>DV-2026-00934</x:v>
      </x:c>
      <x:c r="B935" s="16" t="n">
        <x:v>46268</x:v>
      </x:c>
      <x:c r="C935" t="str">
        <x:v>Client 01</x:v>
      </x:c>
      <x:c r="D935" t="str">
        <x:v>Douane</x:v>
      </x:c>
      <x:c r="E935" t="str">
        <x:v>Pôle A</x:v>
      </x:c>
      <x:c r="F935" s="18" t="n">
        <x:v>20634.88</x:v>
      </x:c>
      <x:c r="G935" s="18" t="n">
        <x:v>20634.88</x:v>
      </x:c>
      <x:c r="H935" t="str">
        <x:v>Client 01</x:v>
      </x:c>
      <x:c r="I935" s="16" t="n">
        <x:v>46337</x:v>
      </x:c>
      <x:c r="J935" t="n">
        <x:f>YEAR(B935)</x:f>
        <x:v>2026</x:v>
      </x:c>
      <x:c r="K935" s="20" t="n">
        <x:f>DATE(YEAR(B935),MONTH(B935),1)</x:f>
        <x:v>46266</x:v>
      </x:c>
      <x:c r="L935" s="18" t="n">
        <x:f>F935-G935</x:f>
        <x:v>0</x:v>
      </x:c>
      <x:c r="M935" t="str">
        <x:f>IF(L935&lt;=0,"Payée",IF(G935=0,"Impayée","Partielle"))</x:f>
        <x:v>Payée</x:v>
      </x:c>
      <x:c r="N935" t="n">
        <x:f>IF(I935="","",I935-B935)</x:f>
        <x:v>69</x:v>
      </x:c>
      <x:c r="O935" t="str">
        <x:f>IF(TRIM(C935)&lt;&gt;TRIM(H935),"Oui","Non")</x:f>
        <x:v>Non</x:v>
      </x:c>
      <x:c r="P935" t="str">
        <x:f>IFERROR(INDEX('02_REFERENTIEL_CLIENTS'!$B$2:$B$51,MATCH(TRIM(C935),'02_REFERENTIEL_CLIENTS'!$A$2:$A$51,0)),"Non trouvé")</x:f>
        <x:v>Grands comptes</x:v>
      </x:c>
      <x:c r="Q935" t="str">
        <x:f>IFERROR(INDEX('02_REFERENTIEL_CLIENTS'!$C$2:$C$51,MATCH(TRIM(C935),'02_REFERENTIEL_CLIENTS'!$A$2:$A$51,0)),"Non trouvé")</x:f>
        <x:v>France</x:v>
      </x:c>
      <x:c r="R935" t="str">
        <x:f>IF(OR(F935&lt;=0,G935&lt;0,G935&gt;F935,N935&lt;0,P935="Non trouvé"),"À vérifier","OK")</x:f>
        <x:v>OK</x:v>
      </x:c>
    </x:row>
    <x:row r="936">
      <x:c r="A936" t="str">
        <x:v>DV-2025-00935</x:v>
      </x:c>
      <x:c r="B936" s="16" t="n">
        <x:v>45868</x:v>
      </x:c>
      <x:c r="C936" t="str">
        <x:v>Client 03</x:v>
      </x:c>
      <x:c r="D936" t="str">
        <x:v>Douane</x:v>
      </x:c>
      <x:c r="E936" t="str">
        <x:v>Pôle E</x:v>
      </x:c>
      <x:c r="F936" s="18" t="n">
        <x:v>21916.49</x:v>
      </x:c>
      <x:c r="G936" s="18" t="n">
        <x:v>5361.54</x:v>
      </x:c>
      <x:c r="H936" t="str">
        <x:v>Client 03</x:v>
      </x:c>
      <x:c r="I936" s="16" t="n">
        <x:v>45882</x:v>
      </x:c>
      <x:c r="J936" t="n">
        <x:f>YEAR(B936)</x:f>
        <x:v>2025</x:v>
      </x:c>
      <x:c r="K936" s="20" t="n">
        <x:f>DATE(YEAR(B936),MONTH(B936),1)</x:f>
        <x:v>45839</x:v>
      </x:c>
      <x:c r="L936" s="18" t="n">
        <x:f>F936-G936</x:f>
        <x:v>16554.95</x:v>
      </x:c>
      <x:c r="M936" t="str">
        <x:f>IF(L936&lt;=0,"Payée",IF(G936=0,"Impayée","Partielle"))</x:f>
        <x:v>Partielle</x:v>
      </x:c>
      <x:c r="N936" t="n">
        <x:f>IF(I936="","",I936-B936)</x:f>
        <x:v>14</x:v>
      </x:c>
      <x:c r="O936" t="str">
        <x:f>IF(TRIM(C936)&lt;&gt;TRIM(H936),"Oui","Non")</x:f>
        <x:v>Non</x:v>
      </x:c>
      <x:c r="P936" t="str">
        <x:f>IFERROR(INDEX('02_REFERENTIEL_CLIENTS'!$B$2:$B$51,MATCH(TRIM(C936),'02_REFERENTIEL_CLIENTS'!$A$2:$A$51,0)),"Non trouvé")</x:f>
        <x:v>Particuliers</x:v>
      </x:c>
      <x:c r="Q936" t="str">
        <x:f>IFERROR(INDEX('02_REFERENTIEL_CLIENTS'!$C$2:$C$51,MATCH(TRIM(C936),'02_REFERENTIEL_CLIENTS'!$A$2:$A$51,0)),"Non trouvé")</x:f>
        <x:v>International</x:v>
      </x:c>
      <x:c r="R936" t="str">
        <x:f>IF(OR(F936&lt;=0,G936&lt;0,G936&gt;F936,N936&lt;0,P936="Non trouvé"),"À vérifier","OK")</x:f>
        <x:v>OK</x:v>
      </x:c>
    </x:row>
    <x:row r="937">
      <x:c r="A937" t="str">
        <x:v>DV-2026-00936</x:v>
      </x:c>
      <x:c r="B937" s="16" t="n">
        <x:v>46275</x:v>
      </x:c>
      <x:c r="C937" t="str">
        <x:v>Client 11</x:v>
      </x:c>
      <x:c r="D937" t="str">
        <x:v>Express</x:v>
      </x:c>
      <x:c r="E937" t="str">
        <x:v>Pôle D</x:v>
      </x:c>
      <x:c r="F937" s="18" t="n">
        <x:v>15317.4</x:v>
      </x:c>
      <x:c r="G937" s="18" t="n">
        <x:v>6534.47</x:v>
      </x:c>
      <x:c r="H937" t="str">
        <x:v>Client 11</x:v>
      </x:c>
      <x:c r="I937" s="16" t="n">
        <x:v>46315</x:v>
      </x:c>
      <x:c r="J937" t="n">
        <x:f>YEAR(B937)</x:f>
        <x:v>2026</x:v>
      </x:c>
      <x:c r="K937" s="20" t="n">
        <x:f>DATE(YEAR(B937),MONTH(B937),1)</x:f>
        <x:v>46266</x:v>
      </x:c>
      <x:c r="L937" s="18" t="n">
        <x:f>F937-G937</x:f>
        <x:v>8782.93</x:v>
      </x:c>
      <x:c r="M937" t="str">
        <x:f>IF(L937&lt;=0,"Payée",IF(G937=0,"Impayée","Partielle"))</x:f>
        <x:v>Partielle</x:v>
      </x:c>
      <x:c r="N937" t="n">
        <x:f>IF(I937="","",I937-B937)</x:f>
        <x:v>40</x:v>
      </x:c>
      <x:c r="O937" t="str">
        <x:f>IF(TRIM(C937)&lt;&gt;TRIM(H937),"Oui","Non")</x:f>
        <x:v>Non</x:v>
      </x:c>
      <x:c r="P937" t="str">
        <x:f>IFERROR(INDEX('02_REFERENTIEL_CLIENTS'!$B$2:$B$51,MATCH(TRIM(C937),'02_REFERENTIEL_CLIENTS'!$A$2:$A$51,0)),"Non trouvé")</x:f>
        <x:v>PME</x:v>
      </x:c>
      <x:c r="Q937" t="str">
        <x:f>IFERROR(INDEX('02_REFERENTIEL_CLIENTS'!$C$2:$C$51,MATCH(TRIM(C937),'02_REFERENTIEL_CLIENTS'!$A$2:$A$51,0)),"Non trouvé")</x:f>
        <x:v>Europe</x:v>
      </x:c>
      <x:c r="R937" t="str">
        <x:f>IF(OR(F937&lt;=0,G937&lt;0,G937&gt;F937,N937&lt;0,P937="Non trouvé"),"À vérifier","OK")</x:f>
        <x:v>OK</x:v>
      </x:c>
    </x:row>
    <x:row r="938">
      <x:c r="A938" t="str">
        <x:v>DV-2026-00937</x:v>
      </x:c>
      <x:c r="B938" s="16" t="n">
        <x:v>46050</x:v>
      </x:c>
      <x:c r="C938" t="str">
        <x:v>Client 13</x:v>
      </x:c>
      <x:c r="D938" t="str">
        <x:v>Fret maritime</x:v>
      </x:c>
      <x:c r="E938" t="str">
        <x:v>Pôle B</x:v>
      </x:c>
      <x:c r="F938" s="18" t="n">
        <x:v>16324.76</x:v>
      </x:c>
      <x:c r="G938" s="18" t="n">
        <x:v>16324.76</x:v>
      </x:c>
      <x:c r="H938" t="str">
        <x:v>Client 13</x:v>
      </x:c>
      <x:c r="I938" s="16" t="n">
        <x:v>46141</x:v>
      </x:c>
      <x:c r="J938" t="n">
        <x:f>YEAR(B938)</x:f>
        <x:v>2026</x:v>
      </x:c>
      <x:c r="K938" s="20" t="n">
        <x:f>DATE(YEAR(B938),MONTH(B938),1)</x:f>
        <x:v>46023</x:v>
      </x:c>
      <x:c r="L938" s="18" t="n">
        <x:f>F938-G938</x:f>
        <x:v>0</x:v>
      </x:c>
      <x:c r="M938" t="str">
        <x:f>IF(L938&lt;=0,"Payée",IF(G938=0,"Impayée","Partielle"))</x:f>
        <x:v>Payée</x:v>
      </x:c>
      <x:c r="N938" t="n">
        <x:f>IF(I938="","",I938-B938)</x:f>
        <x:v>91</x:v>
      </x:c>
      <x:c r="O938" t="str">
        <x:f>IF(TRIM(C938)&lt;&gt;TRIM(H938),"Oui","Non")</x:f>
        <x:v>Non</x:v>
      </x:c>
      <x:c r="P938" t="str">
        <x:f>IFERROR(INDEX('02_REFERENTIEL_CLIENTS'!$B$2:$B$51,MATCH(TRIM(C938),'02_REFERENTIEL_CLIENTS'!$A$2:$A$51,0)),"Non trouvé")</x:f>
        <x:v>Grands comptes</x:v>
      </x:c>
      <x:c r="Q938" t="str">
        <x:f>IFERROR(INDEX('02_REFERENTIEL_CLIENTS'!$C$2:$C$51,MATCH(TRIM(C938),'02_REFERENTIEL_CLIENTS'!$A$2:$A$51,0)),"Non trouvé")</x:f>
        <x:v>France</x:v>
      </x:c>
      <x:c r="R938" t="str">
        <x:f>IF(OR(F938&lt;=0,G938&lt;0,G938&gt;F938,N938&lt;0,P938="Non trouvé"),"À vérifier","OK")</x:f>
        <x:v>OK</x:v>
      </x:c>
    </x:row>
    <x:row r="939">
      <x:c r="A939" t="str">
        <x:v>DV-2026-00938</x:v>
      </x:c>
      <x:c r="B939" s="16" t="n">
        <x:v>46109</x:v>
      </x:c>
      <x:c r="C939" t="str">
        <x:v>Client 23</x:v>
      </x:c>
      <x:c r="D939" t="str">
        <x:v>Fret maritime</x:v>
      </x:c>
      <x:c r="E939" t="str">
        <x:v>Pôle A</x:v>
      </x:c>
      <x:c r="F939" s="18" t="n">
        <x:v>24762.19</x:v>
      </x:c>
      <x:c r="G939" s="18" t="n">
        <x:v>24762.19</x:v>
      </x:c>
      <x:c r="H939" t="str">
        <x:v>Client 23</x:v>
      </x:c>
      <x:c r="I939" s="16" t="n">
        <x:v>46118</x:v>
      </x:c>
      <x:c r="J939" t="n">
        <x:f>YEAR(B939)</x:f>
        <x:v>2026</x:v>
      </x:c>
      <x:c r="K939" s="20" t="n">
        <x:f>DATE(YEAR(B939),MONTH(B939),1)</x:f>
        <x:v>46082</x:v>
      </x:c>
      <x:c r="L939" s="18" t="n">
        <x:f>F939-G939</x:f>
        <x:v>0</x:v>
      </x:c>
      <x:c r="M939" t="str">
        <x:f>IF(L939&lt;=0,"Payée",IF(G939=0,"Impayée","Partielle"))</x:f>
        <x:v>Payée</x:v>
      </x:c>
      <x:c r="N939" t="n">
        <x:f>IF(I939="","",I939-B939)</x:f>
        <x:v>9</x:v>
      </x:c>
      <x:c r="O939" t="str">
        <x:f>IF(TRIM(C939)&lt;&gt;TRIM(H939),"Oui","Non")</x:f>
        <x:v>Non</x:v>
      </x:c>
      <x:c r="P939" t="str">
        <x:f>IFERROR(INDEX('02_REFERENTIEL_CLIENTS'!$B$2:$B$51,MATCH(TRIM(C939),'02_REFERENTIEL_CLIENTS'!$A$2:$A$51,0)),"Non trouvé")</x:f>
        <x:v>PME</x:v>
      </x:c>
      <x:c r="Q939" t="str">
        <x:f>IFERROR(INDEX('02_REFERENTIEL_CLIENTS'!$C$2:$C$51,MATCH(TRIM(C939),'02_REFERENTIEL_CLIENTS'!$A$2:$A$51,0)),"Non trouvé")</x:f>
        <x:v>Europe</x:v>
      </x:c>
      <x:c r="R939" t="str">
        <x:f>IF(OR(F939&lt;=0,G939&lt;0,G939&gt;F939,N939&lt;0,P939="Non trouvé"),"À vérifier","OK")</x:f>
        <x:v>OK</x:v>
      </x:c>
    </x:row>
    <x:row r="940">
      <x:c r="A940" t="str">
        <x:v>DV-2025-00939</x:v>
      </x:c>
      <x:c r="B940" s="16" t="n">
        <x:v>45753</x:v>
      </x:c>
      <x:c r="C940" t="str">
        <x:v>Client 22</x:v>
      </x:c>
      <x:c r="D940" t="str">
        <x:v>Logistique</x:v>
      </x:c>
      <x:c r="E940" t="str">
        <x:v>Pôle E</x:v>
      </x:c>
      <x:c r="F940" s="18" t="n">
        <x:v>1235.85</x:v>
      </x:c>
      <x:c r="G940" s="18" t="n">
        <x:v>1235.85</x:v>
      </x:c>
      <x:c r="H940" t="str">
        <x:v>Client 22</x:v>
      </x:c>
      <x:c r="I940" s="16" t="n">
        <x:v>45813</x:v>
      </x:c>
      <x:c r="J940" t="n">
        <x:f>YEAR(B940)</x:f>
        <x:v>2025</x:v>
      </x:c>
      <x:c r="K940" s="20" t="n">
        <x:f>DATE(YEAR(B940),MONTH(B940),1)</x:f>
        <x:v>45748</x:v>
      </x:c>
      <x:c r="L940" s="18" t="n">
        <x:f>F940-G940</x:f>
        <x:v>0</x:v>
      </x:c>
      <x:c r="M940" t="str">
        <x:f>IF(L940&lt;=0,"Payée",IF(G940=0,"Impayée","Partielle"))</x:f>
        <x:v>Payée</x:v>
      </x:c>
      <x:c r="N940" t="n">
        <x:f>IF(I940="","",I940-B940)</x:f>
        <x:v>60</x:v>
      </x:c>
      <x:c r="O940" t="str">
        <x:f>IF(TRIM(C940)&lt;&gt;TRIM(H940),"Oui","Non")</x:f>
        <x:v>Non</x:v>
      </x:c>
      <x:c r="P940" t="str">
        <x:f>IFERROR(INDEX('02_REFERENTIEL_CLIENTS'!$B$2:$B$51,MATCH(TRIM(C940),'02_REFERENTIEL_CLIENTS'!$A$2:$A$51,0)),"Non trouvé")</x:f>
        <x:v>Grands comptes</x:v>
      </x:c>
      <x:c r="Q940" t="str">
        <x:f>IFERROR(INDEX('02_REFERENTIEL_CLIENTS'!$C$2:$C$51,MATCH(TRIM(C940),'02_REFERENTIEL_CLIENTS'!$A$2:$A$51,0)),"Non trouvé")</x:f>
        <x:v>France</x:v>
      </x:c>
      <x:c r="R940" t="str">
        <x:f>IF(OR(F940&lt;=0,G940&lt;0,G940&gt;F940,N940&lt;0,P940="Non trouvé"),"À vérifier","OK")</x:f>
        <x:v>OK</x:v>
      </x:c>
    </x:row>
    <x:row r="941">
      <x:c r="A941" t="str">
        <x:v>DV-2026-00940</x:v>
      </x:c>
      <x:c r="B941" s="16" t="n">
        <x:v>46174</x:v>
      </x:c>
      <x:c r="C941" t="str">
        <x:v>Client 48</x:v>
      </x:c>
      <x:c r="D941" t="str">
        <x:v>Express</x:v>
      </x:c>
      <x:c r="E941" t="str">
        <x:v>Pôle C</x:v>
      </x:c>
      <x:c r="F941" s="18" t="n">
        <x:v>24025.62</x:v>
      </x:c>
      <x:c r="G941" s="18" t="n">
        <x:v>24025.62</x:v>
      </x:c>
      <x:c r="H941" t="str">
        <x:v>Client 48</x:v>
      </x:c>
      <x:c r="I941" s="16" t="n">
        <x:v>46264</x:v>
      </x:c>
      <x:c r="J941" t="n">
        <x:f>YEAR(B941)</x:f>
        <x:v>2026</x:v>
      </x:c>
      <x:c r="K941" s="20" t="n">
        <x:f>DATE(YEAR(B941),MONTH(B941),1)</x:f>
        <x:v>46174</x:v>
      </x:c>
      <x:c r="L941" s="18" t="n">
        <x:f>F941-G941</x:f>
        <x:v>0</x:v>
      </x:c>
      <x:c r="M941" t="str">
        <x:f>IF(L941&lt;=0,"Payée",IF(G941=0,"Impayée","Partielle"))</x:f>
        <x:v>Payée</x:v>
      </x:c>
      <x:c r="N941" t="n">
        <x:f>IF(I941="","",I941-B941)</x:f>
        <x:v>90</x:v>
      </x:c>
      <x:c r="O941" t="str">
        <x:f>IF(TRIM(C941)&lt;&gt;TRIM(H941),"Oui","Non")</x:f>
        <x:v>Non</x:v>
      </x:c>
      <x:c r="P941" t="str">
        <x:f>IFERROR(INDEX('02_REFERENTIEL_CLIENTS'!$B$2:$B$51,MATCH(TRIM(C941),'02_REFERENTIEL_CLIENTS'!$A$2:$A$51,0)),"Non trouvé")</x:f>
        <x:v>Particuliers</x:v>
      </x:c>
      <x:c r="Q941" t="str">
        <x:f>IFERROR(INDEX('02_REFERENTIEL_CLIENTS'!$C$2:$C$51,MATCH(TRIM(C941),'02_REFERENTIEL_CLIENTS'!$A$2:$A$51,0)),"Non trouvé")</x:f>
        <x:v>International</x:v>
      </x:c>
      <x:c r="R941" t="str">
        <x:f>IF(OR(F941&lt;=0,G941&lt;0,G941&gt;F941,N941&lt;0,P941="Non trouvé"),"À vérifier","OK")</x:f>
        <x:v>OK</x:v>
      </x:c>
    </x:row>
    <x:row r="942">
      <x:c r="A942" t="str">
        <x:v>DV-2024-00941</x:v>
      </x:c>
      <x:c r="B942" s="16" t="n">
        <x:v>45399</x:v>
      </x:c>
      <x:c r="C942" t="str">
        <x:v>Client 27</x:v>
      </x:c>
      <x:c r="D942" t="str">
        <x:v>Douane</x:v>
      </x:c>
      <x:c r="E942" t="str">
        <x:v>Pôle D</x:v>
      </x:c>
      <x:c r="F942" s="18" t="n">
        <x:v>6721.9</x:v>
      </x:c>
      <x:c r="G942" s="18" t="n">
        <x:v>6721.9</x:v>
      </x:c>
      <x:c r="H942" t="str">
        <x:v>Client 27</x:v>
      </x:c>
      <x:c r="I942" s="16" t="n">
        <x:v>45450</x:v>
      </x:c>
      <x:c r="J942" t="n">
        <x:f>YEAR(B942)</x:f>
        <x:v>2024</x:v>
      </x:c>
      <x:c r="K942" s="20" t="n">
        <x:f>DATE(YEAR(B942),MONTH(B942),1)</x:f>
        <x:v>45383</x:v>
      </x:c>
      <x:c r="L942" s="18" t="n">
        <x:f>F942-G942</x:f>
        <x:v>0</x:v>
      </x:c>
      <x:c r="M942" t="str">
        <x:f>IF(L942&lt;=0,"Payée",IF(G942=0,"Impayée","Partielle"))</x:f>
        <x:v>Payée</x:v>
      </x:c>
      <x:c r="N942" t="n">
        <x:f>IF(I942="","",I942-B942)</x:f>
        <x:v>51</x:v>
      </x:c>
      <x:c r="O942" t="str">
        <x:f>IF(TRIM(C942)&lt;&gt;TRIM(H942),"Oui","Non")</x:f>
        <x:v>Non</x:v>
      </x:c>
      <x:c r="P942" t="str">
        <x:f>IFERROR(INDEX('02_REFERENTIEL_CLIENTS'!$B$2:$B$51,MATCH(TRIM(C942),'02_REFERENTIEL_CLIENTS'!$A$2:$A$51,0)),"Non trouvé")</x:f>
        <x:v>Particuliers</x:v>
      </x:c>
      <x:c r="Q942" t="str">
        <x:f>IFERROR(INDEX('02_REFERENTIEL_CLIENTS'!$C$2:$C$51,MATCH(TRIM(C942),'02_REFERENTIEL_CLIENTS'!$A$2:$A$51,0)),"Non trouvé")</x:f>
        <x:v>International</x:v>
      </x:c>
      <x:c r="R942" t="str">
        <x:f>IF(OR(F942&lt;=0,G942&lt;0,G942&gt;F942,N942&lt;0,P942="Non trouvé"),"À vérifier","OK")</x:f>
        <x:v>OK</x:v>
      </x:c>
    </x:row>
    <x:row r="943">
      <x:c r="A943" t="str">
        <x:v>DV-2024-00942</x:v>
      </x:c>
      <x:c r="B943" s="16" t="n">
        <x:v>45404</x:v>
      </x:c>
      <x:c r="C943" t="str">
        <x:v>Client 21</x:v>
      </x:c>
      <x:c r="D943" t="str">
        <x:v>Fret aérien</x:v>
      </x:c>
      <x:c r="E943" t="str">
        <x:v>Pôle B</x:v>
      </x:c>
      <x:c r="F943" s="18" t="n">
        <x:v>3503.2</x:v>
      </x:c>
      <x:c r="G943" s="18" t="n">
        <x:v>3503.2</x:v>
      </x:c>
      <x:c r="H943" t="str">
        <x:v>Client 21</x:v>
      </x:c>
      <x:c r="I943" s="16" t="n">
        <x:v>45411</x:v>
      </x:c>
      <x:c r="J943" t="n">
        <x:f>YEAR(B943)</x:f>
        <x:v>2024</x:v>
      </x:c>
      <x:c r="K943" s="20" t="n">
        <x:f>DATE(YEAR(B943),MONTH(B943),1)</x:f>
        <x:v>45383</x:v>
      </x:c>
      <x:c r="L943" s="18" t="n">
        <x:f>F943-G943</x:f>
        <x:v>0</x:v>
      </x:c>
      <x:c r="M943" t="str">
        <x:f>IF(L943&lt;=0,"Payée",IF(G943=0,"Impayée","Partielle"))</x:f>
        <x:v>Payée</x:v>
      </x:c>
      <x:c r="N943" t="n">
        <x:f>IF(I943="","",I943-B943)</x:f>
        <x:v>7</x:v>
      </x:c>
      <x:c r="O943" t="str">
        <x:f>IF(TRIM(C943)&lt;&gt;TRIM(H943),"Oui","Non")</x:f>
        <x:v>Non</x:v>
      </x:c>
      <x:c r="P943" t="str">
        <x:f>IFERROR(INDEX('02_REFERENTIEL_CLIENTS'!$B$2:$B$51,MATCH(TRIM(C943),'02_REFERENTIEL_CLIENTS'!$A$2:$A$51,0)),"Non trouvé")</x:f>
        <x:v>Particuliers</x:v>
      </x:c>
      <x:c r="Q943" t="str">
        <x:f>IFERROR(INDEX('02_REFERENTIEL_CLIENTS'!$C$2:$C$51,MATCH(TRIM(C943),'02_REFERENTIEL_CLIENTS'!$A$2:$A$51,0)),"Non trouvé")</x:f>
        <x:v>International</x:v>
      </x:c>
      <x:c r="R943" t="str">
        <x:f>IF(OR(F943&lt;=0,G943&lt;0,G943&gt;F943,N943&lt;0,P943="Non trouvé"),"À vérifier","OK")</x:f>
        <x:v>OK</x:v>
      </x:c>
    </x:row>
    <x:row r="944">
      <x:c r="A944" t="str">
        <x:v>DV-2026-00943</x:v>
      </x:c>
      <x:c r="B944" s="16" t="n">
        <x:v>46062</x:v>
      </x:c>
      <x:c r="C944" t="str">
        <x:v>Client 45</x:v>
      </x:c>
      <x:c r="D944" t="str">
        <x:v>Fret aérien</x:v>
      </x:c>
      <x:c r="E944" t="str">
        <x:v>Pôle A</x:v>
      </x:c>
      <x:c r="F944" s="18" t="n">
        <x:v>3283.11</x:v>
      </x:c>
      <x:c r="G944" s="18" t="n">
        <x:v>3283.11</x:v>
      </x:c>
      <x:c r="H944" t="str">
        <x:v>Client 43</x:v>
      </x:c>
      <x:c r="I944" s="16" t="n">
        <x:v>46101</x:v>
      </x:c>
      <x:c r="J944" t="n">
        <x:f>YEAR(B944)</x:f>
        <x:v>2026</x:v>
      </x:c>
      <x:c r="K944" s="20" t="n">
        <x:f>DATE(YEAR(B944),MONTH(B944),1)</x:f>
        <x:v>46054</x:v>
      </x:c>
      <x:c r="L944" s="18" t="n">
        <x:f>F944-G944</x:f>
        <x:v>0</x:v>
      </x:c>
      <x:c r="M944" t="str">
        <x:f>IF(L944&lt;=0,"Payée",IF(G944=0,"Impayée","Partielle"))</x:f>
        <x:v>Payée</x:v>
      </x:c>
      <x:c r="N944" t="n">
        <x:f>IF(I944="","",I944-B944)</x:f>
        <x:v>39</x:v>
      </x:c>
      <x:c r="O944" t="str">
        <x:f>IF(TRIM(C944)&lt;&gt;TRIM(H944),"Oui","Non")</x:f>
        <x:v>Oui</x:v>
      </x:c>
      <x:c r="P944" t="str">
        <x:f>IFERROR(INDEX('02_REFERENTIEL_CLIENTS'!$B$2:$B$51,MATCH(TRIM(C944),'02_REFERENTIEL_CLIENTS'!$A$2:$A$51,0)),"Non trouvé")</x:f>
        <x:v>Particuliers</x:v>
      </x:c>
      <x:c r="Q944" t="str">
        <x:f>IFERROR(INDEX('02_REFERENTIEL_CLIENTS'!$C$2:$C$51,MATCH(TRIM(C944),'02_REFERENTIEL_CLIENTS'!$A$2:$A$51,0)),"Non trouvé")</x:f>
        <x:v>International</x:v>
      </x:c>
      <x:c r="R944" t="str">
        <x:f>IF(OR(F944&lt;=0,G944&lt;0,G944&gt;F944,N944&lt;0,P944="Non trouvé"),"À vérifier","OK")</x:f>
        <x:v>OK</x:v>
      </x:c>
    </x:row>
    <x:row r="945">
      <x:c r="A945" t="str">
        <x:v>DV-2024-00944</x:v>
      </x:c>
      <x:c r="B945" s="16" t="n">
        <x:v>45358</x:v>
      </x:c>
      <x:c r="C945" t="str">
        <x:v>Client 32</x:v>
      </x:c>
      <x:c r="D945" t="str">
        <x:v>Fret maritime</x:v>
      </x:c>
      <x:c r="E945" t="str">
        <x:v>Pôle A</x:v>
      </x:c>
      <x:c r="F945" s="18" t="n">
        <x:v>13385.62</x:v>
      </x:c>
      <x:c r="G945" s="18" t="n">
        <x:v>0</x:v>
      </x:c>
      <x:c r="H945" t="str">
        <x:v>Client 40</x:v>
      </x:c>
      <x:c r="I945" s="16"/>
      <x:c r="J945" t="n">
        <x:f>YEAR(B945)</x:f>
        <x:v>2024</x:v>
      </x:c>
      <x:c r="K945" s="20" t="n">
        <x:f>DATE(YEAR(B945),MONTH(B945),1)</x:f>
        <x:v>45352</x:v>
      </x:c>
      <x:c r="L945" s="18" t="n">
        <x:f>F945-G945</x:f>
        <x:v>13385.62</x:v>
      </x:c>
      <x:c r="M945" t="str">
        <x:f>IF(L945&lt;=0,"Payée",IF(G945=0,"Impayée","Partielle"))</x:f>
        <x:v>Impayée</x:v>
      </x:c>
      <x:c r="N945" t="str">
        <x:f>IF(I945="","",I945-B945)</x:f>
      </x:c>
      <x:c r="O945" t="str">
        <x:f>IF(TRIM(C945)&lt;&gt;TRIM(H945),"Oui","Non")</x:f>
        <x:v>Oui</x:v>
      </x:c>
      <x:c r="P945" t="str">
        <x:f>IFERROR(INDEX('02_REFERENTIEL_CLIENTS'!$B$2:$B$51,MATCH(TRIM(C945),'02_REFERENTIEL_CLIENTS'!$A$2:$A$51,0)),"Non trouvé")</x:f>
        <x:v>PME</x:v>
      </x:c>
      <x:c r="Q945" t="str">
        <x:f>IFERROR(INDEX('02_REFERENTIEL_CLIENTS'!$C$2:$C$51,MATCH(TRIM(C945),'02_REFERENTIEL_CLIENTS'!$A$2:$A$51,0)),"Non trouvé")</x:f>
        <x:v>Europe</x:v>
      </x:c>
      <x:c r="R945" t="str">
        <x:f>IF(OR(F945&lt;=0,G945&lt;0,G945&gt;F945,N945&lt;0,P945="Non trouvé"),"À vérifier","OK")</x:f>
        <x:v>OK</x:v>
      </x:c>
    </x:row>
    <x:row r="946">
      <x:c r="A946" t="str">
        <x:v>DV-2026-00945</x:v>
      </x:c>
      <x:c r="B946" s="16" t="n">
        <x:v>46274</x:v>
      </x:c>
      <x:c r="C946" t="str">
        <x:v>Client 46</x:v>
      </x:c>
      <x:c r="D946" t="str">
        <x:v>Fret aérien</x:v>
      </x:c>
      <x:c r="E946" t="str">
        <x:v>Pôle D</x:v>
      </x:c>
      <x:c r="F946" s="18" t="n">
        <x:v>12204.87</x:v>
      </x:c>
      <x:c r="G946" s="18" t="n">
        <x:v>12204.87</x:v>
      </x:c>
      <x:c r="H946" t="str">
        <x:v>Client 46</x:v>
      </x:c>
      <x:c r="I946" s="16" t="n">
        <x:v>46279</x:v>
      </x:c>
      <x:c r="J946" t="n">
        <x:f>YEAR(B946)</x:f>
        <x:v>2026</x:v>
      </x:c>
      <x:c r="K946" s="20" t="n">
        <x:f>DATE(YEAR(B946),MONTH(B946),1)</x:f>
        <x:v>46266</x:v>
      </x:c>
      <x:c r="L946" s="18" t="n">
        <x:f>F946-G946</x:f>
        <x:v>0</x:v>
      </x:c>
      <x:c r="M946" t="str">
        <x:f>IF(L946&lt;=0,"Payée",IF(G946=0,"Impayée","Partielle"))</x:f>
        <x:v>Payée</x:v>
      </x:c>
      <x:c r="N946" t="n">
        <x:f>IF(I946="","",I946-B946)</x:f>
        <x:v>5</x:v>
      </x:c>
      <x:c r="O946" t="str">
        <x:f>IF(TRIM(C946)&lt;&gt;TRIM(H946),"Oui","Non")</x:f>
        <x:v>Non</x:v>
      </x:c>
      <x:c r="P946" t="str">
        <x:f>IFERROR(INDEX('02_REFERENTIEL_CLIENTS'!$B$2:$B$51,MATCH(TRIM(C946),'02_REFERENTIEL_CLIENTS'!$A$2:$A$51,0)),"Non trouvé")</x:f>
        <x:v>Grands comptes</x:v>
      </x:c>
      <x:c r="Q946" t="str">
        <x:f>IFERROR(INDEX('02_REFERENTIEL_CLIENTS'!$C$2:$C$51,MATCH(TRIM(C946),'02_REFERENTIEL_CLIENTS'!$A$2:$A$51,0)),"Non trouvé")</x:f>
        <x:v>France</x:v>
      </x:c>
      <x:c r="R946" t="str">
        <x:f>IF(OR(F946&lt;=0,G946&lt;0,G946&gt;F946,N946&lt;0,P946="Non trouvé"),"À vérifier","OK")</x:f>
        <x:v>OK</x:v>
      </x:c>
    </x:row>
    <x:row r="947">
      <x:c r="A947" t="str">
        <x:v>DV-2024-00946</x:v>
      </x:c>
      <x:c r="B947" s="16" t="n">
        <x:v>45546</x:v>
      </x:c>
      <x:c r="C947" t="str">
        <x:v>Client 22</x:v>
      </x:c>
      <x:c r="D947" t="str">
        <x:v>Fret maritime</x:v>
      </x:c>
      <x:c r="E947" t="str">
        <x:v>Pôle A</x:v>
      </x:c>
      <x:c r="F947" s="18" t="n">
        <x:v>22914.6</x:v>
      </x:c>
      <x:c r="G947" s="18" t="n">
        <x:v>13428.13</x:v>
      </x:c>
      <x:c r="H947" t="str">
        <x:v>Client 22</x:v>
      </x:c>
      <x:c r="I947" s="16" t="n">
        <x:v>45612</x:v>
      </x:c>
      <x:c r="J947" t="n">
        <x:f>YEAR(B947)</x:f>
        <x:v>2024</x:v>
      </x:c>
      <x:c r="K947" s="20" t="n">
        <x:f>DATE(YEAR(B947),MONTH(B947),1)</x:f>
        <x:v>45536</x:v>
      </x:c>
      <x:c r="L947" s="18" t="n">
        <x:f>F947-G947</x:f>
        <x:v>9486.47</x:v>
      </x:c>
      <x:c r="M947" t="str">
        <x:f>IF(L947&lt;=0,"Payée",IF(G947=0,"Impayée","Partielle"))</x:f>
        <x:v>Partielle</x:v>
      </x:c>
      <x:c r="N947" t="n">
        <x:f>IF(I947="","",I947-B947)</x:f>
        <x:v>66</x:v>
      </x:c>
      <x:c r="O947" t="str">
        <x:f>IF(TRIM(C947)&lt;&gt;TRIM(H947),"Oui","Non")</x:f>
        <x:v>Non</x:v>
      </x:c>
      <x:c r="P947" t="str">
        <x:f>IFERROR(INDEX('02_REFERENTIEL_CLIENTS'!$B$2:$B$51,MATCH(TRIM(C947),'02_REFERENTIEL_CLIENTS'!$A$2:$A$51,0)),"Non trouvé")</x:f>
        <x:v>Grands comptes</x:v>
      </x:c>
      <x:c r="Q947" t="str">
        <x:f>IFERROR(INDEX('02_REFERENTIEL_CLIENTS'!$C$2:$C$51,MATCH(TRIM(C947),'02_REFERENTIEL_CLIENTS'!$A$2:$A$51,0)),"Non trouvé")</x:f>
        <x:v>France</x:v>
      </x:c>
      <x:c r="R947" t="str">
        <x:f>IF(OR(F947&lt;=0,G947&lt;0,G947&gt;F947,N947&lt;0,P947="Non trouvé"),"À vérifier","OK")</x:f>
        <x:v>OK</x:v>
      </x:c>
    </x:row>
    <x:row r="948">
      <x:c r="A948" t="str">
        <x:v>DV-2026-00947</x:v>
      </x:c>
      <x:c r="B948" s="16" t="n">
        <x:v>46202</x:v>
      </x:c>
      <x:c r="C948" t="str">
        <x:v>Client 21</x:v>
      </x:c>
      <x:c r="D948" t="str">
        <x:v>Express</x:v>
      </x:c>
      <x:c r="E948" t="str">
        <x:v>Pôle E</x:v>
      </x:c>
      <x:c r="F948" s="18" t="n">
        <x:v>8078.28</x:v>
      </x:c>
      <x:c r="G948" s="18" t="n">
        <x:v>1655.13</x:v>
      </x:c>
      <x:c r="H948" t="str">
        <x:v>Client 21</x:v>
      </x:c>
      <x:c r="I948" s="16" t="n">
        <x:v>46211</x:v>
      </x:c>
      <x:c r="J948" t="n">
        <x:f>YEAR(B948)</x:f>
        <x:v>2026</x:v>
      </x:c>
      <x:c r="K948" s="20" t="n">
        <x:f>DATE(YEAR(B948),MONTH(B948),1)</x:f>
        <x:v>46174</x:v>
      </x:c>
      <x:c r="L948" s="18" t="n">
        <x:f>F948-G948</x:f>
        <x:v>6423.15</x:v>
      </x:c>
      <x:c r="M948" t="str">
        <x:f>IF(L948&lt;=0,"Payée",IF(G948=0,"Impayée","Partielle"))</x:f>
        <x:v>Partielle</x:v>
      </x:c>
      <x:c r="N948" t="n">
        <x:f>IF(I948="","",I948-B948)</x:f>
        <x:v>9</x:v>
      </x:c>
      <x:c r="O948" t="str">
        <x:f>IF(TRIM(C948)&lt;&gt;TRIM(H948),"Oui","Non")</x:f>
        <x:v>Non</x:v>
      </x:c>
      <x:c r="P948" t="str">
        <x:f>IFERROR(INDEX('02_REFERENTIEL_CLIENTS'!$B$2:$B$51,MATCH(TRIM(C948),'02_REFERENTIEL_CLIENTS'!$A$2:$A$51,0)),"Non trouvé")</x:f>
        <x:v>Particuliers</x:v>
      </x:c>
      <x:c r="Q948" t="str">
        <x:f>IFERROR(INDEX('02_REFERENTIEL_CLIENTS'!$C$2:$C$51,MATCH(TRIM(C948),'02_REFERENTIEL_CLIENTS'!$A$2:$A$51,0)),"Non trouvé")</x:f>
        <x:v>International</x:v>
      </x:c>
      <x:c r="R948" t="str">
        <x:f>IF(OR(F948&lt;=0,G948&lt;0,G948&gt;F948,N948&lt;0,P948="Non trouvé"),"À vérifier","OK")</x:f>
        <x:v>OK</x:v>
      </x:c>
    </x:row>
    <x:row r="949">
      <x:c r="A949" t="str">
        <x:v>DV-2026-00948</x:v>
      </x:c>
      <x:c r="B949" s="16" t="n">
        <x:v>46163</x:v>
      </x:c>
      <x:c r="C949" t="str">
        <x:v>Client 49</x:v>
      </x:c>
      <x:c r="D949" t="str">
        <x:v>Fret aérien</x:v>
      </x:c>
      <x:c r="E949" t="str">
        <x:v>Pôle C</x:v>
      </x:c>
      <x:c r="F949" s="18" t="n">
        <x:v>17550.28</x:v>
      </x:c>
      <x:c r="G949" s="18" t="n">
        <x:v>17550.28</x:v>
      </x:c>
      <x:c r="H949" t="str">
        <x:v>Client 49</x:v>
      </x:c>
      <x:c r="I949" s="16" t="n">
        <x:v>46219</x:v>
      </x:c>
      <x:c r="J949" t="n">
        <x:f>YEAR(B949)</x:f>
        <x:v>2026</x:v>
      </x:c>
      <x:c r="K949" s="20" t="n">
        <x:f>DATE(YEAR(B949),MONTH(B949),1)</x:f>
        <x:v>46143</x:v>
      </x:c>
      <x:c r="L949" s="18" t="n">
        <x:f>F949-G949</x:f>
        <x:v>0</x:v>
      </x:c>
      <x:c r="M949" t="str">
        <x:f>IF(L949&lt;=0,"Payée",IF(G949=0,"Impayée","Partielle"))</x:f>
        <x:v>Payée</x:v>
      </x:c>
      <x:c r="N949" t="n">
        <x:f>IF(I949="","",I949-B949)</x:f>
        <x:v>56</x:v>
      </x:c>
      <x:c r="O949" t="str">
        <x:f>IF(TRIM(C949)&lt;&gt;TRIM(H949),"Oui","Non")</x:f>
        <x:v>Non</x:v>
      </x:c>
      <x:c r="P949" t="str">
        <x:f>IFERROR(INDEX('02_REFERENTIEL_CLIENTS'!$B$2:$B$51,MATCH(TRIM(C949),'02_REFERENTIEL_CLIENTS'!$A$2:$A$51,0)),"Non trouvé")</x:f>
        <x:v>Grands comptes</x:v>
      </x:c>
      <x:c r="Q949" t="str">
        <x:f>IFERROR(INDEX('02_REFERENTIEL_CLIENTS'!$C$2:$C$51,MATCH(TRIM(C949),'02_REFERENTIEL_CLIENTS'!$A$2:$A$51,0)),"Non trouvé")</x:f>
        <x:v>France</x:v>
      </x:c>
      <x:c r="R949" t="str">
        <x:f>IF(OR(F949&lt;=0,G949&lt;0,G949&gt;F949,N949&lt;0,P949="Non trouvé"),"À vérifier","OK")</x:f>
        <x:v>OK</x:v>
      </x:c>
    </x:row>
    <x:row r="950">
      <x:c r="A950" t="str">
        <x:v>DV-2024-00949</x:v>
      </x:c>
      <x:c r="B950" s="16" t="n">
        <x:v>45429</x:v>
      </x:c>
      <x:c r="C950" t="str">
        <x:v>Client 44</x:v>
      </x:c>
      <x:c r="D950" t="str">
        <x:v>Logistique</x:v>
      </x:c>
      <x:c r="E950" t="str">
        <x:v>Pôle B</x:v>
      </x:c>
      <x:c r="F950" s="18" t="n">
        <x:v>4216.47</x:v>
      </x:c>
      <x:c r="G950" s="18" t="n">
        <x:v>4216.47</x:v>
      </x:c>
      <x:c r="H950" t="str">
        <x:v>Client 44</x:v>
      </x:c>
      <x:c r="I950" s="16" t="n">
        <x:v>45508</x:v>
      </x:c>
      <x:c r="J950" t="n">
        <x:f>YEAR(B950)</x:f>
        <x:v>2024</x:v>
      </x:c>
      <x:c r="K950" s="20" t="n">
        <x:f>DATE(YEAR(B950),MONTH(B950),1)</x:f>
        <x:v>45413</x:v>
      </x:c>
      <x:c r="L950" s="18" t="n">
        <x:f>F950-G950</x:f>
        <x:v>0</x:v>
      </x:c>
      <x:c r="M950" t="str">
        <x:f>IF(L950&lt;=0,"Payée",IF(G950=0,"Impayée","Partielle"))</x:f>
        <x:v>Payée</x:v>
      </x:c>
      <x:c r="N950" t="n">
        <x:f>IF(I950="","",I950-B950)</x:f>
        <x:v>79</x:v>
      </x:c>
      <x:c r="O950" t="str">
        <x:f>IF(TRIM(C950)&lt;&gt;TRIM(H950),"Oui","Non")</x:f>
        <x:v>Non</x:v>
      </x:c>
      <x:c r="P950" t="str">
        <x:f>IFERROR(INDEX('02_REFERENTIEL_CLIENTS'!$B$2:$B$51,MATCH(TRIM(C950),'02_REFERENTIEL_CLIENTS'!$A$2:$A$51,0)),"Non trouvé")</x:f>
        <x:v>PME</x:v>
      </x:c>
      <x:c r="Q950" t="str">
        <x:f>IFERROR(INDEX('02_REFERENTIEL_CLIENTS'!$C$2:$C$51,MATCH(TRIM(C950),'02_REFERENTIEL_CLIENTS'!$A$2:$A$51,0)),"Non trouvé")</x:f>
        <x:v>Europe</x:v>
      </x:c>
      <x:c r="R950" t="str">
        <x:f>IF(OR(F950&lt;=0,G950&lt;0,G950&gt;F950,N950&lt;0,P950="Non trouvé"),"À vérifier","OK")</x:f>
        <x:v>OK</x:v>
      </x:c>
    </x:row>
    <x:row r="951">
      <x:c r="A951" t="str">
        <x:v>DV-2025-00950</x:v>
      </x:c>
      <x:c r="B951" s="16" t="n">
        <x:v>45944</x:v>
      </x:c>
      <x:c r="C951" t="str">
        <x:v>Client 31</x:v>
      </x:c>
      <x:c r="D951" t="str">
        <x:v>Express</x:v>
      </x:c>
      <x:c r="E951" t="str">
        <x:v>Pôle C</x:v>
      </x:c>
      <x:c r="F951" s="18" t="n">
        <x:v>17792.81</x:v>
      </x:c>
      <x:c r="G951" s="18" t="n">
        <x:v>17792.81</x:v>
      </x:c>
      <x:c r="H951" t="str">
        <x:v>Client 31</x:v>
      </x:c>
      <x:c r="I951" s="16" t="n">
        <x:v>45962</x:v>
      </x:c>
      <x:c r="J951" t="n">
        <x:f>YEAR(B951)</x:f>
        <x:v>2025</x:v>
      </x:c>
      <x:c r="K951" s="20" t="n">
        <x:f>DATE(YEAR(B951),MONTH(B951),1)</x:f>
        <x:v>45931</x:v>
      </x:c>
      <x:c r="L951" s="18" t="n">
        <x:f>F951-G951</x:f>
        <x:v>0</x:v>
      </x:c>
      <x:c r="M951" t="str">
        <x:f>IF(L951&lt;=0,"Payée",IF(G951=0,"Impayée","Partielle"))</x:f>
        <x:v>Payée</x:v>
      </x:c>
      <x:c r="N951" t="n">
        <x:f>IF(I951="","",I951-B951)</x:f>
        <x:v>18</x:v>
      </x:c>
      <x:c r="O951" t="str">
        <x:f>IF(TRIM(C951)&lt;&gt;TRIM(H951),"Oui","Non")</x:f>
        <x:v>Non</x:v>
      </x:c>
      <x:c r="P951" t="str">
        <x:f>IFERROR(INDEX('02_REFERENTIEL_CLIENTS'!$B$2:$B$51,MATCH(TRIM(C951),'02_REFERENTIEL_CLIENTS'!$A$2:$A$51,0)),"Non trouvé")</x:f>
        <x:v>Grands comptes</x:v>
      </x:c>
      <x:c r="Q951" t="str">
        <x:f>IFERROR(INDEX('02_REFERENTIEL_CLIENTS'!$C$2:$C$51,MATCH(TRIM(C951),'02_REFERENTIEL_CLIENTS'!$A$2:$A$51,0)),"Non trouvé")</x:f>
        <x:v>France</x:v>
      </x:c>
      <x:c r="R951" t="str">
        <x:f>IF(OR(F951&lt;=0,G951&lt;0,G951&gt;F951,N951&lt;0,P951="Non trouvé"),"À vérifier","OK")</x:f>
        <x:v>OK</x:v>
      </x:c>
    </x:row>
    <x:row r="952">
      <x:c r="A952" t="str">
        <x:v>DV-2024-00951</x:v>
      </x:c>
      <x:c r="B952" s="16" t="n">
        <x:v>45445</x:v>
      </x:c>
      <x:c r="C952" t="str">
        <x:v>Client 03</x:v>
      </x:c>
      <x:c r="D952" t="str">
        <x:v>Fret maritime</x:v>
      </x:c>
      <x:c r="E952" t="str">
        <x:v>Pôle C</x:v>
      </x:c>
      <x:c r="F952" s="18" t="n">
        <x:v>5127.52</x:v>
      </x:c>
      <x:c r="G952" s="18" t="n">
        <x:v>5127.52</x:v>
      </x:c>
      <x:c r="H952" t="str">
        <x:v>Client 03</x:v>
      </x:c>
      <x:c r="I952" s="16" t="n">
        <x:v>45510</x:v>
      </x:c>
      <x:c r="J952" t="n">
        <x:f>YEAR(B952)</x:f>
        <x:v>2024</x:v>
      </x:c>
      <x:c r="K952" s="20" t="n">
        <x:f>DATE(YEAR(B952),MONTH(B952),1)</x:f>
        <x:v>45444</x:v>
      </x:c>
      <x:c r="L952" s="18" t="n">
        <x:f>F952-G952</x:f>
        <x:v>0</x:v>
      </x:c>
      <x:c r="M952" t="str">
        <x:f>IF(L952&lt;=0,"Payée",IF(G952=0,"Impayée","Partielle"))</x:f>
        <x:v>Payée</x:v>
      </x:c>
      <x:c r="N952" t="n">
        <x:f>IF(I952="","",I952-B952)</x:f>
        <x:v>65</x:v>
      </x:c>
      <x:c r="O952" t="str">
        <x:f>IF(TRIM(C952)&lt;&gt;TRIM(H952),"Oui","Non")</x:f>
        <x:v>Non</x:v>
      </x:c>
      <x:c r="P952" t="str">
        <x:f>IFERROR(INDEX('02_REFERENTIEL_CLIENTS'!$B$2:$B$51,MATCH(TRIM(C952),'02_REFERENTIEL_CLIENTS'!$A$2:$A$51,0)),"Non trouvé")</x:f>
        <x:v>Particuliers</x:v>
      </x:c>
      <x:c r="Q952" t="str">
        <x:f>IFERROR(INDEX('02_REFERENTIEL_CLIENTS'!$C$2:$C$51,MATCH(TRIM(C952),'02_REFERENTIEL_CLIENTS'!$A$2:$A$51,0)),"Non trouvé")</x:f>
        <x:v>International</x:v>
      </x:c>
      <x:c r="R952" t="str">
        <x:f>IF(OR(F952&lt;=0,G952&lt;0,G952&gt;F952,N952&lt;0,P952="Non trouvé"),"À vérifier","OK")</x:f>
        <x:v>OK</x:v>
      </x:c>
    </x:row>
    <x:row r="953">
      <x:c r="A953" t="str">
        <x:v>DV-2025-00952</x:v>
      </x:c>
      <x:c r="B953" s="16" t="n">
        <x:v>45753</x:v>
      </x:c>
      <x:c r="C953" t="str">
        <x:v>Client 21</x:v>
      </x:c>
      <x:c r="D953" t="str">
        <x:v>Logistique</x:v>
      </x:c>
      <x:c r="E953" t="str">
        <x:v>Pôle A</x:v>
      </x:c>
      <x:c r="F953" s="18" t="n">
        <x:v>11941</x:v>
      </x:c>
      <x:c r="G953" s="18" t="n">
        <x:v>2562.26</x:v>
      </x:c>
      <x:c r="H953" t="str">
        <x:v>Client 21</x:v>
      </x:c>
      <x:c r="I953" s="16" t="n">
        <x:v>45793</x:v>
      </x:c>
      <x:c r="J953" t="n">
        <x:f>YEAR(B953)</x:f>
        <x:v>2025</x:v>
      </x:c>
      <x:c r="K953" s="20" t="n">
        <x:f>DATE(YEAR(B953),MONTH(B953),1)</x:f>
        <x:v>45748</x:v>
      </x:c>
      <x:c r="L953" s="18" t="n">
        <x:f>F953-G953</x:f>
        <x:v>9378.74</x:v>
      </x:c>
      <x:c r="M953" t="str">
        <x:f>IF(L953&lt;=0,"Payée",IF(G953=0,"Impayée","Partielle"))</x:f>
        <x:v>Partielle</x:v>
      </x:c>
      <x:c r="N953" t="n">
        <x:f>IF(I953="","",I953-B953)</x:f>
        <x:v>40</x:v>
      </x:c>
      <x:c r="O953" t="str">
        <x:f>IF(TRIM(C953)&lt;&gt;TRIM(H953),"Oui","Non")</x:f>
        <x:v>Non</x:v>
      </x:c>
      <x:c r="P953" t="str">
        <x:f>IFERROR(INDEX('02_REFERENTIEL_CLIENTS'!$B$2:$B$51,MATCH(TRIM(C953),'02_REFERENTIEL_CLIENTS'!$A$2:$A$51,0)),"Non trouvé")</x:f>
        <x:v>Particuliers</x:v>
      </x:c>
      <x:c r="Q953" t="str">
        <x:f>IFERROR(INDEX('02_REFERENTIEL_CLIENTS'!$C$2:$C$51,MATCH(TRIM(C953),'02_REFERENTIEL_CLIENTS'!$A$2:$A$51,0)),"Non trouvé")</x:f>
        <x:v>International</x:v>
      </x:c>
      <x:c r="R953" t="str">
        <x:f>IF(OR(F953&lt;=0,G953&lt;0,G953&gt;F953,N953&lt;0,P953="Non trouvé"),"À vérifier","OK")</x:f>
        <x:v>OK</x:v>
      </x:c>
    </x:row>
    <x:row r="954">
      <x:c r="A954" t="str">
        <x:v>DV-2024-00953</x:v>
      </x:c>
      <x:c r="B954" s="16" t="n">
        <x:v>45543</x:v>
      </x:c>
      <x:c r="C954" t="str">
        <x:v>Client 13</x:v>
      </x:c>
      <x:c r="D954" t="str">
        <x:v>Douane</x:v>
      </x:c>
      <x:c r="E954" t="str">
        <x:v>Pôle A</x:v>
      </x:c>
      <x:c r="F954" s="18" t="n">
        <x:v>24092.78</x:v>
      </x:c>
      <x:c r="G954" s="18" t="n">
        <x:v>24092.78</x:v>
      </x:c>
      <x:c r="H954" t="str">
        <x:v>Client 13</x:v>
      </x:c>
      <x:c r="I954" s="16" t="n">
        <x:v>45632</x:v>
      </x:c>
      <x:c r="J954" t="n">
        <x:f>YEAR(B954)</x:f>
        <x:v>2024</x:v>
      </x:c>
      <x:c r="K954" s="20" t="n">
        <x:f>DATE(YEAR(B954),MONTH(B954),1)</x:f>
        <x:v>45536</x:v>
      </x:c>
      <x:c r="L954" s="18" t="n">
        <x:f>F954-G954</x:f>
        <x:v>0</x:v>
      </x:c>
      <x:c r="M954" t="str">
        <x:f>IF(L954&lt;=0,"Payée",IF(G954=0,"Impayée","Partielle"))</x:f>
        <x:v>Payée</x:v>
      </x:c>
      <x:c r="N954" t="n">
        <x:f>IF(I954="","",I954-B954)</x:f>
        <x:v>89</x:v>
      </x:c>
      <x:c r="O954" t="str">
        <x:f>IF(TRIM(C954)&lt;&gt;TRIM(H954),"Oui","Non")</x:f>
        <x:v>Non</x:v>
      </x:c>
      <x:c r="P954" t="str">
        <x:f>IFERROR(INDEX('02_REFERENTIEL_CLIENTS'!$B$2:$B$51,MATCH(TRIM(C954),'02_REFERENTIEL_CLIENTS'!$A$2:$A$51,0)),"Non trouvé")</x:f>
        <x:v>Grands comptes</x:v>
      </x:c>
      <x:c r="Q954" t="str">
        <x:f>IFERROR(INDEX('02_REFERENTIEL_CLIENTS'!$C$2:$C$51,MATCH(TRIM(C954),'02_REFERENTIEL_CLIENTS'!$A$2:$A$51,0)),"Non trouvé")</x:f>
        <x:v>France</x:v>
      </x:c>
      <x:c r="R954" t="str">
        <x:f>IF(OR(F954&lt;=0,G954&lt;0,G954&gt;F954,N954&lt;0,P954="Non trouvé"),"À vérifier","OK")</x:f>
        <x:v>OK</x:v>
      </x:c>
    </x:row>
    <x:row r="955">
      <x:c r="A955" t="str">
        <x:v>DV-2024-00954</x:v>
      </x:c>
      <x:c r="B955" s="16" t="n">
        <x:v>45400</x:v>
      </x:c>
      <x:c r="C955" t="str">
        <x:v>Client 33</x:v>
      </x:c>
      <x:c r="D955" t="str">
        <x:v>Douane</x:v>
      </x:c>
      <x:c r="E955" t="str">
        <x:v>Pôle D</x:v>
      </x:c>
      <x:c r="F955" s="18" t="n">
        <x:v>10373.63</x:v>
      </x:c>
      <x:c r="G955" s="18" t="n">
        <x:v>10373.63</x:v>
      </x:c>
      <x:c r="H955" t="str">
        <x:v>Client 33</x:v>
      </x:c>
      <x:c r="I955" s="16" t="n">
        <x:v>45438</x:v>
      </x:c>
      <x:c r="J955" t="n">
        <x:f>YEAR(B955)</x:f>
        <x:v>2024</x:v>
      </x:c>
      <x:c r="K955" s="20" t="n">
        <x:f>DATE(YEAR(B955),MONTH(B955),1)</x:f>
        <x:v>45383</x:v>
      </x:c>
      <x:c r="L955" s="18" t="n">
        <x:f>F955-G955</x:f>
        <x:v>0</x:v>
      </x:c>
      <x:c r="M955" t="str">
        <x:f>IF(L955&lt;=0,"Payée",IF(G955=0,"Impayée","Partielle"))</x:f>
        <x:v>Payée</x:v>
      </x:c>
      <x:c r="N955" t="n">
        <x:f>IF(I955="","",I955-B955)</x:f>
        <x:v>38</x:v>
      </x:c>
      <x:c r="O955" t="str">
        <x:f>IF(TRIM(C955)&lt;&gt;TRIM(H955),"Oui","Non")</x:f>
        <x:v>Non</x:v>
      </x:c>
      <x:c r="P955" t="str">
        <x:f>IFERROR(INDEX('02_REFERENTIEL_CLIENTS'!$B$2:$B$51,MATCH(TRIM(C955),'02_REFERENTIEL_CLIENTS'!$A$2:$A$51,0)),"Non trouvé")</x:f>
        <x:v>Particuliers</x:v>
      </x:c>
      <x:c r="Q955" t="str">
        <x:f>IFERROR(INDEX('02_REFERENTIEL_CLIENTS'!$C$2:$C$51,MATCH(TRIM(C955),'02_REFERENTIEL_CLIENTS'!$A$2:$A$51,0)),"Non trouvé")</x:f>
        <x:v>International</x:v>
      </x:c>
      <x:c r="R955" t="str">
        <x:f>IF(OR(F955&lt;=0,G955&lt;0,G955&gt;F955,N955&lt;0,P955="Non trouvé"),"À vérifier","OK")</x:f>
        <x:v>OK</x:v>
      </x:c>
    </x:row>
    <x:row r="956">
      <x:c r="A956" t="str">
        <x:v>DV-2025-00955</x:v>
      </x:c>
      <x:c r="B956" s="16" t="n">
        <x:v>45683</x:v>
      </x:c>
      <x:c r="C956" t="str">
        <x:v>Client 23</x:v>
      </x:c>
      <x:c r="D956" t="str">
        <x:v>Express</x:v>
      </x:c>
      <x:c r="E956" t="str">
        <x:v>Pôle C</x:v>
      </x:c>
      <x:c r="F956" s="18" t="n">
        <x:v>15664.54</x:v>
      </x:c>
      <x:c r="G956" s="18" t="n">
        <x:v>15664.54</x:v>
      </x:c>
      <x:c r="H956" t="str">
        <x:v>Client 23</x:v>
      </x:c>
      <x:c r="I956" s="16" t="n">
        <x:v>45743</x:v>
      </x:c>
      <x:c r="J956" t="n">
        <x:f>YEAR(B956)</x:f>
        <x:v>2025</x:v>
      </x:c>
      <x:c r="K956" s="20" t="n">
        <x:f>DATE(YEAR(B956),MONTH(B956),1)</x:f>
        <x:v>45658</x:v>
      </x:c>
      <x:c r="L956" s="18" t="n">
        <x:f>F956-G956</x:f>
        <x:v>0</x:v>
      </x:c>
      <x:c r="M956" t="str">
        <x:f>IF(L956&lt;=0,"Payée",IF(G956=0,"Impayée","Partielle"))</x:f>
        <x:v>Payée</x:v>
      </x:c>
      <x:c r="N956" t="n">
        <x:f>IF(I956="","",I956-B956)</x:f>
        <x:v>60</x:v>
      </x:c>
      <x:c r="O956" t="str">
        <x:f>IF(TRIM(C956)&lt;&gt;TRIM(H956),"Oui","Non")</x:f>
        <x:v>Non</x:v>
      </x:c>
      <x:c r="P956" t="str">
        <x:f>IFERROR(INDEX('02_REFERENTIEL_CLIENTS'!$B$2:$B$51,MATCH(TRIM(C956),'02_REFERENTIEL_CLIENTS'!$A$2:$A$51,0)),"Non trouvé")</x:f>
        <x:v>PME</x:v>
      </x:c>
      <x:c r="Q956" t="str">
        <x:f>IFERROR(INDEX('02_REFERENTIEL_CLIENTS'!$C$2:$C$51,MATCH(TRIM(C956),'02_REFERENTIEL_CLIENTS'!$A$2:$A$51,0)),"Non trouvé")</x:f>
        <x:v>Europe</x:v>
      </x:c>
      <x:c r="R956" t="str">
        <x:f>IF(OR(F956&lt;=0,G956&lt;0,G956&gt;F956,N956&lt;0,P956="Non trouvé"),"À vérifier","OK")</x:f>
        <x:v>OK</x:v>
      </x:c>
    </x:row>
    <x:row r="957">
      <x:c r="A957" t="str">
        <x:v>DV-2026-00956</x:v>
      </x:c>
      <x:c r="B957" s="16" t="n">
        <x:v>46055</x:v>
      </x:c>
      <x:c r="C957" t="str">
        <x:v>Client 34</x:v>
      </x:c>
      <x:c r="D957" t="str">
        <x:v>Douane</x:v>
      </x:c>
      <x:c r="E957" t="str">
        <x:v>Pôle A</x:v>
      </x:c>
      <x:c r="F957" s="18" t="n">
        <x:v>8189.67</x:v>
      </x:c>
      <x:c r="G957" s="18" t="n">
        <x:v>8189.67</x:v>
      </x:c>
      <x:c r="H957" t="str">
        <x:v>Client 34</x:v>
      </x:c>
      <x:c r="I957" s="16" t="n">
        <x:v>46135</x:v>
      </x:c>
      <x:c r="J957" t="n">
        <x:f>YEAR(B957)</x:f>
        <x:v>2026</x:v>
      </x:c>
      <x:c r="K957" s="20" t="n">
        <x:f>DATE(YEAR(B957),MONTH(B957),1)</x:f>
        <x:v>46054</x:v>
      </x:c>
      <x:c r="L957" s="18" t="n">
        <x:f>F957-G957</x:f>
        <x:v>0</x:v>
      </x:c>
      <x:c r="M957" t="str">
        <x:f>IF(L957&lt;=0,"Payée",IF(G957=0,"Impayée","Partielle"))</x:f>
        <x:v>Payée</x:v>
      </x:c>
      <x:c r="N957" t="n">
        <x:f>IF(I957="","",I957-B957)</x:f>
        <x:v>80</x:v>
      </x:c>
      <x:c r="O957" t="str">
        <x:f>IF(TRIM(C957)&lt;&gt;TRIM(H957),"Oui","Non")</x:f>
        <x:v>Non</x:v>
      </x:c>
      <x:c r="P957" t="str">
        <x:f>IFERROR(INDEX('02_REFERENTIEL_CLIENTS'!$B$2:$B$51,MATCH(TRIM(C957),'02_REFERENTIEL_CLIENTS'!$A$2:$A$51,0)),"Non trouvé")</x:f>
        <x:v>Grands comptes</x:v>
      </x:c>
      <x:c r="Q957" t="str">
        <x:f>IFERROR(INDEX('02_REFERENTIEL_CLIENTS'!$C$2:$C$51,MATCH(TRIM(C957),'02_REFERENTIEL_CLIENTS'!$A$2:$A$51,0)),"Non trouvé")</x:f>
        <x:v>France</x:v>
      </x:c>
      <x:c r="R957" t="str">
        <x:f>IF(OR(F957&lt;=0,G957&lt;0,G957&gt;F957,N957&lt;0,P957="Non trouvé"),"À vérifier","OK")</x:f>
        <x:v>OK</x:v>
      </x:c>
    </x:row>
    <x:row r="958">
      <x:c r="A958" t="str">
        <x:v>DV-2026-00957</x:v>
      </x:c>
      <x:c r="B958" s="16" t="n">
        <x:v>46191</x:v>
      </x:c>
      <x:c r="C958" t="str">
        <x:v>Client 09</x:v>
      </x:c>
      <x:c r="D958" t="str">
        <x:v>Logistique</x:v>
      </x:c>
      <x:c r="E958" t="str">
        <x:v>Pôle D</x:v>
      </x:c>
      <x:c r="F958" s="18" t="n">
        <x:v>21083.85</x:v>
      </x:c>
      <x:c r="G958" s="18" t="n">
        <x:v>21083.85</x:v>
      </x:c>
      <x:c r="H958" t="str">
        <x:v>Client 09</x:v>
      </x:c>
      <x:c r="I958" s="16" t="n">
        <x:v>46197</x:v>
      </x:c>
      <x:c r="J958" t="n">
        <x:f>YEAR(B958)</x:f>
        <x:v>2026</x:v>
      </x:c>
      <x:c r="K958" s="20" t="n">
        <x:f>DATE(YEAR(B958),MONTH(B958),1)</x:f>
        <x:v>46174</x:v>
      </x:c>
      <x:c r="L958" s="18" t="n">
        <x:f>F958-G958</x:f>
        <x:v>0</x:v>
      </x:c>
      <x:c r="M958" t="str">
        <x:f>IF(L958&lt;=0,"Payée",IF(G958=0,"Impayée","Partielle"))</x:f>
        <x:v>Payée</x:v>
      </x:c>
      <x:c r="N958" t="n">
        <x:f>IF(I958="","",I958-B958)</x:f>
        <x:v>6</x:v>
      </x:c>
      <x:c r="O958" t="str">
        <x:f>IF(TRIM(C958)&lt;&gt;TRIM(H958),"Oui","Non")</x:f>
        <x:v>Non</x:v>
      </x:c>
      <x:c r="P958" t="str">
        <x:f>IFERROR(INDEX('02_REFERENTIEL_CLIENTS'!$B$2:$B$51,MATCH(TRIM(C958),'02_REFERENTIEL_CLIENTS'!$A$2:$A$51,0)),"Non trouvé")</x:f>
        <x:v>Particuliers</x:v>
      </x:c>
      <x:c r="Q958" t="str">
        <x:f>IFERROR(INDEX('02_REFERENTIEL_CLIENTS'!$C$2:$C$51,MATCH(TRIM(C958),'02_REFERENTIEL_CLIENTS'!$A$2:$A$51,0)),"Non trouvé")</x:f>
        <x:v>International</x:v>
      </x:c>
      <x:c r="R958" t="str">
        <x:f>IF(OR(F958&lt;=0,G958&lt;0,G958&gt;F958,N958&lt;0,P958="Non trouvé"),"À vérifier","OK")</x:f>
        <x:v>OK</x:v>
      </x:c>
    </x:row>
    <x:row r="959">
      <x:c r="A959" t="str">
        <x:v>DV-2026-00958</x:v>
      </x:c>
      <x:c r="B959" s="16" t="n">
        <x:v>46036</x:v>
      </x:c>
      <x:c r="C959" t="str">
        <x:v>Client 41</x:v>
      </x:c>
      <x:c r="D959" t="str">
        <x:v>Fret aérien</x:v>
      </x:c>
      <x:c r="E959" t="str">
        <x:v>Pôle C</x:v>
      </x:c>
      <x:c r="F959" s="18" t="n">
        <x:v>1276.47</x:v>
      </x:c>
      <x:c r="G959" s="18" t="n">
        <x:v>1276.47</x:v>
      </x:c>
      <x:c r="H959" t="str">
        <x:v>Client 41</x:v>
      </x:c>
      <x:c r="I959" s="16" t="n">
        <x:v>46040</x:v>
      </x:c>
      <x:c r="J959" t="n">
        <x:f>YEAR(B959)</x:f>
        <x:v>2026</x:v>
      </x:c>
      <x:c r="K959" s="20" t="n">
        <x:f>DATE(YEAR(B959),MONTH(B959),1)</x:f>
        <x:v>46023</x:v>
      </x:c>
      <x:c r="L959" s="18" t="n">
        <x:f>F959-G959</x:f>
        <x:v>0</x:v>
      </x:c>
      <x:c r="M959" t="str">
        <x:f>IF(L959&lt;=0,"Payée",IF(G959=0,"Impayée","Partielle"))</x:f>
        <x:v>Payée</x:v>
      </x:c>
      <x:c r="N959" t="n">
        <x:f>IF(I959="","",I959-B959)</x:f>
        <x:v>4</x:v>
      </x:c>
      <x:c r="O959" t="str">
        <x:f>IF(TRIM(C959)&lt;&gt;TRIM(H959),"Oui","Non")</x:f>
        <x:v>Non</x:v>
      </x:c>
      <x:c r="P959" t="str">
        <x:f>IFERROR(INDEX('02_REFERENTIEL_CLIENTS'!$B$2:$B$51,MATCH(TRIM(C959),'02_REFERENTIEL_CLIENTS'!$A$2:$A$51,0)),"Non trouvé")</x:f>
        <x:v>PME</x:v>
      </x:c>
      <x:c r="Q959" t="str">
        <x:f>IFERROR(INDEX('02_REFERENTIEL_CLIENTS'!$C$2:$C$51,MATCH(TRIM(C959),'02_REFERENTIEL_CLIENTS'!$A$2:$A$51,0)),"Non trouvé")</x:f>
        <x:v>Europe</x:v>
      </x:c>
      <x:c r="R959" t="str">
        <x:f>IF(OR(F959&lt;=0,G959&lt;0,G959&gt;F959,N959&lt;0,P959="Non trouvé"),"À vérifier","OK")</x:f>
        <x:v>OK</x:v>
      </x:c>
    </x:row>
    <x:row r="960">
      <x:c r="A960" t="str">
        <x:v>DV-2026-00959</x:v>
      </x:c>
      <x:c r="B960" s="16" t="n">
        <x:v>46209</x:v>
      </x:c>
      <x:c r="C960" t="str">
        <x:v>Client 50</x:v>
      </x:c>
      <x:c r="D960" t="str">
        <x:v>Fret aérien</x:v>
      </x:c>
      <x:c r="E960" t="str">
        <x:v>Pôle E</x:v>
      </x:c>
      <x:c r="F960" s="18" t="n">
        <x:v>3908.52</x:v>
      </x:c>
      <x:c r="G960" s="18" t="n">
        <x:v>3908.52</x:v>
      </x:c>
      <x:c r="H960" t="str">
        <x:v>Client 50</x:v>
      </x:c>
      <x:c r="I960" s="16" t="n">
        <x:v>46267</x:v>
      </x:c>
      <x:c r="J960" t="n">
        <x:f>YEAR(B960)</x:f>
        <x:v>2026</x:v>
      </x:c>
      <x:c r="K960" s="20" t="n">
        <x:f>DATE(YEAR(B960),MONTH(B960),1)</x:f>
        <x:v>46204</x:v>
      </x:c>
      <x:c r="L960" s="18" t="n">
        <x:f>F960-G960</x:f>
        <x:v>0</x:v>
      </x:c>
      <x:c r="M960" t="str">
        <x:f>IF(L960&lt;=0,"Payée",IF(G960=0,"Impayée","Partielle"))</x:f>
        <x:v>Payée</x:v>
      </x:c>
      <x:c r="N960" t="n">
        <x:f>IF(I960="","",I960-B960)</x:f>
        <x:v>58</x:v>
      </x:c>
      <x:c r="O960" t="str">
        <x:f>IF(TRIM(C960)&lt;&gt;TRIM(H960),"Oui","Non")</x:f>
        <x:v>Non</x:v>
      </x:c>
      <x:c r="P960" t="str">
        <x:f>IFERROR(INDEX('02_REFERENTIEL_CLIENTS'!$B$2:$B$51,MATCH(TRIM(C960),'02_REFERENTIEL_CLIENTS'!$A$2:$A$51,0)),"Non trouvé")</x:f>
        <x:v>PME</x:v>
      </x:c>
      <x:c r="Q960" t="str">
        <x:f>IFERROR(INDEX('02_REFERENTIEL_CLIENTS'!$C$2:$C$51,MATCH(TRIM(C960),'02_REFERENTIEL_CLIENTS'!$A$2:$A$51,0)),"Non trouvé")</x:f>
        <x:v>Europe</x:v>
      </x:c>
      <x:c r="R960" t="str">
        <x:f>IF(OR(F960&lt;=0,G960&lt;0,G960&gt;F960,N960&lt;0,P960="Non trouvé"),"À vérifier","OK")</x:f>
        <x:v>OK</x:v>
      </x:c>
    </x:row>
    <x:row r="961">
      <x:c r="A961" t="str">
        <x:v>DV-2025-00960</x:v>
      </x:c>
      <x:c r="B961" s="16" t="n">
        <x:v>45661</x:v>
      </x:c>
      <x:c r="C961" t="str">
        <x:v>Client 49 </x:v>
      </x:c>
      <x:c r="D961" t="str">
        <x:v>Logistique</x:v>
      </x:c>
      <x:c r="E961" t="str">
        <x:v>Pôle C</x:v>
      </x:c>
      <x:c r="F961" s="18" t="n">
        <x:v>10488.82</x:v>
      </x:c>
      <x:c r="G961" s="18" t="n">
        <x:v>10488.82</x:v>
      </x:c>
      <x:c r="H961" t="str">
        <x:v>Client 49</x:v>
      </x:c>
      <x:c r="I961" s="16" t="n">
        <x:v>45742</x:v>
      </x:c>
      <x:c r="J961" t="n">
        <x:f>YEAR(B961)</x:f>
        <x:v>2025</x:v>
      </x:c>
      <x:c r="K961" s="20" t="n">
        <x:f>DATE(YEAR(B961),MONTH(B961),1)</x:f>
        <x:v>45658</x:v>
      </x:c>
      <x:c r="L961" s="18" t="n">
        <x:f>F961-G961</x:f>
        <x:v>0</x:v>
      </x:c>
      <x:c r="M961" t="str">
        <x:f>IF(L961&lt;=0,"Payée",IF(G961=0,"Impayée","Partielle"))</x:f>
        <x:v>Payée</x:v>
      </x:c>
      <x:c r="N961" t="n">
        <x:f>IF(I961="","",I961-B961)</x:f>
        <x:v>81</x:v>
      </x:c>
      <x:c r="O961" t="str">
        <x:f>IF(TRIM(C961)&lt;&gt;TRIM(H961),"Oui","Non")</x:f>
        <x:v>Non</x:v>
      </x:c>
      <x:c r="P961" t="str">
        <x:f>IFERROR(INDEX('02_REFERENTIEL_CLIENTS'!$B$2:$B$51,MATCH(TRIM(C961),'02_REFERENTIEL_CLIENTS'!$A$2:$A$51,0)),"Non trouvé")</x:f>
        <x:v>Grands comptes</x:v>
      </x:c>
      <x:c r="Q961" t="str">
        <x:f>IFERROR(INDEX('02_REFERENTIEL_CLIENTS'!$C$2:$C$51,MATCH(TRIM(C961),'02_REFERENTIEL_CLIENTS'!$A$2:$A$51,0)),"Non trouvé")</x:f>
        <x:v>France</x:v>
      </x:c>
      <x:c r="R961" t="str">
        <x:f>IF(OR(F961&lt;=0,G961&lt;0,G961&gt;F961,N961&lt;0,P961="Non trouvé"),"À vérifier","OK")</x:f>
        <x:v>OK</x:v>
      </x:c>
    </x:row>
    <x:row r="962">
      <x:c r="A962" t="str">
        <x:v>DV-2024-00961</x:v>
      </x:c>
      <x:c r="B962" s="16" t="n">
        <x:v>45414</x:v>
      </x:c>
      <x:c r="C962" t="str">
        <x:v>Client 26</x:v>
      </x:c>
      <x:c r="D962" t="str">
        <x:v>Fret maritime</x:v>
      </x:c>
      <x:c r="E962" t="str">
        <x:v>Pôle E</x:v>
      </x:c>
      <x:c r="F962" s="18" t="n">
        <x:v>1957.46</x:v>
      </x:c>
      <x:c r="G962" s="18" t="n">
        <x:v>1957.46</x:v>
      </x:c>
      <x:c r="H962" t="str">
        <x:v>Client 26</x:v>
      </x:c>
      <x:c r="I962" s="16" t="n">
        <x:v>45479</x:v>
      </x:c>
      <x:c r="J962" t="n">
        <x:f>YEAR(B962)</x:f>
        <x:v>2024</x:v>
      </x:c>
      <x:c r="K962" s="20" t="n">
        <x:f>DATE(YEAR(B962),MONTH(B962),1)</x:f>
        <x:v>45413</x:v>
      </x:c>
      <x:c r="L962" s="18" t="n">
        <x:f>F962-G962</x:f>
        <x:v>0</x:v>
      </x:c>
      <x:c r="M962" t="str">
        <x:f>IF(L962&lt;=0,"Payée",IF(G962=0,"Impayée","Partielle"))</x:f>
        <x:v>Payée</x:v>
      </x:c>
      <x:c r="N962" t="n">
        <x:f>IF(I962="","",I962-B962)</x:f>
        <x:v>65</x:v>
      </x:c>
      <x:c r="O962" t="str">
        <x:f>IF(TRIM(C962)&lt;&gt;TRIM(H962),"Oui","Non")</x:f>
        <x:v>Non</x:v>
      </x:c>
      <x:c r="P962" t="str">
        <x:f>IFERROR(INDEX('02_REFERENTIEL_CLIENTS'!$B$2:$B$51,MATCH(TRIM(C962),'02_REFERENTIEL_CLIENTS'!$A$2:$A$51,0)),"Non trouvé")</x:f>
        <x:v>PME</x:v>
      </x:c>
      <x:c r="Q962" t="str">
        <x:f>IFERROR(INDEX('02_REFERENTIEL_CLIENTS'!$C$2:$C$51,MATCH(TRIM(C962),'02_REFERENTIEL_CLIENTS'!$A$2:$A$51,0)),"Non trouvé")</x:f>
        <x:v>Europe</x:v>
      </x:c>
      <x:c r="R962" t="str">
        <x:f>IF(OR(F962&lt;=0,G962&lt;0,G962&gt;F962,N962&lt;0,P962="Non trouvé"),"À vérifier","OK")</x:f>
        <x:v>OK</x:v>
      </x:c>
    </x:row>
    <x:row r="963">
      <x:c r="A963" t="str">
        <x:v>DV-2026-00962</x:v>
      </x:c>
      <x:c r="B963" s="16" t="n">
        <x:v>46241</x:v>
      </x:c>
      <x:c r="C963" t="str">
        <x:v>Client 09</x:v>
      </x:c>
      <x:c r="D963" t="str">
        <x:v>Douane</x:v>
      </x:c>
      <x:c r="E963" t="str">
        <x:v>Pôle D</x:v>
      </x:c>
      <x:c r="F963" s="18" t="n">
        <x:v>12885.49</x:v>
      </x:c>
      <x:c r="G963" s="18" t="n">
        <x:v>12885.49</x:v>
      </x:c>
      <x:c r="H963" t="str">
        <x:v>Client 09</x:v>
      </x:c>
      <x:c r="I963" s="16" t="n">
        <x:v>46317</x:v>
      </x:c>
      <x:c r="J963" t="n">
        <x:f>YEAR(B963)</x:f>
        <x:v>2026</x:v>
      </x:c>
      <x:c r="K963" s="20" t="n">
        <x:f>DATE(YEAR(B963),MONTH(B963),1)</x:f>
        <x:v>46235</x:v>
      </x:c>
      <x:c r="L963" s="18" t="n">
        <x:f>F963-G963</x:f>
        <x:v>0</x:v>
      </x:c>
      <x:c r="M963" t="str">
        <x:f>IF(L963&lt;=0,"Payée",IF(G963=0,"Impayée","Partielle"))</x:f>
        <x:v>Payée</x:v>
      </x:c>
      <x:c r="N963" t="n">
        <x:f>IF(I963="","",I963-B963)</x:f>
        <x:v>76</x:v>
      </x:c>
      <x:c r="O963" t="str">
        <x:f>IF(TRIM(C963)&lt;&gt;TRIM(H963),"Oui","Non")</x:f>
        <x:v>Non</x:v>
      </x:c>
      <x:c r="P963" t="str">
        <x:f>IFERROR(INDEX('02_REFERENTIEL_CLIENTS'!$B$2:$B$51,MATCH(TRIM(C963),'02_REFERENTIEL_CLIENTS'!$A$2:$A$51,0)),"Non trouvé")</x:f>
        <x:v>Particuliers</x:v>
      </x:c>
      <x:c r="Q963" t="str">
        <x:f>IFERROR(INDEX('02_REFERENTIEL_CLIENTS'!$C$2:$C$51,MATCH(TRIM(C963),'02_REFERENTIEL_CLIENTS'!$A$2:$A$51,0)),"Non trouvé")</x:f>
        <x:v>International</x:v>
      </x:c>
      <x:c r="R963" t="str">
        <x:f>IF(OR(F963&lt;=0,G963&lt;0,G963&gt;F963,N963&lt;0,P963="Non trouvé"),"À vérifier","OK")</x:f>
        <x:v>OK</x:v>
      </x:c>
    </x:row>
    <x:row r="964">
      <x:c r="A964" t="str">
        <x:v>DV-2026-00963</x:v>
      </x:c>
      <x:c r="B964" s="16" t="n">
        <x:v>46240</x:v>
      </x:c>
      <x:c r="C964" t="str">
        <x:v>Client 07</x:v>
      </x:c>
      <x:c r="D964" t="str">
        <x:v>Fret maritime</x:v>
      </x:c>
      <x:c r="E964" t="str">
        <x:v>Pôle E</x:v>
      </x:c>
      <x:c r="F964" s="18" t="n">
        <x:v>8473.52</x:v>
      </x:c>
      <x:c r="G964" s="18" t="n">
        <x:v>8473.52</x:v>
      </x:c>
      <x:c r="H964" t="str">
        <x:v>Client 07</x:v>
      </x:c>
      <x:c r="I964" s="16" t="n">
        <x:v>46259</x:v>
      </x:c>
      <x:c r="J964" t="n">
        <x:f>YEAR(B964)</x:f>
        <x:v>2026</x:v>
      </x:c>
      <x:c r="K964" s="20" t="n">
        <x:f>DATE(YEAR(B964),MONTH(B964),1)</x:f>
        <x:v>46235</x:v>
      </x:c>
      <x:c r="L964" s="18" t="n">
        <x:f>F964-G964</x:f>
        <x:v>0</x:v>
      </x:c>
      <x:c r="M964" t="str">
        <x:f>IF(L964&lt;=0,"Payée",IF(G964=0,"Impayée","Partielle"))</x:f>
        <x:v>Payée</x:v>
      </x:c>
      <x:c r="N964" t="n">
        <x:f>IF(I964="","",I964-B964)</x:f>
        <x:v>19</x:v>
      </x:c>
      <x:c r="O964" t="str">
        <x:f>IF(TRIM(C964)&lt;&gt;TRIM(H964),"Oui","Non")</x:f>
        <x:v>Non</x:v>
      </x:c>
      <x:c r="P964" t="str">
        <x:f>IFERROR(INDEX('02_REFERENTIEL_CLIENTS'!$B$2:$B$51,MATCH(TRIM(C964),'02_REFERENTIEL_CLIENTS'!$A$2:$A$51,0)),"Non trouvé")</x:f>
        <x:v>Grands comptes</x:v>
      </x:c>
      <x:c r="Q964" t="str">
        <x:f>IFERROR(INDEX('02_REFERENTIEL_CLIENTS'!$C$2:$C$51,MATCH(TRIM(C964),'02_REFERENTIEL_CLIENTS'!$A$2:$A$51,0)),"Non trouvé")</x:f>
        <x:v>France</x:v>
      </x:c>
      <x:c r="R964" t="str">
        <x:f>IF(OR(F964&lt;=0,G964&lt;0,G964&gt;F964,N964&lt;0,P964="Non trouvé"),"À vérifier","OK")</x:f>
        <x:v>OK</x:v>
      </x:c>
    </x:row>
    <x:row r="965">
      <x:c r="A965" t="str">
        <x:v>DV-2026-00964</x:v>
      </x:c>
      <x:c r="B965" s="16" t="n">
        <x:v>46178</x:v>
      </x:c>
      <x:c r="C965" t="str">
        <x:v>Client 33</x:v>
      </x:c>
      <x:c r="D965" t="str">
        <x:v>Fret aérien</x:v>
      </x:c>
      <x:c r="E965" t="str">
        <x:v>Pôle A</x:v>
      </x:c>
      <x:c r="F965" s="18" t="n">
        <x:v>18200.08</x:v>
      </x:c>
      <x:c r="G965" s="18" t="n">
        <x:v>18200.08</x:v>
      </x:c>
      <x:c r="H965" t="str">
        <x:v>Client 33</x:v>
      </x:c>
      <x:c r="I965" s="16" t="n">
        <x:v>46264</x:v>
      </x:c>
      <x:c r="J965" t="n">
        <x:f>YEAR(B965)</x:f>
        <x:v>2026</x:v>
      </x:c>
      <x:c r="K965" s="20" t="n">
        <x:f>DATE(YEAR(B965),MONTH(B965),1)</x:f>
        <x:v>46174</x:v>
      </x:c>
      <x:c r="L965" s="18" t="n">
        <x:f>F965-G965</x:f>
        <x:v>0</x:v>
      </x:c>
      <x:c r="M965" t="str">
        <x:f>IF(L965&lt;=0,"Payée",IF(G965=0,"Impayée","Partielle"))</x:f>
        <x:v>Payée</x:v>
      </x:c>
      <x:c r="N965" t="n">
        <x:f>IF(I965="","",I965-B965)</x:f>
        <x:v>86</x:v>
      </x:c>
      <x:c r="O965" t="str">
        <x:f>IF(TRIM(C965)&lt;&gt;TRIM(H965),"Oui","Non")</x:f>
        <x:v>Non</x:v>
      </x:c>
      <x:c r="P965" t="str">
        <x:f>IFERROR(INDEX('02_REFERENTIEL_CLIENTS'!$B$2:$B$51,MATCH(TRIM(C965),'02_REFERENTIEL_CLIENTS'!$A$2:$A$51,0)),"Non trouvé")</x:f>
        <x:v>Particuliers</x:v>
      </x:c>
      <x:c r="Q965" t="str">
        <x:f>IFERROR(INDEX('02_REFERENTIEL_CLIENTS'!$C$2:$C$51,MATCH(TRIM(C965),'02_REFERENTIEL_CLIENTS'!$A$2:$A$51,0)),"Non trouvé")</x:f>
        <x:v>International</x:v>
      </x:c>
      <x:c r="R965" t="str">
        <x:f>IF(OR(F965&lt;=0,G965&lt;0,G965&gt;F965,N965&lt;0,P965="Non trouvé"),"À vérifier","OK")</x:f>
        <x:v>OK</x:v>
      </x:c>
    </x:row>
    <x:row r="966">
      <x:c r="A966" t="str">
        <x:v>DV-2024-00965</x:v>
      </x:c>
      <x:c r="B966" s="16" t="n">
        <x:v>45629</x:v>
      </x:c>
      <x:c r="C966" t="str">
        <x:v>Client 27</x:v>
      </x:c>
      <x:c r="D966" t="str">
        <x:v>Douane</x:v>
      </x:c>
      <x:c r="E966" t="str">
        <x:v>Pôle A</x:v>
      </x:c>
      <x:c r="F966" s="18" t="n">
        <x:v>15435.94</x:v>
      </x:c>
      <x:c r="G966" s="18" t="n">
        <x:v>15435.94</x:v>
      </x:c>
      <x:c r="H966" t="str">
        <x:v>Client 27</x:v>
      </x:c>
      <x:c r="I966" s="16" t="n">
        <x:v>45660</x:v>
      </x:c>
      <x:c r="J966" t="n">
        <x:f>YEAR(B966)</x:f>
        <x:v>2024</x:v>
      </x:c>
      <x:c r="K966" s="20" t="n">
        <x:f>DATE(YEAR(B966),MONTH(B966),1)</x:f>
        <x:v>45627</x:v>
      </x:c>
      <x:c r="L966" s="18" t="n">
        <x:f>F966-G966</x:f>
        <x:v>0</x:v>
      </x:c>
      <x:c r="M966" t="str">
        <x:f>IF(L966&lt;=0,"Payée",IF(G966=0,"Impayée","Partielle"))</x:f>
        <x:v>Payée</x:v>
      </x:c>
      <x:c r="N966" t="n">
        <x:f>IF(I966="","",I966-B966)</x:f>
        <x:v>31</x:v>
      </x:c>
      <x:c r="O966" t="str">
        <x:f>IF(TRIM(C966)&lt;&gt;TRIM(H966),"Oui","Non")</x:f>
        <x:v>Non</x:v>
      </x:c>
      <x:c r="P966" t="str">
        <x:f>IFERROR(INDEX('02_REFERENTIEL_CLIENTS'!$B$2:$B$51,MATCH(TRIM(C966),'02_REFERENTIEL_CLIENTS'!$A$2:$A$51,0)),"Non trouvé")</x:f>
        <x:v>Particuliers</x:v>
      </x:c>
      <x:c r="Q966" t="str">
        <x:f>IFERROR(INDEX('02_REFERENTIEL_CLIENTS'!$C$2:$C$51,MATCH(TRIM(C966),'02_REFERENTIEL_CLIENTS'!$A$2:$A$51,0)),"Non trouvé")</x:f>
        <x:v>International</x:v>
      </x:c>
      <x:c r="R966" t="str">
        <x:f>IF(OR(F966&lt;=0,G966&lt;0,G966&gt;F966,N966&lt;0,P966="Non trouvé"),"À vérifier","OK")</x:f>
        <x:v>OK</x:v>
      </x:c>
    </x:row>
    <x:row r="967">
      <x:c r="A967" t="str">
        <x:v>DV-2025-00966</x:v>
      </x:c>
      <x:c r="B967" s="16" t="n">
        <x:v>45980</x:v>
      </x:c>
      <x:c r="C967" t="str">
        <x:v>Client 39</x:v>
      </x:c>
      <x:c r="D967" t="str">
        <x:v>Fret aérien</x:v>
      </x:c>
      <x:c r="E967" t="str">
        <x:v>Pôle E</x:v>
      </x:c>
      <x:c r="F967" s="18" t="n">
        <x:v>17603.53</x:v>
      </x:c>
      <x:c r="G967" s="18" t="n">
        <x:v>3151.07</x:v>
      </x:c>
      <x:c r="H967" t="str">
        <x:v>Client 39</x:v>
      </x:c>
      <x:c r="I967" s="16" t="n">
        <x:v>45995</x:v>
      </x:c>
      <x:c r="J967" t="n">
        <x:f>YEAR(B967)</x:f>
        <x:v>2025</x:v>
      </x:c>
      <x:c r="K967" s="20" t="n">
        <x:f>DATE(YEAR(B967),MONTH(B967),1)</x:f>
        <x:v>45962</x:v>
      </x:c>
      <x:c r="L967" s="18" t="n">
        <x:f>F967-G967</x:f>
        <x:v>14452.46</x:v>
      </x:c>
      <x:c r="M967" t="str">
        <x:f>IF(L967&lt;=0,"Payée",IF(G967=0,"Impayée","Partielle"))</x:f>
        <x:v>Partielle</x:v>
      </x:c>
      <x:c r="N967" t="n">
        <x:f>IF(I967="","",I967-B967)</x:f>
        <x:v>15</x:v>
      </x:c>
      <x:c r="O967" t="str">
        <x:f>IF(TRIM(C967)&lt;&gt;TRIM(H967),"Oui","Non")</x:f>
        <x:v>Non</x:v>
      </x:c>
      <x:c r="P967" t="str">
        <x:f>IFERROR(INDEX('02_REFERENTIEL_CLIENTS'!$B$2:$B$51,MATCH(TRIM(C967),'02_REFERENTIEL_CLIENTS'!$A$2:$A$51,0)),"Non trouvé")</x:f>
        <x:v>Particuliers</x:v>
      </x:c>
      <x:c r="Q967" t="str">
        <x:f>IFERROR(INDEX('02_REFERENTIEL_CLIENTS'!$C$2:$C$51,MATCH(TRIM(C967),'02_REFERENTIEL_CLIENTS'!$A$2:$A$51,0)),"Non trouvé")</x:f>
        <x:v>International</x:v>
      </x:c>
      <x:c r="R967" t="str">
        <x:f>IF(OR(F967&lt;=0,G967&lt;0,G967&gt;F967,N967&lt;0,P967="Non trouvé"),"À vérifier","OK")</x:f>
        <x:v>OK</x:v>
      </x:c>
    </x:row>
    <x:row r="968">
      <x:c r="A968" t="str">
        <x:v>DV-2026-00967</x:v>
      </x:c>
      <x:c r="B968" s="16" t="n">
        <x:v>46164</x:v>
      </x:c>
      <x:c r="C968" t="str">
        <x:v>Client 46</x:v>
      </x:c>
      <x:c r="D968" t="str">
        <x:v>Fret maritime</x:v>
      </x:c>
      <x:c r="E968" t="str">
        <x:v>Pôle B</x:v>
      </x:c>
      <x:c r="F968" s="18" t="n">
        <x:v>18969.08</x:v>
      </x:c>
      <x:c r="G968" s="18" t="n">
        <x:v>10816.77</x:v>
      </x:c>
      <x:c r="H968" t="str">
        <x:v>Client 46</x:v>
      </x:c>
      <x:c r="I968" s="16" t="n">
        <x:v>46211</x:v>
      </x:c>
      <x:c r="J968" t="n">
        <x:f>YEAR(B968)</x:f>
        <x:v>2026</x:v>
      </x:c>
      <x:c r="K968" s="20" t="n">
        <x:f>DATE(YEAR(B968),MONTH(B968),1)</x:f>
        <x:v>46143</x:v>
      </x:c>
      <x:c r="L968" s="18" t="n">
        <x:f>F968-G968</x:f>
        <x:v>8152.310000000001</x:v>
      </x:c>
      <x:c r="M968" t="str">
        <x:f>IF(L968&lt;=0,"Payée",IF(G968=0,"Impayée","Partielle"))</x:f>
        <x:v>Partielle</x:v>
      </x:c>
      <x:c r="N968" t="n">
        <x:f>IF(I968="","",I968-B968)</x:f>
        <x:v>47</x:v>
      </x:c>
      <x:c r="O968" t="str">
        <x:f>IF(TRIM(C968)&lt;&gt;TRIM(H968),"Oui","Non")</x:f>
        <x:v>Non</x:v>
      </x:c>
      <x:c r="P968" t="str">
        <x:f>IFERROR(INDEX('02_REFERENTIEL_CLIENTS'!$B$2:$B$51,MATCH(TRIM(C968),'02_REFERENTIEL_CLIENTS'!$A$2:$A$51,0)),"Non trouvé")</x:f>
        <x:v>Grands comptes</x:v>
      </x:c>
      <x:c r="Q968" t="str">
        <x:f>IFERROR(INDEX('02_REFERENTIEL_CLIENTS'!$C$2:$C$51,MATCH(TRIM(C968),'02_REFERENTIEL_CLIENTS'!$A$2:$A$51,0)),"Non trouvé")</x:f>
        <x:v>France</x:v>
      </x:c>
      <x:c r="R968" t="str">
        <x:f>IF(OR(F968&lt;=0,G968&lt;0,G968&gt;F968,N968&lt;0,P968="Non trouvé"),"À vérifier","OK")</x:f>
        <x:v>OK</x:v>
      </x:c>
    </x:row>
    <x:row r="969">
      <x:c r="A969" t="str">
        <x:v>DV-2025-00968</x:v>
      </x:c>
      <x:c r="B969" s="16" t="n">
        <x:v>45981</x:v>
      </x:c>
      <x:c r="C969" t="str">
        <x:v>Client 14</x:v>
      </x:c>
      <x:c r="D969" t="str">
        <x:v>Fret maritime</x:v>
      </x:c>
      <x:c r="E969" t="str">
        <x:v>Pôle A</x:v>
      </x:c>
      <x:c r="F969" s="18" t="n">
        <x:v>16700.68</x:v>
      </x:c>
      <x:c r="G969" s="18" t="n">
        <x:v>16700.68</x:v>
      </x:c>
      <x:c r="H969" t="str">
        <x:v>Client 14</x:v>
      </x:c>
      <x:c r="I969" s="16" t="n">
        <x:v>46004</x:v>
      </x:c>
      <x:c r="J969" t="n">
        <x:f>YEAR(B969)</x:f>
        <x:v>2025</x:v>
      </x:c>
      <x:c r="K969" s="20" t="n">
        <x:f>DATE(YEAR(B969),MONTH(B969),1)</x:f>
        <x:v>45962</x:v>
      </x:c>
      <x:c r="L969" s="18" t="n">
        <x:f>F969-G969</x:f>
        <x:v>0</x:v>
      </x:c>
      <x:c r="M969" t="str">
        <x:f>IF(L969&lt;=0,"Payée",IF(G969=0,"Impayée","Partielle"))</x:f>
        <x:v>Payée</x:v>
      </x:c>
      <x:c r="N969" t="n">
        <x:f>IF(I969="","",I969-B969)</x:f>
        <x:v>23</x:v>
      </x:c>
      <x:c r="O969" t="str">
        <x:f>IF(TRIM(C969)&lt;&gt;TRIM(H969),"Oui","Non")</x:f>
        <x:v>Non</x:v>
      </x:c>
      <x:c r="P969" t="str">
        <x:f>IFERROR(INDEX('02_REFERENTIEL_CLIENTS'!$B$2:$B$51,MATCH(TRIM(C969),'02_REFERENTIEL_CLIENTS'!$A$2:$A$51,0)),"Non trouvé")</x:f>
        <x:v>PME</x:v>
      </x:c>
      <x:c r="Q969" t="str">
        <x:f>IFERROR(INDEX('02_REFERENTIEL_CLIENTS'!$C$2:$C$51,MATCH(TRIM(C969),'02_REFERENTIEL_CLIENTS'!$A$2:$A$51,0)),"Non trouvé")</x:f>
        <x:v>Europe</x:v>
      </x:c>
      <x:c r="R969" t="str">
        <x:f>IF(OR(F969&lt;=0,G969&lt;0,G969&gt;F969,N969&lt;0,P969="Non trouvé"),"À vérifier","OK")</x:f>
        <x:v>OK</x:v>
      </x:c>
    </x:row>
    <x:row r="970">
      <x:c r="A970" t="str">
        <x:v>DV-2026-00969</x:v>
      </x:c>
      <x:c r="B970" s="16" t="n">
        <x:v>46227</x:v>
      </x:c>
      <x:c r="C970" t="str">
        <x:v>Client 26</x:v>
      </x:c>
      <x:c r="D970" t="str">
        <x:v>Logistique</x:v>
      </x:c>
      <x:c r="E970" t="str">
        <x:v>Pôle D</x:v>
      </x:c>
      <x:c r="F970" s="18" t="n">
        <x:v>6631.85</x:v>
      </x:c>
      <x:c r="G970" s="18" t="n">
        <x:v>6631.85</x:v>
      </x:c>
      <x:c r="H970" t="str">
        <x:v>Client 26</x:v>
      </x:c>
      <x:c r="I970" s="16" t="n">
        <x:v>46255</x:v>
      </x:c>
      <x:c r="J970" t="n">
        <x:f>YEAR(B970)</x:f>
        <x:v>2026</x:v>
      </x:c>
      <x:c r="K970" s="20" t="n">
        <x:f>DATE(YEAR(B970),MONTH(B970),1)</x:f>
        <x:v>46204</x:v>
      </x:c>
      <x:c r="L970" s="18" t="n">
        <x:f>F970-G970</x:f>
        <x:v>0</x:v>
      </x:c>
      <x:c r="M970" t="str">
        <x:f>IF(L970&lt;=0,"Payée",IF(G970=0,"Impayée","Partielle"))</x:f>
        <x:v>Payée</x:v>
      </x:c>
      <x:c r="N970" t="n">
        <x:f>IF(I970="","",I970-B970)</x:f>
        <x:v>28</x:v>
      </x:c>
      <x:c r="O970" t="str">
        <x:f>IF(TRIM(C970)&lt;&gt;TRIM(H970),"Oui","Non")</x:f>
        <x:v>Non</x:v>
      </x:c>
      <x:c r="P970" t="str">
        <x:f>IFERROR(INDEX('02_REFERENTIEL_CLIENTS'!$B$2:$B$51,MATCH(TRIM(C970),'02_REFERENTIEL_CLIENTS'!$A$2:$A$51,0)),"Non trouvé")</x:f>
        <x:v>PME</x:v>
      </x:c>
      <x:c r="Q970" t="str">
        <x:f>IFERROR(INDEX('02_REFERENTIEL_CLIENTS'!$C$2:$C$51,MATCH(TRIM(C970),'02_REFERENTIEL_CLIENTS'!$A$2:$A$51,0)),"Non trouvé")</x:f>
        <x:v>Europe</x:v>
      </x:c>
      <x:c r="R970" t="str">
        <x:f>IF(OR(F970&lt;=0,G970&lt;0,G970&gt;F970,N970&lt;0,P970="Non trouvé"),"À vérifier","OK")</x:f>
        <x:v>OK</x:v>
      </x:c>
    </x:row>
    <x:row r="971">
      <x:c r="A971" t="str">
        <x:v>DV-2024-00970</x:v>
      </x:c>
      <x:c r="B971" s="16" t="n">
        <x:v>45357</x:v>
      </x:c>
      <x:c r="C971" t="str">
        <x:v>Client 36</x:v>
      </x:c>
      <x:c r="D971" t="str">
        <x:v>Fret aérien</x:v>
      </x:c>
      <x:c r="E971" t="str">
        <x:v>Pôle C</x:v>
      </x:c>
      <x:c r="F971" s="18" t="n">
        <x:v>20722.92</x:v>
      </x:c>
      <x:c r="G971" s="18" t="n">
        <x:v>15143.05</x:v>
      </x:c>
      <x:c r="H971" t="str">
        <x:v>Client 36</x:v>
      </x:c>
      <x:c r="I971" s="16" t="n">
        <x:v>45432</x:v>
      </x:c>
      <x:c r="J971" t="n">
        <x:f>YEAR(B971)</x:f>
        <x:v>2024</x:v>
      </x:c>
      <x:c r="K971" s="20" t="n">
        <x:f>DATE(YEAR(B971),MONTH(B971),1)</x:f>
        <x:v>45352</x:v>
      </x:c>
      <x:c r="L971" s="18" t="n">
        <x:f>F971-G971</x:f>
        <x:v>5579.869999999999</x:v>
      </x:c>
      <x:c r="M971" t="str">
        <x:f>IF(L971&lt;=0,"Payée",IF(G971=0,"Impayée","Partielle"))</x:f>
        <x:v>Partielle</x:v>
      </x:c>
      <x:c r="N971" t="n">
        <x:f>IF(I971="","",I971-B971)</x:f>
        <x:v>75</x:v>
      </x:c>
      <x:c r="O971" t="str">
        <x:f>IF(TRIM(C971)&lt;&gt;TRIM(H971),"Oui","Non")</x:f>
        <x:v>Non</x:v>
      </x:c>
      <x:c r="P971" t="str">
        <x:f>IFERROR(INDEX('02_REFERENTIEL_CLIENTS'!$B$2:$B$51,MATCH(TRIM(C971),'02_REFERENTIEL_CLIENTS'!$A$2:$A$51,0)),"Non trouvé")</x:f>
        <x:v>Particuliers</x:v>
      </x:c>
      <x:c r="Q971" t="str">
        <x:f>IFERROR(INDEX('02_REFERENTIEL_CLIENTS'!$C$2:$C$51,MATCH(TRIM(C971),'02_REFERENTIEL_CLIENTS'!$A$2:$A$51,0)),"Non trouvé")</x:f>
        <x:v>International</x:v>
      </x:c>
      <x:c r="R971" t="str">
        <x:f>IF(OR(F971&lt;=0,G971&lt;0,G971&gt;F971,N971&lt;0,P971="Non trouvé"),"À vérifier","OK")</x:f>
        <x:v>OK</x:v>
      </x:c>
    </x:row>
    <x:row r="972">
      <x:c r="A972" t="str">
        <x:v>DV-2024-00971</x:v>
      </x:c>
      <x:c r="B972" s="16" t="n">
        <x:v>45309</x:v>
      </x:c>
      <x:c r="C972" t="str">
        <x:v>Client 39</x:v>
      </x:c>
      <x:c r="D972" t="str">
        <x:v>Fret maritime</x:v>
      </x:c>
      <x:c r="E972" t="str">
        <x:v>Pôle A</x:v>
      </x:c>
      <x:c r="F972" s="18" t="n">
        <x:v>16414.36</x:v>
      </x:c>
      <x:c r="G972" s="18" t="n">
        <x:v>16414.36</x:v>
      </x:c>
      <x:c r="H972" t="str">
        <x:v>Client 39</x:v>
      </x:c>
      <x:c r="I972" s="16" t="n">
        <x:v>45380</x:v>
      </x:c>
      <x:c r="J972" t="n">
        <x:f>YEAR(B972)</x:f>
        <x:v>2024</x:v>
      </x:c>
      <x:c r="K972" s="20" t="n">
        <x:f>DATE(YEAR(B972),MONTH(B972),1)</x:f>
        <x:v>45292</x:v>
      </x:c>
      <x:c r="L972" s="18" t="n">
        <x:f>F972-G972</x:f>
        <x:v>0</x:v>
      </x:c>
      <x:c r="M972" t="str">
        <x:f>IF(L972&lt;=0,"Payée",IF(G972=0,"Impayée","Partielle"))</x:f>
        <x:v>Payée</x:v>
      </x:c>
      <x:c r="N972" t="n">
        <x:f>IF(I972="","",I972-B972)</x:f>
        <x:v>71</x:v>
      </x:c>
      <x:c r="O972" t="str">
        <x:f>IF(TRIM(C972)&lt;&gt;TRIM(H972),"Oui","Non")</x:f>
        <x:v>Non</x:v>
      </x:c>
      <x:c r="P972" t="str">
        <x:f>IFERROR(INDEX('02_REFERENTIEL_CLIENTS'!$B$2:$B$51,MATCH(TRIM(C972),'02_REFERENTIEL_CLIENTS'!$A$2:$A$51,0)),"Non trouvé")</x:f>
        <x:v>Particuliers</x:v>
      </x:c>
      <x:c r="Q972" t="str">
        <x:f>IFERROR(INDEX('02_REFERENTIEL_CLIENTS'!$C$2:$C$51,MATCH(TRIM(C972),'02_REFERENTIEL_CLIENTS'!$A$2:$A$51,0)),"Non trouvé")</x:f>
        <x:v>International</x:v>
      </x:c>
      <x:c r="R972" t="str">
        <x:f>IF(OR(F972&lt;=0,G972&lt;0,G972&gt;F972,N972&lt;0,P972="Non trouvé"),"À vérifier","OK")</x:f>
        <x:v>OK</x:v>
      </x:c>
    </x:row>
    <x:row r="973">
      <x:c r="A973" t="str">
        <x:v>DV-2025-00972</x:v>
      </x:c>
      <x:c r="B973" s="16" t="n">
        <x:v>45826</x:v>
      </x:c>
      <x:c r="C973" t="str">
        <x:v>Client 12</x:v>
      </x:c>
      <x:c r="D973" t="str">
        <x:v>Fret aérien</x:v>
      </x:c>
      <x:c r="E973" t="str">
        <x:v>Pôle C</x:v>
      </x:c>
      <x:c r="F973" s="18" t="n">
        <x:v>21023.89</x:v>
      </x:c>
      <x:c r="G973" s="18" t="n">
        <x:v>21023.89</x:v>
      </x:c>
      <x:c r="H973" t="str">
        <x:v>Client 12</x:v>
      </x:c>
      <x:c r="I973" s="16" t="n">
        <x:v>45838</x:v>
      </x:c>
      <x:c r="J973" t="n">
        <x:f>YEAR(B973)</x:f>
        <x:v>2025</x:v>
      </x:c>
      <x:c r="K973" s="20" t="n">
        <x:f>DATE(YEAR(B973),MONTH(B973),1)</x:f>
        <x:v>45809</x:v>
      </x:c>
      <x:c r="L973" s="18" t="n">
        <x:f>F973-G973</x:f>
        <x:v>0</x:v>
      </x:c>
      <x:c r="M973" t="str">
        <x:f>IF(L973&lt;=0,"Payée",IF(G973=0,"Impayée","Partielle"))</x:f>
        <x:v>Payée</x:v>
      </x:c>
      <x:c r="N973" t="n">
        <x:f>IF(I973="","",I973-B973)</x:f>
        <x:v>12</x:v>
      </x:c>
      <x:c r="O973" t="str">
        <x:f>IF(TRIM(C973)&lt;&gt;TRIM(H973),"Oui","Non")</x:f>
        <x:v>Non</x:v>
      </x:c>
      <x:c r="P973" t="str">
        <x:f>IFERROR(INDEX('02_REFERENTIEL_CLIENTS'!$B$2:$B$51,MATCH(TRIM(C973),'02_REFERENTIEL_CLIENTS'!$A$2:$A$51,0)),"Non trouvé")</x:f>
        <x:v>Particuliers</x:v>
      </x:c>
      <x:c r="Q973" t="str">
        <x:f>IFERROR(INDEX('02_REFERENTIEL_CLIENTS'!$C$2:$C$51,MATCH(TRIM(C973),'02_REFERENTIEL_CLIENTS'!$A$2:$A$51,0)),"Non trouvé")</x:f>
        <x:v>International</x:v>
      </x:c>
      <x:c r="R973" t="str">
        <x:f>IF(OR(F973&lt;=0,G973&lt;0,G973&gt;F973,N973&lt;0,P973="Non trouvé"),"À vérifier","OK")</x:f>
        <x:v>OK</x:v>
      </x:c>
    </x:row>
    <x:row r="974">
      <x:c r="A974" t="str">
        <x:v>DV-2024-00973</x:v>
      </x:c>
      <x:c r="B974" s="16" t="n">
        <x:v>45312</x:v>
      </x:c>
      <x:c r="C974" t="str">
        <x:v>Client 11</x:v>
      </x:c>
      <x:c r="D974" t="str">
        <x:v>Fret maritime</x:v>
      </x:c>
      <x:c r="E974" t="str">
        <x:v>Pôle B</x:v>
      </x:c>
      <x:c r="F974" s="18" t="n">
        <x:v>16876.41</x:v>
      </x:c>
      <x:c r="G974" s="18" t="n">
        <x:v>16876.41</x:v>
      </x:c>
      <x:c r="H974" t="str">
        <x:v>Client 11</x:v>
      </x:c>
      <x:c r="I974" s="16" t="n">
        <x:v>45343</x:v>
      </x:c>
      <x:c r="J974" t="n">
        <x:f>YEAR(B974)</x:f>
        <x:v>2024</x:v>
      </x:c>
      <x:c r="K974" s="20" t="n">
        <x:f>DATE(YEAR(B974),MONTH(B974),1)</x:f>
        <x:v>45292</x:v>
      </x:c>
      <x:c r="L974" s="18" t="n">
        <x:f>F974-G974</x:f>
        <x:v>0</x:v>
      </x:c>
      <x:c r="M974" t="str">
        <x:f>IF(L974&lt;=0,"Payée",IF(G974=0,"Impayée","Partielle"))</x:f>
        <x:v>Payée</x:v>
      </x:c>
      <x:c r="N974" t="n">
        <x:f>IF(I974="","",I974-B974)</x:f>
        <x:v>31</x:v>
      </x:c>
      <x:c r="O974" t="str">
        <x:f>IF(TRIM(C974)&lt;&gt;TRIM(H974),"Oui","Non")</x:f>
        <x:v>Non</x:v>
      </x:c>
      <x:c r="P974" t="str">
        <x:f>IFERROR(INDEX('02_REFERENTIEL_CLIENTS'!$B$2:$B$51,MATCH(TRIM(C974),'02_REFERENTIEL_CLIENTS'!$A$2:$A$51,0)),"Non trouvé")</x:f>
        <x:v>PME</x:v>
      </x:c>
      <x:c r="Q974" t="str">
        <x:f>IFERROR(INDEX('02_REFERENTIEL_CLIENTS'!$C$2:$C$51,MATCH(TRIM(C974),'02_REFERENTIEL_CLIENTS'!$A$2:$A$51,0)),"Non trouvé")</x:f>
        <x:v>Europe</x:v>
      </x:c>
      <x:c r="R974" t="str">
        <x:f>IF(OR(F974&lt;=0,G974&lt;0,G974&gt;F974,N974&lt;0,P974="Non trouvé"),"À vérifier","OK")</x:f>
        <x:v>OK</x:v>
      </x:c>
    </x:row>
    <x:row r="975">
      <x:c r="A975" t="str">
        <x:v>DV-2024-00974</x:v>
      </x:c>
      <x:c r="B975" s="16" t="n">
        <x:v>45362</x:v>
      </x:c>
      <x:c r="C975" t="str">
        <x:v>Client 37</x:v>
      </x:c>
      <x:c r="D975" t="str">
        <x:v>Fret maritime</x:v>
      </x:c>
      <x:c r="E975" t="str">
        <x:v>Pôle D</x:v>
      </x:c>
      <x:c r="F975" s="18" t="n">
        <x:v>21397.35</x:v>
      </x:c>
      <x:c r="G975" s="18" t="n">
        <x:v>21397.35</x:v>
      </x:c>
      <x:c r="H975" t="str">
        <x:v>Client 37</x:v>
      </x:c>
      <x:c r="I975" s="16" t="n">
        <x:v>45407</x:v>
      </x:c>
      <x:c r="J975" t="n">
        <x:f>YEAR(B975)</x:f>
        <x:v>2024</x:v>
      </x:c>
      <x:c r="K975" s="20" t="n">
        <x:f>DATE(YEAR(B975),MONTH(B975),1)</x:f>
        <x:v>45352</x:v>
      </x:c>
      <x:c r="L975" s="18" t="n">
        <x:f>F975-G975</x:f>
        <x:v>0</x:v>
      </x:c>
      <x:c r="M975" t="str">
        <x:f>IF(L975&lt;=0,"Payée",IF(G975=0,"Impayée","Partielle"))</x:f>
        <x:v>Payée</x:v>
      </x:c>
      <x:c r="N975" t="n">
        <x:f>IF(I975="","",I975-B975)</x:f>
        <x:v>45</x:v>
      </x:c>
      <x:c r="O975" t="str">
        <x:f>IF(TRIM(C975)&lt;&gt;TRIM(H975),"Oui","Non")</x:f>
        <x:v>Non</x:v>
      </x:c>
      <x:c r="P975" t="str">
        <x:f>IFERROR(INDEX('02_REFERENTIEL_CLIENTS'!$B$2:$B$51,MATCH(TRIM(C975),'02_REFERENTIEL_CLIENTS'!$A$2:$A$51,0)),"Non trouvé")</x:f>
        <x:v>Grands comptes</x:v>
      </x:c>
      <x:c r="Q975" t="str">
        <x:f>IFERROR(INDEX('02_REFERENTIEL_CLIENTS'!$C$2:$C$51,MATCH(TRIM(C975),'02_REFERENTIEL_CLIENTS'!$A$2:$A$51,0)),"Non trouvé")</x:f>
        <x:v>France</x:v>
      </x:c>
      <x:c r="R975" t="str">
        <x:f>IF(OR(F975&lt;=0,G975&lt;0,G975&gt;F975,N975&lt;0,P975="Non trouvé"),"À vérifier","OK")</x:f>
        <x:v>OK</x:v>
      </x:c>
    </x:row>
    <x:row r="976">
      <x:c r="A976" t="str">
        <x:v>DV-2024-00975</x:v>
      </x:c>
      <x:c r="B976" s="16" t="n">
        <x:v>45415</x:v>
      </x:c>
      <x:c r="C976" t="str">
        <x:v>Client 04</x:v>
      </x:c>
      <x:c r="D976" t="str">
        <x:v>Douane</x:v>
      </x:c>
      <x:c r="E976" t="str">
        <x:v>Pôle E</x:v>
      </x:c>
      <x:c r="F976" s="18" t="n">
        <x:v>16085.29</x:v>
      </x:c>
      <x:c r="G976" s="18" t="n">
        <x:v>16085.29</x:v>
      </x:c>
      <x:c r="H976" t="str">
        <x:v>Client 04</x:v>
      </x:c>
      <x:c r="I976" s="16" t="n">
        <x:v>45441</x:v>
      </x:c>
      <x:c r="J976" t="n">
        <x:f>YEAR(B976)</x:f>
        <x:v>2024</x:v>
      </x:c>
      <x:c r="K976" s="20" t="n">
        <x:f>DATE(YEAR(B976),MONTH(B976),1)</x:f>
        <x:v>45413</x:v>
      </x:c>
      <x:c r="L976" s="18" t="n">
        <x:f>F976-G976</x:f>
        <x:v>0</x:v>
      </x:c>
      <x:c r="M976" t="str">
        <x:f>IF(L976&lt;=0,"Payée",IF(G976=0,"Impayée","Partielle"))</x:f>
        <x:v>Payée</x:v>
      </x:c>
      <x:c r="N976" t="n">
        <x:f>IF(I976="","",I976-B976)</x:f>
        <x:v>26</x:v>
      </x:c>
      <x:c r="O976" t="str">
        <x:f>IF(TRIM(C976)&lt;&gt;TRIM(H976),"Oui","Non")</x:f>
        <x:v>Non</x:v>
      </x:c>
      <x:c r="P976" t="str">
        <x:f>IFERROR(INDEX('02_REFERENTIEL_CLIENTS'!$B$2:$B$51,MATCH(TRIM(C976),'02_REFERENTIEL_CLIENTS'!$A$2:$A$51,0)),"Non trouvé")</x:f>
        <x:v>Grands comptes</x:v>
      </x:c>
      <x:c r="Q976" t="str">
        <x:f>IFERROR(INDEX('02_REFERENTIEL_CLIENTS'!$C$2:$C$51,MATCH(TRIM(C976),'02_REFERENTIEL_CLIENTS'!$A$2:$A$51,0)),"Non trouvé")</x:f>
        <x:v>France</x:v>
      </x:c>
      <x:c r="R976" t="str">
        <x:f>IF(OR(F976&lt;=0,G976&lt;0,G976&gt;F976,N976&lt;0,P976="Non trouvé"),"À vérifier","OK")</x:f>
        <x:v>OK</x:v>
      </x:c>
    </x:row>
    <x:row r="977">
      <x:c r="A977" t="str">
        <x:v>DV-2026-00976</x:v>
      </x:c>
      <x:c r="B977" s="16" t="n">
        <x:v>46050</x:v>
      </x:c>
      <x:c r="C977" t="str">
        <x:v>Client 21</x:v>
      </x:c>
      <x:c r="D977" t="str">
        <x:v>Douane</x:v>
      </x:c>
      <x:c r="E977" t="str">
        <x:v>Pôle A</x:v>
      </x:c>
      <x:c r="F977" s="18" t="n">
        <x:v>14071.73</x:v>
      </x:c>
      <x:c r="G977" s="18" t="n">
        <x:v>14071.73</x:v>
      </x:c>
      <x:c r="H977" t="str">
        <x:v>Client 21</x:v>
      </x:c>
      <x:c r="I977" s="16" t="n">
        <x:v>46129</x:v>
      </x:c>
      <x:c r="J977" t="n">
        <x:f>YEAR(B977)</x:f>
        <x:v>2026</x:v>
      </x:c>
      <x:c r="K977" s="20" t="n">
        <x:f>DATE(YEAR(B977),MONTH(B977),1)</x:f>
        <x:v>46023</x:v>
      </x:c>
      <x:c r="L977" s="18" t="n">
        <x:f>F977-G977</x:f>
        <x:v>0</x:v>
      </x:c>
      <x:c r="M977" t="str">
        <x:f>IF(L977&lt;=0,"Payée",IF(G977=0,"Impayée","Partielle"))</x:f>
        <x:v>Payée</x:v>
      </x:c>
      <x:c r="N977" t="n">
        <x:f>IF(I977="","",I977-B977)</x:f>
        <x:v>79</x:v>
      </x:c>
      <x:c r="O977" t="str">
        <x:f>IF(TRIM(C977)&lt;&gt;TRIM(H977),"Oui","Non")</x:f>
        <x:v>Non</x:v>
      </x:c>
      <x:c r="P977" t="str">
        <x:f>IFERROR(INDEX('02_REFERENTIEL_CLIENTS'!$B$2:$B$51,MATCH(TRIM(C977),'02_REFERENTIEL_CLIENTS'!$A$2:$A$51,0)),"Non trouvé")</x:f>
        <x:v>Particuliers</x:v>
      </x:c>
      <x:c r="Q977" t="str">
        <x:f>IFERROR(INDEX('02_REFERENTIEL_CLIENTS'!$C$2:$C$51,MATCH(TRIM(C977),'02_REFERENTIEL_CLIENTS'!$A$2:$A$51,0)),"Non trouvé")</x:f>
        <x:v>International</x:v>
      </x:c>
      <x:c r="R977" t="str">
        <x:f>IF(OR(F977&lt;=0,G977&lt;0,G977&gt;F977,N977&lt;0,P977="Non trouvé"),"À vérifier","OK")</x:f>
        <x:v>OK</x:v>
      </x:c>
    </x:row>
    <x:row r="978">
      <x:c r="A978" t="str">
        <x:v>DV-2026-00977</x:v>
      </x:c>
      <x:c r="B978" s="16" t="n">
        <x:v>46241</x:v>
      </x:c>
      <x:c r="C978" t="str">
        <x:v>Client 07</x:v>
      </x:c>
      <x:c r="D978" t="str">
        <x:v>Express</x:v>
      </x:c>
      <x:c r="E978" t="str">
        <x:v>Pôle A</x:v>
      </x:c>
      <x:c r="F978" s="18" t="n">
        <x:v>2870.29</x:v>
      </x:c>
      <x:c r="G978" s="18" t="n">
        <x:v>2870.29</x:v>
      </x:c>
      <x:c r="H978" t="str">
        <x:v>Client 07</x:v>
      </x:c>
      <x:c r="I978" s="16" t="n">
        <x:v>46294</x:v>
      </x:c>
      <x:c r="J978" t="n">
        <x:f>YEAR(B978)</x:f>
        <x:v>2026</x:v>
      </x:c>
      <x:c r="K978" s="20" t="n">
        <x:f>DATE(YEAR(B978),MONTH(B978),1)</x:f>
        <x:v>46235</x:v>
      </x:c>
      <x:c r="L978" s="18" t="n">
        <x:f>F978-G978</x:f>
        <x:v>0</x:v>
      </x:c>
      <x:c r="M978" t="str">
        <x:f>IF(L978&lt;=0,"Payée",IF(G978=0,"Impayée","Partielle"))</x:f>
        <x:v>Payée</x:v>
      </x:c>
      <x:c r="N978" t="n">
        <x:f>IF(I978="","",I978-B978)</x:f>
        <x:v>53</x:v>
      </x:c>
      <x:c r="O978" t="str">
        <x:f>IF(TRIM(C978)&lt;&gt;TRIM(H978),"Oui","Non")</x:f>
        <x:v>Non</x:v>
      </x:c>
      <x:c r="P978" t="str">
        <x:f>IFERROR(INDEX('02_REFERENTIEL_CLIENTS'!$B$2:$B$51,MATCH(TRIM(C978),'02_REFERENTIEL_CLIENTS'!$A$2:$A$51,0)),"Non trouvé")</x:f>
        <x:v>Grands comptes</x:v>
      </x:c>
      <x:c r="Q978" t="str">
        <x:f>IFERROR(INDEX('02_REFERENTIEL_CLIENTS'!$C$2:$C$51,MATCH(TRIM(C978),'02_REFERENTIEL_CLIENTS'!$A$2:$A$51,0)),"Non trouvé")</x:f>
        <x:v>France</x:v>
      </x:c>
      <x:c r="R978" t="str">
        <x:f>IF(OR(F978&lt;=0,G978&lt;0,G978&gt;F978,N978&lt;0,P978="Non trouvé"),"À vérifier","OK")</x:f>
        <x:v>OK</x:v>
      </x:c>
    </x:row>
    <x:row r="979">
      <x:c r="A979" t="str">
        <x:v>DV-2025-00978</x:v>
      </x:c>
      <x:c r="B979" s="16" t="n">
        <x:v>45735</x:v>
      </x:c>
      <x:c r="C979" t="str">
        <x:v>Client 12</x:v>
      </x:c>
      <x:c r="D979" t="str">
        <x:v>Express</x:v>
      </x:c>
      <x:c r="E979" t="str">
        <x:v>Pôle B</x:v>
      </x:c>
      <x:c r="F979" s="18" t="n">
        <x:v>1599.54</x:v>
      </x:c>
      <x:c r="G979" s="18" t="n">
        <x:v>1599.54</x:v>
      </x:c>
      <x:c r="H979" t="str">
        <x:v>Client 27</x:v>
      </x:c>
      <x:c r="I979" s="16" t="n">
        <x:v>45744</x:v>
      </x:c>
      <x:c r="J979" t="n">
        <x:f>YEAR(B979)</x:f>
        <x:v>2025</x:v>
      </x:c>
      <x:c r="K979" s="20" t="n">
        <x:f>DATE(YEAR(B979),MONTH(B979),1)</x:f>
        <x:v>45717</x:v>
      </x:c>
      <x:c r="L979" s="18" t="n">
        <x:f>F979-G979</x:f>
        <x:v>0</x:v>
      </x:c>
      <x:c r="M979" t="str">
        <x:f>IF(L979&lt;=0,"Payée",IF(G979=0,"Impayée","Partielle"))</x:f>
        <x:v>Payée</x:v>
      </x:c>
      <x:c r="N979" t="n">
        <x:f>IF(I979="","",I979-B979)</x:f>
        <x:v>9</x:v>
      </x:c>
      <x:c r="O979" t="str">
        <x:f>IF(TRIM(C979)&lt;&gt;TRIM(H979),"Oui","Non")</x:f>
        <x:v>Oui</x:v>
      </x:c>
      <x:c r="P979" t="str">
        <x:f>IFERROR(INDEX('02_REFERENTIEL_CLIENTS'!$B$2:$B$51,MATCH(TRIM(C979),'02_REFERENTIEL_CLIENTS'!$A$2:$A$51,0)),"Non trouvé")</x:f>
        <x:v>Particuliers</x:v>
      </x:c>
      <x:c r="Q979" t="str">
        <x:f>IFERROR(INDEX('02_REFERENTIEL_CLIENTS'!$C$2:$C$51,MATCH(TRIM(C979),'02_REFERENTIEL_CLIENTS'!$A$2:$A$51,0)),"Non trouvé")</x:f>
        <x:v>International</x:v>
      </x:c>
      <x:c r="R979" t="str">
        <x:f>IF(OR(F979&lt;=0,G979&lt;0,G979&gt;F979,N979&lt;0,P979="Non trouvé"),"À vérifier","OK")</x:f>
        <x:v>OK</x:v>
      </x:c>
    </x:row>
    <x:row r="980">
      <x:c r="A980" t="str">
        <x:v>DV-2026-00979</x:v>
      </x:c>
      <x:c r="B980" s="16" t="n">
        <x:v>46232</x:v>
      </x:c>
      <x:c r="C980" t="str">
        <x:v>Client 03</x:v>
      </x:c>
      <x:c r="D980" t="str">
        <x:v>Douane</x:v>
      </x:c>
      <x:c r="E980" t="str">
        <x:v>Pôle E</x:v>
      </x:c>
      <x:c r="F980" s="18" t="n">
        <x:v>5651.48</x:v>
      </x:c>
      <x:c r="G980" s="18" t="n">
        <x:v>5651.48</x:v>
      </x:c>
      <x:c r="H980" t="str">
        <x:v>Client 03</x:v>
      </x:c>
      <x:c r="I980" s="16" t="n">
        <x:v>46297</x:v>
      </x:c>
      <x:c r="J980" t="n">
        <x:f>YEAR(B980)</x:f>
        <x:v>2026</x:v>
      </x:c>
      <x:c r="K980" s="20" t="n">
        <x:f>DATE(YEAR(B980),MONTH(B980),1)</x:f>
        <x:v>46204</x:v>
      </x:c>
      <x:c r="L980" s="18" t="n">
        <x:f>F980-G980</x:f>
        <x:v>0</x:v>
      </x:c>
      <x:c r="M980" t="str">
        <x:f>IF(L980&lt;=0,"Payée",IF(G980=0,"Impayée","Partielle"))</x:f>
        <x:v>Payée</x:v>
      </x:c>
      <x:c r="N980" t="n">
        <x:f>IF(I980="","",I980-B980)</x:f>
        <x:v>65</x:v>
      </x:c>
      <x:c r="O980" t="str">
        <x:f>IF(TRIM(C980)&lt;&gt;TRIM(H980),"Oui","Non")</x:f>
        <x:v>Non</x:v>
      </x:c>
      <x:c r="P980" t="str">
        <x:f>IFERROR(INDEX('02_REFERENTIEL_CLIENTS'!$B$2:$B$51,MATCH(TRIM(C980),'02_REFERENTIEL_CLIENTS'!$A$2:$A$51,0)),"Non trouvé")</x:f>
        <x:v>Particuliers</x:v>
      </x:c>
      <x:c r="Q980" t="str">
        <x:f>IFERROR(INDEX('02_REFERENTIEL_CLIENTS'!$C$2:$C$51,MATCH(TRIM(C980),'02_REFERENTIEL_CLIENTS'!$A$2:$A$51,0)),"Non trouvé")</x:f>
        <x:v>International</x:v>
      </x:c>
      <x:c r="R980" t="str">
        <x:f>IF(OR(F980&lt;=0,G980&lt;0,G980&gt;F980,N980&lt;0,P980="Non trouvé"),"À vérifier","OK")</x:f>
        <x:v>OK</x:v>
      </x:c>
    </x:row>
    <x:row r="981">
      <x:c r="A981" t="str">
        <x:v>DV-2024-00980</x:v>
      </x:c>
      <x:c r="B981" s="16" t="n">
        <x:v>45457</x:v>
      </x:c>
      <x:c r="C981" t="str">
        <x:v>Client 19</x:v>
      </x:c>
      <x:c r="D981" t="str">
        <x:v>Fret maritime</x:v>
      </x:c>
      <x:c r="E981" t="str">
        <x:v>Pôle C</x:v>
      </x:c>
      <x:c r="F981" s="18" t="n">
        <x:v>8245.1</x:v>
      </x:c>
      <x:c r="G981" s="18" t="n">
        <x:v>0</x:v>
      </x:c>
      <x:c r="H981" t="str">
        <x:v>Client 19</x:v>
      </x:c>
      <x:c r="I981" s="16"/>
      <x:c r="J981" t="n">
        <x:f>YEAR(B981)</x:f>
        <x:v>2024</x:v>
      </x:c>
      <x:c r="K981" s="20" t="n">
        <x:f>DATE(YEAR(B981),MONTH(B981),1)</x:f>
        <x:v>45444</x:v>
      </x:c>
      <x:c r="L981" s="18" t="n">
        <x:f>F981-G981</x:f>
        <x:v>8245.1</x:v>
      </x:c>
      <x:c r="M981" t="str">
        <x:f>IF(L981&lt;=0,"Payée",IF(G981=0,"Impayée","Partielle"))</x:f>
        <x:v>Impayée</x:v>
      </x:c>
      <x:c r="N981" t="str">
        <x:f>IF(I981="","",I981-B981)</x:f>
      </x:c>
      <x:c r="O981" t="str">
        <x:f>IF(TRIM(C981)&lt;&gt;TRIM(H981),"Oui","Non")</x:f>
        <x:v>Non</x:v>
      </x:c>
      <x:c r="P981" t="str">
        <x:f>IFERROR(INDEX('02_REFERENTIEL_CLIENTS'!$B$2:$B$51,MATCH(TRIM(C981),'02_REFERENTIEL_CLIENTS'!$A$2:$A$51,0)),"Non trouvé")</x:f>
        <x:v>Grands comptes</x:v>
      </x:c>
      <x:c r="Q981" t="str">
        <x:f>IFERROR(INDEX('02_REFERENTIEL_CLIENTS'!$C$2:$C$51,MATCH(TRIM(C981),'02_REFERENTIEL_CLIENTS'!$A$2:$A$51,0)),"Non trouvé")</x:f>
        <x:v>France</x:v>
      </x:c>
      <x:c r="R981" t="str">
        <x:f>IF(OR(F981&lt;=0,G981&lt;0,G981&gt;F981,N981&lt;0,P981="Non trouvé"),"À vérifier","OK")</x:f>
        <x:v>OK</x:v>
      </x:c>
    </x:row>
    <x:row r="982">
      <x:c r="A982" t="str">
        <x:v>DV-2025-00981</x:v>
      </x:c>
      <x:c r="B982" s="16" t="n">
        <x:v>45785</x:v>
      </x:c>
      <x:c r="C982" t="str">
        <x:v>Client 16</x:v>
      </x:c>
      <x:c r="D982" t="str">
        <x:v>Express</x:v>
      </x:c>
      <x:c r="E982" t="str">
        <x:v>Pôle A</x:v>
      </x:c>
      <x:c r="F982" s="18" t="n">
        <x:v>18106.43</x:v>
      </x:c>
      <x:c r="G982" s="18" t="n">
        <x:v>18106.43</x:v>
      </x:c>
      <x:c r="H982" t="str">
        <x:v>Client 16</x:v>
      </x:c>
      <x:c r="I982" s="16" t="n">
        <x:v>45807</x:v>
      </x:c>
      <x:c r="J982" t="n">
        <x:f>YEAR(B982)</x:f>
        <x:v>2025</x:v>
      </x:c>
      <x:c r="K982" s="20" t="n">
        <x:f>DATE(YEAR(B982),MONTH(B982),1)</x:f>
        <x:v>45778</x:v>
      </x:c>
      <x:c r="L982" s="18" t="n">
        <x:f>F982-G982</x:f>
        <x:v>0</x:v>
      </x:c>
      <x:c r="M982" t="str">
        <x:f>IF(L982&lt;=0,"Payée",IF(G982=0,"Impayée","Partielle"))</x:f>
        <x:v>Payée</x:v>
      </x:c>
      <x:c r="N982" t="n">
        <x:f>IF(I982="","",I982-B982)</x:f>
        <x:v>22</x:v>
      </x:c>
      <x:c r="O982" t="str">
        <x:f>IF(TRIM(C982)&lt;&gt;TRIM(H982),"Oui","Non")</x:f>
        <x:v>Non</x:v>
      </x:c>
      <x:c r="P982" t="str">
        <x:f>IFERROR(INDEX('02_REFERENTIEL_CLIENTS'!$B$2:$B$51,MATCH(TRIM(C982),'02_REFERENTIEL_CLIENTS'!$A$2:$A$51,0)),"Non trouvé")</x:f>
        <x:v>Grands comptes</x:v>
      </x:c>
      <x:c r="Q982" t="str">
        <x:f>IFERROR(INDEX('02_REFERENTIEL_CLIENTS'!$C$2:$C$51,MATCH(TRIM(C982),'02_REFERENTIEL_CLIENTS'!$A$2:$A$51,0)),"Non trouvé")</x:f>
        <x:v>France</x:v>
      </x:c>
      <x:c r="R982" t="str">
        <x:f>IF(OR(F982&lt;=0,G982&lt;0,G982&gt;F982,N982&lt;0,P982="Non trouvé"),"À vérifier","OK")</x:f>
        <x:v>OK</x:v>
      </x:c>
    </x:row>
    <x:row r="983">
      <x:c r="A983" t="str">
        <x:v>DV-2024-00982</x:v>
      </x:c>
      <x:c r="B983" s="16" t="n">
        <x:v>45337</x:v>
      </x:c>
      <x:c r="C983" t="str">
        <x:v>Client 06</x:v>
      </x:c>
      <x:c r="D983" t="str">
        <x:v>Fret maritime</x:v>
      </x:c>
      <x:c r="E983" t="str">
        <x:v>Pôle D</x:v>
      </x:c>
      <x:c r="F983" s="18" t="n">
        <x:v>13322.07</x:v>
      </x:c>
      <x:c r="G983" s="18" t="n">
        <x:v>13322.07</x:v>
      </x:c>
      <x:c r="H983" t="str">
        <x:v>Client 06</x:v>
      </x:c>
      <x:c r="I983" s="16" t="n">
        <x:v>45390</x:v>
      </x:c>
      <x:c r="J983" t="n">
        <x:f>YEAR(B983)</x:f>
        <x:v>2024</x:v>
      </x:c>
      <x:c r="K983" s="20" t="n">
        <x:f>DATE(YEAR(B983),MONTH(B983),1)</x:f>
        <x:v>45323</x:v>
      </x:c>
      <x:c r="L983" s="18" t="n">
        <x:f>F983-G983</x:f>
        <x:v>0</x:v>
      </x:c>
      <x:c r="M983" t="str">
        <x:f>IF(L983&lt;=0,"Payée",IF(G983=0,"Impayée","Partielle"))</x:f>
        <x:v>Payée</x:v>
      </x:c>
      <x:c r="N983" t="n">
        <x:f>IF(I983="","",I983-B983)</x:f>
        <x:v>53</x:v>
      </x:c>
      <x:c r="O983" t="str">
        <x:f>IF(TRIM(C983)&lt;&gt;TRIM(H983),"Oui","Non")</x:f>
        <x:v>Non</x:v>
      </x:c>
      <x:c r="P983" t="str">
        <x:f>IFERROR(INDEX('02_REFERENTIEL_CLIENTS'!$B$2:$B$51,MATCH(TRIM(C983),'02_REFERENTIEL_CLIENTS'!$A$2:$A$51,0)),"Non trouvé")</x:f>
        <x:v>Particuliers</x:v>
      </x:c>
      <x:c r="Q983" t="str">
        <x:f>IFERROR(INDEX('02_REFERENTIEL_CLIENTS'!$C$2:$C$51,MATCH(TRIM(C983),'02_REFERENTIEL_CLIENTS'!$A$2:$A$51,0)),"Non trouvé")</x:f>
        <x:v>International</x:v>
      </x:c>
      <x:c r="R983" t="str">
        <x:f>IF(OR(F983&lt;=0,G983&lt;0,G983&gt;F983,N983&lt;0,P983="Non trouvé"),"À vérifier","OK")</x:f>
        <x:v>OK</x:v>
      </x:c>
    </x:row>
    <x:row r="984">
      <x:c r="A984" t="str">
        <x:v>DV-2024-00983</x:v>
      </x:c>
      <x:c r="B984" s="16" t="n">
        <x:v>45509</x:v>
      </x:c>
      <x:c r="C984" t="str">
        <x:v>Client 47</x:v>
      </x:c>
      <x:c r="D984" t="str">
        <x:v>Douane</x:v>
      </x:c>
      <x:c r="E984" t="str">
        <x:v>Pôle E</x:v>
      </x:c>
      <x:c r="F984" s="18" t="n">
        <x:v>20688.74</x:v>
      </x:c>
      <x:c r="G984" s="18" t="n">
        <x:v>20688.74</x:v>
      </x:c>
      <x:c r="H984" t="str">
        <x:v>Client 47</x:v>
      </x:c>
      <x:c r="I984" s="16" t="n">
        <x:v>45580</x:v>
      </x:c>
      <x:c r="J984" t="n">
        <x:f>YEAR(B984)</x:f>
        <x:v>2024</x:v>
      </x:c>
      <x:c r="K984" s="20" t="n">
        <x:f>DATE(YEAR(B984),MONTH(B984),1)</x:f>
        <x:v>45505</x:v>
      </x:c>
      <x:c r="L984" s="18" t="n">
        <x:f>F984-G984</x:f>
        <x:v>0</x:v>
      </x:c>
      <x:c r="M984" t="str">
        <x:f>IF(L984&lt;=0,"Payée",IF(G984=0,"Impayée","Partielle"))</x:f>
        <x:v>Payée</x:v>
      </x:c>
      <x:c r="N984" t="n">
        <x:f>IF(I984="","",I984-B984)</x:f>
        <x:v>71</x:v>
      </x:c>
      <x:c r="O984" t="str">
        <x:f>IF(TRIM(C984)&lt;&gt;TRIM(H984),"Oui","Non")</x:f>
        <x:v>Non</x:v>
      </x:c>
      <x:c r="P984" t="str">
        <x:f>IFERROR(INDEX('02_REFERENTIEL_CLIENTS'!$B$2:$B$51,MATCH(TRIM(C984),'02_REFERENTIEL_CLIENTS'!$A$2:$A$51,0)),"Non trouvé")</x:f>
        <x:v>PME</x:v>
      </x:c>
      <x:c r="Q984" t="str">
        <x:f>IFERROR(INDEX('02_REFERENTIEL_CLIENTS'!$C$2:$C$51,MATCH(TRIM(C984),'02_REFERENTIEL_CLIENTS'!$A$2:$A$51,0)),"Non trouvé")</x:f>
        <x:v>Europe</x:v>
      </x:c>
      <x:c r="R984" t="str">
        <x:f>IF(OR(F984&lt;=0,G984&lt;0,G984&gt;F984,N984&lt;0,P984="Non trouvé"),"À vérifier","OK")</x:f>
        <x:v>OK</x:v>
      </x:c>
    </x:row>
    <x:row r="985">
      <x:c r="A985" t="str">
        <x:v>DV-2024-00984</x:v>
      </x:c>
      <x:c r="B985" s="16" t="n">
        <x:v>45589</x:v>
      </x:c>
      <x:c r="C985" t="str">
        <x:v>Client 49</x:v>
      </x:c>
      <x:c r="D985" t="str">
        <x:v>Fret aérien</x:v>
      </x:c>
      <x:c r="E985" t="str">
        <x:v>Pôle D</x:v>
      </x:c>
      <x:c r="F985" s="18" t="n">
        <x:v>7966.9</x:v>
      </x:c>
      <x:c r="G985" s="18" t="n">
        <x:v>7966.9</x:v>
      </x:c>
      <x:c r="H985" t="str">
        <x:v>Client 49</x:v>
      </x:c>
      <x:c r="I985" s="16" t="n">
        <x:v>45619</x:v>
      </x:c>
      <x:c r="J985" t="n">
        <x:f>YEAR(B985)</x:f>
        <x:v>2024</x:v>
      </x:c>
      <x:c r="K985" s="20" t="n">
        <x:f>DATE(YEAR(B985),MONTH(B985),1)</x:f>
        <x:v>45566</x:v>
      </x:c>
      <x:c r="L985" s="18" t="n">
        <x:f>F985-G985</x:f>
        <x:v>0</x:v>
      </x:c>
      <x:c r="M985" t="str">
        <x:f>IF(L985&lt;=0,"Payée",IF(G985=0,"Impayée","Partielle"))</x:f>
        <x:v>Payée</x:v>
      </x:c>
      <x:c r="N985" t="n">
        <x:f>IF(I985="","",I985-B985)</x:f>
        <x:v>30</x:v>
      </x:c>
      <x:c r="O985" t="str">
        <x:f>IF(TRIM(C985)&lt;&gt;TRIM(H985),"Oui","Non")</x:f>
        <x:v>Non</x:v>
      </x:c>
      <x:c r="P985" t="str">
        <x:f>IFERROR(INDEX('02_REFERENTIEL_CLIENTS'!$B$2:$B$51,MATCH(TRIM(C985),'02_REFERENTIEL_CLIENTS'!$A$2:$A$51,0)),"Non trouvé")</x:f>
        <x:v>Grands comptes</x:v>
      </x:c>
      <x:c r="Q985" t="str">
        <x:f>IFERROR(INDEX('02_REFERENTIEL_CLIENTS'!$C$2:$C$51,MATCH(TRIM(C985),'02_REFERENTIEL_CLIENTS'!$A$2:$A$51,0)),"Non trouvé")</x:f>
        <x:v>France</x:v>
      </x:c>
      <x:c r="R985" t="str">
        <x:f>IF(OR(F985&lt;=0,G985&lt;0,G985&gt;F985,N985&lt;0,P985="Non trouvé"),"À vérifier","OK")</x:f>
        <x:v>OK</x:v>
      </x:c>
    </x:row>
    <x:row r="986">
      <x:c r="A986" t="str">
        <x:v>DV-2026-00985</x:v>
      </x:c>
      <x:c r="B986" s="16" t="n">
        <x:v>46280</x:v>
      </x:c>
      <x:c r="C986" t="str">
        <x:v>Client 45</x:v>
      </x:c>
      <x:c r="D986" t="str">
        <x:v>Douane</x:v>
      </x:c>
      <x:c r="E986" t="str">
        <x:v>Pôle C</x:v>
      </x:c>
      <x:c r="F986" s="18" t="n">
        <x:v>10732.78</x:v>
      </x:c>
      <x:c r="G986" s="18" t="n">
        <x:v>10732.78</x:v>
      </x:c>
      <x:c r="H986" t="str">
        <x:v>Client 45</x:v>
      </x:c>
      <x:c r="I986" s="16" t="n">
        <x:v>46370</x:v>
      </x:c>
      <x:c r="J986" t="n">
        <x:f>YEAR(B986)</x:f>
        <x:v>2026</x:v>
      </x:c>
      <x:c r="K986" s="20" t="n">
        <x:f>DATE(YEAR(B986),MONTH(B986),1)</x:f>
        <x:v>46266</x:v>
      </x:c>
      <x:c r="L986" s="18" t="n">
        <x:f>F986-G986</x:f>
        <x:v>0</x:v>
      </x:c>
      <x:c r="M986" t="str">
        <x:f>IF(L986&lt;=0,"Payée",IF(G986=0,"Impayée","Partielle"))</x:f>
        <x:v>Payée</x:v>
      </x:c>
      <x:c r="N986" t="n">
        <x:f>IF(I986="","",I986-B986)</x:f>
        <x:v>90</x:v>
      </x:c>
      <x:c r="O986" t="str">
        <x:f>IF(TRIM(C986)&lt;&gt;TRIM(H986),"Oui","Non")</x:f>
        <x:v>Non</x:v>
      </x:c>
      <x:c r="P986" t="str">
        <x:f>IFERROR(INDEX('02_REFERENTIEL_CLIENTS'!$B$2:$B$51,MATCH(TRIM(C986),'02_REFERENTIEL_CLIENTS'!$A$2:$A$51,0)),"Non trouvé")</x:f>
        <x:v>Particuliers</x:v>
      </x:c>
      <x:c r="Q986" t="str">
        <x:f>IFERROR(INDEX('02_REFERENTIEL_CLIENTS'!$C$2:$C$51,MATCH(TRIM(C986),'02_REFERENTIEL_CLIENTS'!$A$2:$A$51,0)),"Non trouvé")</x:f>
        <x:v>International</x:v>
      </x:c>
      <x:c r="R986" t="str">
        <x:f>IF(OR(F986&lt;=0,G986&lt;0,G986&gt;F986,N986&lt;0,P986="Non trouvé"),"À vérifier","OK")</x:f>
        <x:v>OK</x:v>
      </x:c>
    </x:row>
    <x:row r="987">
      <x:c r="A987" t="str">
        <x:v>DV-2025-00986</x:v>
      </x:c>
      <x:c r="B987" s="16" t="n">
        <x:v>45979</x:v>
      </x:c>
      <x:c r="C987" t="str">
        <x:v>Client 43</x:v>
      </x:c>
      <x:c r="D987" t="str">
        <x:v>Fret aérien</x:v>
      </x:c>
      <x:c r="E987" t="str">
        <x:v>Pôle C</x:v>
      </x:c>
      <x:c r="F987" s="18" t="n">
        <x:v>14496.15</x:v>
      </x:c>
      <x:c r="G987" s="18" t="n">
        <x:v>8002.24</x:v>
      </x:c>
      <x:c r="H987" t="str">
        <x:v>Client 43</x:v>
      </x:c>
      <x:c r="I987" s="16" t="n">
        <x:v>45980</x:v>
      </x:c>
      <x:c r="J987" t="n">
        <x:f>YEAR(B987)</x:f>
        <x:v>2025</x:v>
      </x:c>
      <x:c r="K987" s="20" t="n">
        <x:f>DATE(YEAR(B987),MONTH(B987),1)</x:f>
        <x:v>45962</x:v>
      </x:c>
      <x:c r="L987" s="18" t="n">
        <x:f>F987-G987</x:f>
        <x:v>6493.91</x:v>
      </x:c>
      <x:c r="M987" t="str">
        <x:f>IF(L987&lt;=0,"Payée",IF(G987=0,"Impayée","Partielle"))</x:f>
        <x:v>Partielle</x:v>
      </x:c>
      <x:c r="N987" t="n">
        <x:f>IF(I987="","",I987-B987)</x:f>
        <x:v>1</x:v>
      </x:c>
      <x:c r="O987" t="str">
        <x:f>IF(TRIM(C987)&lt;&gt;TRIM(H987),"Oui","Non")</x:f>
        <x:v>Non</x:v>
      </x:c>
      <x:c r="P987" t="str">
        <x:f>IFERROR(INDEX('02_REFERENTIEL_CLIENTS'!$B$2:$B$51,MATCH(TRIM(C987),'02_REFERENTIEL_CLIENTS'!$A$2:$A$51,0)),"Non trouvé")</x:f>
        <x:v>Grands comptes</x:v>
      </x:c>
      <x:c r="Q987" t="str">
        <x:f>IFERROR(INDEX('02_REFERENTIEL_CLIENTS'!$C$2:$C$51,MATCH(TRIM(C987),'02_REFERENTIEL_CLIENTS'!$A$2:$A$51,0)),"Non trouvé")</x:f>
        <x:v>France</x:v>
      </x:c>
      <x:c r="R987" t="str">
        <x:f>IF(OR(F987&lt;=0,G987&lt;0,G987&gt;F987,N987&lt;0,P987="Non trouvé"),"À vérifier","OK")</x:f>
        <x:v>OK</x:v>
      </x:c>
    </x:row>
    <x:row r="988">
      <x:c r="A988" t="str">
        <x:v>DV-2025-00987</x:v>
      </x:c>
      <x:c r="B988" s="16" t="n">
        <x:v>45709</x:v>
      </x:c>
      <x:c r="C988" t="str">
        <x:v>Client 15</x:v>
      </x:c>
      <x:c r="D988" t="str">
        <x:v>Fret maritime</x:v>
      </x:c>
      <x:c r="E988" t="str">
        <x:v>Pôle D</x:v>
      </x:c>
      <x:c r="F988" s="18" t="n">
        <x:v>15330.95</x:v>
      </x:c>
      <x:c r="G988" s="18" t="n">
        <x:v>15330.95</x:v>
      </x:c>
      <x:c r="H988" t="str">
        <x:v>Client 15</x:v>
      </x:c>
      <x:c r="I988" s="16" t="n">
        <x:v>45779</x:v>
      </x:c>
      <x:c r="J988" t="n">
        <x:f>YEAR(B988)</x:f>
        <x:v>2025</x:v>
      </x:c>
      <x:c r="K988" s="20" t="n">
        <x:f>DATE(YEAR(B988),MONTH(B988),1)</x:f>
        <x:v>45689</x:v>
      </x:c>
      <x:c r="L988" s="18" t="n">
        <x:f>F988-G988</x:f>
        <x:v>0</x:v>
      </x:c>
      <x:c r="M988" t="str">
        <x:f>IF(L988&lt;=0,"Payée",IF(G988=0,"Impayée","Partielle"))</x:f>
        <x:v>Payée</x:v>
      </x:c>
      <x:c r="N988" t="n">
        <x:f>IF(I988="","",I988-B988)</x:f>
        <x:v>70</x:v>
      </x:c>
      <x:c r="O988" t="str">
        <x:f>IF(TRIM(C988)&lt;&gt;TRIM(H988),"Oui","Non")</x:f>
        <x:v>Non</x:v>
      </x:c>
      <x:c r="P988" t="str">
        <x:f>IFERROR(INDEX('02_REFERENTIEL_CLIENTS'!$B$2:$B$51,MATCH(TRIM(C988),'02_REFERENTIEL_CLIENTS'!$A$2:$A$51,0)),"Non trouvé")</x:f>
        <x:v>Particuliers</x:v>
      </x:c>
      <x:c r="Q988" t="str">
        <x:f>IFERROR(INDEX('02_REFERENTIEL_CLIENTS'!$C$2:$C$51,MATCH(TRIM(C988),'02_REFERENTIEL_CLIENTS'!$A$2:$A$51,0)),"Non trouvé")</x:f>
        <x:v>International</x:v>
      </x:c>
      <x:c r="R988" t="str">
        <x:f>IF(OR(F988&lt;=0,G988&lt;0,G988&gt;F988,N988&lt;0,P988="Non trouvé"),"À vérifier","OK")</x:f>
        <x:v>OK</x:v>
      </x:c>
    </x:row>
    <x:row r="989">
      <x:c r="A989" t="str">
        <x:v>DV-2024-00988</x:v>
      </x:c>
      <x:c r="B989" s="16" t="n">
        <x:v>45502</x:v>
      </x:c>
      <x:c r="C989" t="str">
        <x:v>Client 39</x:v>
      </x:c>
      <x:c r="D989" t="str">
        <x:v>Fret aérien</x:v>
      </x:c>
      <x:c r="E989" t="str">
        <x:v>Pôle E</x:v>
      </x:c>
      <x:c r="F989" s="18" t="n">
        <x:v>13679.51</x:v>
      </x:c>
      <x:c r="G989" s="18" t="n">
        <x:v>13679.51</x:v>
      </x:c>
      <x:c r="H989" t="str">
        <x:v>Client 39</x:v>
      </x:c>
      <x:c r="I989" s="16" t="n">
        <x:v>45535</x:v>
      </x:c>
      <x:c r="J989" t="n">
        <x:f>YEAR(B989)</x:f>
        <x:v>2024</x:v>
      </x:c>
      <x:c r="K989" s="20" t="n">
        <x:f>DATE(YEAR(B989),MONTH(B989),1)</x:f>
        <x:v>45474</x:v>
      </x:c>
      <x:c r="L989" s="18" t="n">
        <x:f>F989-G989</x:f>
        <x:v>0</x:v>
      </x:c>
      <x:c r="M989" t="str">
        <x:f>IF(L989&lt;=0,"Payée",IF(G989=0,"Impayée","Partielle"))</x:f>
        <x:v>Payée</x:v>
      </x:c>
      <x:c r="N989" t="n">
        <x:f>IF(I989="","",I989-B989)</x:f>
        <x:v>33</x:v>
      </x:c>
      <x:c r="O989" t="str">
        <x:f>IF(TRIM(C989)&lt;&gt;TRIM(H989),"Oui","Non")</x:f>
        <x:v>Non</x:v>
      </x:c>
      <x:c r="P989" t="str">
        <x:f>IFERROR(INDEX('02_REFERENTIEL_CLIENTS'!$B$2:$B$51,MATCH(TRIM(C989),'02_REFERENTIEL_CLIENTS'!$A$2:$A$51,0)),"Non trouvé")</x:f>
        <x:v>Particuliers</x:v>
      </x:c>
      <x:c r="Q989" t="str">
        <x:f>IFERROR(INDEX('02_REFERENTIEL_CLIENTS'!$C$2:$C$51,MATCH(TRIM(C989),'02_REFERENTIEL_CLIENTS'!$A$2:$A$51,0)),"Non trouvé")</x:f>
        <x:v>International</x:v>
      </x:c>
      <x:c r="R989" t="str">
        <x:f>IF(OR(F989&lt;=0,G989&lt;0,G989&gt;F989,N989&lt;0,P989="Non trouvé"),"À vérifier","OK")</x:f>
        <x:v>OK</x:v>
      </x:c>
    </x:row>
    <x:row r="990">
      <x:c r="A990" t="str">
        <x:v>DV-2025-00989</x:v>
      </x:c>
      <x:c r="B990" s="16" t="n">
        <x:v>45930</x:v>
      </x:c>
      <x:c r="C990" t="str">
        <x:v>Client 46</x:v>
      </x:c>
      <x:c r="D990" t="str">
        <x:v>Express</x:v>
      </x:c>
      <x:c r="E990" t="str">
        <x:v>Pôle A</x:v>
      </x:c>
      <x:c r="F990" s="18" t="n">
        <x:v>24448.31</x:v>
      </x:c>
      <x:c r="G990" s="18" t="n">
        <x:v>24448.31</x:v>
      </x:c>
      <x:c r="H990" t="str">
        <x:v>Client 46</x:v>
      </x:c>
      <x:c r="I990" s="16" t="n">
        <x:v>46002</x:v>
      </x:c>
      <x:c r="J990" t="n">
        <x:f>YEAR(B990)</x:f>
        <x:v>2025</x:v>
      </x:c>
      <x:c r="K990" s="20" t="n">
        <x:f>DATE(YEAR(B990),MONTH(B990),1)</x:f>
        <x:v>45901</x:v>
      </x:c>
      <x:c r="L990" s="18" t="n">
        <x:f>F990-G990</x:f>
        <x:v>0</x:v>
      </x:c>
      <x:c r="M990" t="str">
        <x:f>IF(L990&lt;=0,"Payée",IF(G990=0,"Impayée","Partielle"))</x:f>
        <x:v>Payée</x:v>
      </x:c>
      <x:c r="N990" t="n">
        <x:f>IF(I990="","",I990-B990)</x:f>
        <x:v>72</x:v>
      </x:c>
      <x:c r="O990" t="str">
        <x:f>IF(TRIM(C990)&lt;&gt;TRIM(H990),"Oui","Non")</x:f>
        <x:v>Non</x:v>
      </x:c>
      <x:c r="P990" t="str">
        <x:f>IFERROR(INDEX('02_REFERENTIEL_CLIENTS'!$B$2:$B$51,MATCH(TRIM(C990),'02_REFERENTIEL_CLIENTS'!$A$2:$A$51,0)),"Non trouvé")</x:f>
        <x:v>Grands comptes</x:v>
      </x:c>
      <x:c r="Q990" t="str">
        <x:f>IFERROR(INDEX('02_REFERENTIEL_CLIENTS'!$C$2:$C$51,MATCH(TRIM(C990),'02_REFERENTIEL_CLIENTS'!$A$2:$A$51,0)),"Non trouvé")</x:f>
        <x:v>France</x:v>
      </x:c>
      <x:c r="R990" t="str">
        <x:f>IF(OR(F990&lt;=0,G990&lt;0,G990&gt;F990,N990&lt;0,P990="Non trouvé"),"À vérifier","OK")</x:f>
        <x:v>OK</x:v>
      </x:c>
    </x:row>
    <x:row r="991">
      <x:c r="A991" t="str">
        <x:v>DV-2024-00990</x:v>
      </x:c>
      <x:c r="B991" s="16" t="n">
        <x:v>45511</x:v>
      </x:c>
      <x:c r="C991" t="str">
        <x:v>Client 18</x:v>
      </x:c>
      <x:c r="D991" t="str">
        <x:v>Fret maritime</x:v>
      </x:c>
      <x:c r="E991" t="str">
        <x:v>Pôle D</x:v>
      </x:c>
      <x:c r="F991" s="18" t="n">
        <x:v>12573.8</x:v>
      </x:c>
      <x:c r="G991" s="18" t="n">
        <x:v>12573.8</x:v>
      </x:c>
      <x:c r="H991" t="str">
        <x:v>Client 18</x:v>
      </x:c>
      <x:c r="I991" s="16" t="n">
        <x:v>45586</x:v>
      </x:c>
      <x:c r="J991" t="n">
        <x:f>YEAR(B991)</x:f>
        <x:v>2024</x:v>
      </x:c>
      <x:c r="K991" s="20" t="n">
        <x:f>DATE(YEAR(B991),MONTH(B991),1)</x:f>
        <x:v>45505</x:v>
      </x:c>
      <x:c r="L991" s="18" t="n">
        <x:f>F991-G991</x:f>
        <x:v>0</x:v>
      </x:c>
      <x:c r="M991" t="str">
        <x:f>IF(L991&lt;=0,"Payée",IF(G991=0,"Impayée","Partielle"))</x:f>
        <x:v>Payée</x:v>
      </x:c>
      <x:c r="N991" t="n">
        <x:f>IF(I991="","",I991-B991)</x:f>
        <x:v>75</x:v>
      </x:c>
      <x:c r="O991" t="str">
        <x:f>IF(TRIM(C991)&lt;&gt;TRIM(H991),"Oui","Non")</x:f>
        <x:v>Non</x:v>
      </x:c>
      <x:c r="P991" t="str">
        <x:f>IFERROR(INDEX('02_REFERENTIEL_CLIENTS'!$B$2:$B$51,MATCH(TRIM(C991),'02_REFERENTIEL_CLIENTS'!$A$2:$A$51,0)),"Non trouvé")</x:f>
        <x:v>Particuliers</x:v>
      </x:c>
      <x:c r="Q991" t="str">
        <x:f>IFERROR(INDEX('02_REFERENTIEL_CLIENTS'!$C$2:$C$51,MATCH(TRIM(C991),'02_REFERENTIEL_CLIENTS'!$A$2:$A$51,0)),"Non trouvé")</x:f>
        <x:v>International</x:v>
      </x:c>
      <x:c r="R991" t="str">
        <x:f>IF(OR(F991&lt;=0,G991&lt;0,G991&gt;F991,N991&lt;0,P991="Non trouvé"),"À vérifier","OK")</x:f>
        <x:v>OK</x:v>
      </x:c>
    </x:row>
    <x:row r="992">
      <x:c r="A992" t="str">
        <x:v>DV-2025-00991</x:v>
      </x:c>
      <x:c r="B992" s="16" t="n">
        <x:v>45885</x:v>
      </x:c>
      <x:c r="C992" t="str">
        <x:v>Client 46</x:v>
      </x:c>
      <x:c r="D992" t="str">
        <x:v>Fret maritime</x:v>
      </x:c>
      <x:c r="E992" t="str">
        <x:v>Pôle D</x:v>
      </x:c>
      <x:c r="F992" s="18" t="n">
        <x:v>3386.63</x:v>
      </x:c>
      <x:c r="G992" s="18" t="n">
        <x:v>3386.63</x:v>
      </x:c>
      <x:c r="H992" t="str">
        <x:v>Client 46</x:v>
      </x:c>
      <x:c r="I992" s="16" t="n">
        <x:v>45903</x:v>
      </x:c>
      <x:c r="J992" t="n">
        <x:f>YEAR(B992)</x:f>
        <x:v>2025</x:v>
      </x:c>
      <x:c r="K992" s="20" t="n">
        <x:f>DATE(YEAR(B992),MONTH(B992),1)</x:f>
        <x:v>45870</x:v>
      </x:c>
      <x:c r="L992" s="18" t="n">
        <x:f>F992-G992</x:f>
        <x:v>0</x:v>
      </x:c>
      <x:c r="M992" t="str">
        <x:f>IF(L992&lt;=0,"Payée",IF(G992=0,"Impayée","Partielle"))</x:f>
        <x:v>Payée</x:v>
      </x:c>
      <x:c r="N992" t="n">
        <x:f>IF(I992="","",I992-B992)</x:f>
        <x:v>18</x:v>
      </x:c>
      <x:c r="O992" t="str">
        <x:f>IF(TRIM(C992)&lt;&gt;TRIM(H992),"Oui","Non")</x:f>
        <x:v>Non</x:v>
      </x:c>
      <x:c r="P992" t="str">
        <x:f>IFERROR(INDEX('02_REFERENTIEL_CLIENTS'!$B$2:$B$51,MATCH(TRIM(C992),'02_REFERENTIEL_CLIENTS'!$A$2:$A$51,0)),"Non trouvé")</x:f>
        <x:v>Grands comptes</x:v>
      </x:c>
      <x:c r="Q992" t="str">
        <x:f>IFERROR(INDEX('02_REFERENTIEL_CLIENTS'!$C$2:$C$51,MATCH(TRIM(C992),'02_REFERENTIEL_CLIENTS'!$A$2:$A$51,0)),"Non trouvé")</x:f>
        <x:v>France</x:v>
      </x:c>
      <x:c r="R992" t="str">
        <x:f>IF(OR(F992&lt;=0,G992&lt;0,G992&gt;F992,N992&lt;0,P992="Non trouvé"),"À vérifier","OK")</x:f>
        <x:v>OK</x:v>
      </x:c>
    </x:row>
    <x:row r="993">
      <x:c r="A993" t="str">
        <x:v>DV-2024-00992</x:v>
      </x:c>
      <x:c r="B993" s="16" t="n">
        <x:v>45626</x:v>
      </x:c>
      <x:c r="C993" t="str">
        <x:v>Client 41</x:v>
      </x:c>
      <x:c r="D993" t="str">
        <x:v>Logistique</x:v>
      </x:c>
      <x:c r="E993" t="str">
        <x:v>Pôle B</x:v>
      </x:c>
      <x:c r="F993" s="18" t="n">
        <x:v>9381.86</x:v>
      </x:c>
      <x:c r="G993" s="18" t="n">
        <x:v>9381.86</x:v>
      </x:c>
      <x:c r="H993" t="str">
        <x:v>Client 41</x:v>
      </x:c>
      <x:c r="I993" s="16" t="n">
        <x:v>45687</x:v>
      </x:c>
      <x:c r="J993" t="n">
        <x:f>YEAR(B993)</x:f>
        <x:v>2024</x:v>
      </x:c>
      <x:c r="K993" s="20" t="n">
        <x:f>DATE(YEAR(B993),MONTH(B993),1)</x:f>
        <x:v>45597</x:v>
      </x:c>
      <x:c r="L993" s="18" t="n">
        <x:f>F993-G993</x:f>
        <x:v>0</x:v>
      </x:c>
      <x:c r="M993" t="str">
        <x:f>IF(L993&lt;=0,"Payée",IF(G993=0,"Impayée","Partielle"))</x:f>
        <x:v>Payée</x:v>
      </x:c>
      <x:c r="N993" t="n">
        <x:f>IF(I993="","",I993-B993)</x:f>
        <x:v>61</x:v>
      </x:c>
      <x:c r="O993" t="str">
        <x:f>IF(TRIM(C993)&lt;&gt;TRIM(H993),"Oui","Non")</x:f>
        <x:v>Non</x:v>
      </x:c>
      <x:c r="P993" t="str">
        <x:f>IFERROR(INDEX('02_REFERENTIEL_CLIENTS'!$B$2:$B$51,MATCH(TRIM(C993),'02_REFERENTIEL_CLIENTS'!$A$2:$A$51,0)),"Non trouvé")</x:f>
        <x:v>PME</x:v>
      </x:c>
      <x:c r="Q993" t="str">
        <x:f>IFERROR(INDEX('02_REFERENTIEL_CLIENTS'!$C$2:$C$51,MATCH(TRIM(C993),'02_REFERENTIEL_CLIENTS'!$A$2:$A$51,0)),"Non trouvé")</x:f>
        <x:v>Europe</x:v>
      </x:c>
      <x:c r="R993" t="str">
        <x:f>IF(OR(F993&lt;=0,G993&lt;0,G993&gt;F993,N993&lt;0,P993="Non trouvé"),"À vérifier","OK")</x:f>
        <x:v>OK</x:v>
      </x:c>
    </x:row>
    <x:row r="994">
      <x:c r="A994" t="str">
        <x:v>DV-2025-00993</x:v>
      </x:c>
      <x:c r="B994" s="16" t="n">
        <x:v>45981</x:v>
      </x:c>
      <x:c r="C994" t="str">
        <x:v>Client 23</x:v>
      </x:c>
      <x:c r="D994" t="str">
        <x:v>Fret maritime</x:v>
      </x:c>
      <x:c r="E994" t="str">
        <x:v>Pôle D</x:v>
      </x:c>
      <x:c r="F994" s="18" t="n">
        <x:v>8287.97</x:v>
      </x:c>
      <x:c r="G994" s="18" t="n">
        <x:v>8287.97</x:v>
      </x:c>
      <x:c r="H994" t="str">
        <x:v>Client 23</x:v>
      </x:c>
      <x:c r="I994" s="16" t="n">
        <x:v>46038</x:v>
      </x:c>
      <x:c r="J994" t="n">
        <x:f>YEAR(B994)</x:f>
        <x:v>2025</x:v>
      </x:c>
      <x:c r="K994" s="20" t="n">
        <x:f>DATE(YEAR(B994),MONTH(B994),1)</x:f>
        <x:v>45962</x:v>
      </x:c>
      <x:c r="L994" s="18" t="n">
        <x:f>F994-G994</x:f>
        <x:v>0</x:v>
      </x:c>
      <x:c r="M994" t="str">
        <x:f>IF(L994&lt;=0,"Payée",IF(G994=0,"Impayée","Partielle"))</x:f>
        <x:v>Payée</x:v>
      </x:c>
      <x:c r="N994" t="n">
        <x:f>IF(I994="","",I994-B994)</x:f>
        <x:v>57</x:v>
      </x:c>
      <x:c r="O994" t="str">
        <x:f>IF(TRIM(C994)&lt;&gt;TRIM(H994),"Oui","Non")</x:f>
        <x:v>Non</x:v>
      </x:c>
      <x:c r="P994" t="str">
        <x:f>IFERROR(INDEX('02_REFERENTIEL_CLIENTS'!$B$2:$B$51,MATCH(TRIM(C994),'02_REFERENTIEL_CLIENTS'!$A$2:$A$51,0)),"Non trouvé")</x:f>
        <x:v>PME</x:v>
      </x:c>
      <x:c r="Q994" t="str">
        <x:f>IFERROR(INDEX('02_REFERENTIEL_CLIENTS'!$C$2:$C$51,MATCH(TRIM(C994),'02_REFERENTIEL_CLIENTS'!$A$2:$A$51,0)),"Non trouvé")</x:f>
        <x:v>Europe</x:v>
      </x:c>
      <x:c r="R994" t="str">
        <x:f>IF(OR(F994&lt;=0,G994&lt;0,G994&gt;F994,N994&lt;0,P994="Non trouvé"),"À vérifier","OK")</x:f>
        <x:v>OK</x:v>
      </x:c>
    </x:row>
    <x:row r="995">
      <x:c r="A995" t="str">
        <x:v>DV-2024-00994</x:v>
      </x:c>
      <x:c r="B995" s="16" t="n">
        <x:v>45618</x:v>
      </x:c>
      <x:c r="C995" t="str">
        <x:v>Client 18</x:v>
      </x:c>
      <x:c r="D995" t="str">
        <x:v>Fret aérien</x:v>
      </x:c>
      <x:c r="E995" t="str">
        <x:v>Pôle A</x:v>
      </x:c>
      <x:c r="F995" s="18" t="n">
        <x:v>7640.48</x:v>
      </x:c>
      <x:c r="G995" s="18" t="n">
        <x:v>0</x:v>
      </x:c>
      <x:c r="H995" t="str">
        <x:v>Client 18</x:v>
      </x:c>
      <x:c r="I995" s="16"/>
      <x:c r="J995" t="n">
        <x:f>YEAR(B995)</x:f>
        <x:v>2024</x:v>
      </x:c>
      <x:c r="K995" s="20" t="n">
        <x:f>DATE(YEAR(B995),MONTH(B995),1)</x:f>
        <x:v>45597</x:v>
      </x:c>
      <x:c r="L995" s="18" t="n">
        <x:f>F995-G995</x:f>
        <x:v>7640.48</x:v>
      </x:c>
      <x:c r="M995" t="str">
        <x:f>IF(L995&lt;=0,"Payée",IF(G995=0,"Impayée","Partielle"))</x:f>
        <x:v>Impayée</x:v>
      </x:c>
      <x:c r="N995" t="str">
        <x:f>IF(I995="","",I995-B995)</x:f>
      </x:c>
      <x:c r="O995" t="str">
        <x:f>IF(TRIM(C995)&lt;&gt;TRIM(H995),"Oui","Non")</x:f>
        <x:v>Non</x:v>
      </x:c>
      <x:c r="P995" t="str">
        <x:f>IFERROR(INDEX('02_REFERENTIEL_CLIENTS'!$B$2:$B$51,MATCH(TRIM(C995),'02_REFERENTIEL_CLIENTS'!$A$2:$A$51,0)),"Non trouvé")</x:f>
        <x:v>Particuliers</x:v>
      </x:c>
      <x:c r="Q995" t="str">
        <x:f>IFERROR(INDEX('02_REFERENTIEL_CLIENTS'!$C$2:$C$51,MATCH(TRIM(C995),'02_REFERENTIEL_CLIENTS'!$A$2:$A$51,0)),"Non trouvé")</x:f>
        <x:v>International</x:v>
      </x:c>
      <x:c r="R995" t="str">
        <x:f>IF(OR(F995&lt;=0,G995&lt;0,G995&gt;F995,N995&lt;0,P995="Non trouvé"),"À vérifier","OK")</x:f>
        <x:v>OK</x:v>
      </x:c>
    </x:row>
    <x:row r="996">
      <x:c r="A996" t="str">
        <x:v>DV-2024-00995</x:v>
      </x:c>
      <x:c r="B996" s="16" t="n">
        <x:v>45377</x:v>
      </x:c>
      <x:c r="C996" t="str">
        <x:v>Client 20</x:v>
      </x:c>
      <x:c r="D996" t="str">
        <x:v>Logistique</x:v>
      </x:c>
      <x:c r="E996" t="str">
        <x:v>Pôle E</x:v>
      </x:c>
      <x:c r="F996" s="18" t="n">
        <x:v>24759.2</x:v>
      </x:c>
      <x:c r="G996" s="18" t="n">
        <x:v>24759.2</x:v>
      </x:c>
      <x:c r="H996" t="str">
        <x:v>Client 20</x:v>
      </x:c>
      <x:c r="I996" s="16" t="n">
        <x:v>45434</x:v>
      </x:c>
      <x:c r="J996" t="n">
        <x:f>YEAR(B996)</x:f>
        <x:v>2024</x:v>
      </x:c>
      <x:c r="K996" s="20" t="n">
        <x:f>DATE(YEAR(B996),MONTH(B996),1)</x:f>
        <x:v>45352</x:v>
      </x:c>
      <x:c r="L996" s="18" t="n">
        <x:f>F996-G996</x:f>
        <x:v>0</x:v>
      </x:c>
      <x:c r="M996" t="str">
        <x:f>IF(L996&lt;=0,"Payée",IF(G996=0,"Impayée","Partielle"))</x:f>
        <x:v>Payée</x:v>
      </x:c>
      <x:c r="N996" t="n">
        <x:f>IF(I996="","",I996-B996)</x:f>
        <x:v>57</x:v>
      </x:c>
      <x:c r="O996" t="str">
        <x:f>IF(TRIM(C996)&lt;&gt;TRIM(H996),"Oui","Non")</x:f>
        <x:v>Non</x:v>
      </x:c>
      <x:c r="P996" t="str">
        <x:f>IFERROR(INDEX('02_REFERENTIEL_CLIENTS'!$B$2:$B$51,MATCH(TRIM(C996),'02_REFERENTIEL_CLIENTS'!$A$2:$A$51,0)),"Non trouvé")</x:f>
        <x:v>PME</x:v>
      </x:c>
      <x:c r="Q996" t="str">
        <x:f>IFERROR(INDEX('02_REFERENTIEL_CLIENTS'!$C$2:$C$51,MATCH(TRIM(C996),'02_REFERENTIEL_CLIENTS'!$A$2:$A$51,0)),"Non trouvé")</x:f>
        <x:v>Europe</x:v>
      </x:c>
      <x:c r="R996" t="str">
        <x:f>IF(OR(F996&lt;=0,G996&lt;0,G996&gt;F996,N996&lt;0,P996="Non trouvé"),"À vérifier","OK")</x:f>
        <x:v>OK</x:v>
      </x:c>
    </x:row>
    <x:row r="997">
      <x:c r="A997" t="str">
        <x:v>DV-2025-00996</x:v>
      </x:c>
      <x:c r="B997" s="16" t="n">
        <x:v>45913</x:v>
      </x:c>
      <x:c r="C997" t="str">
        <x:v>Client 08</x:v>
      </x:c>
      <x:c r="D997" t="str">
        <x:v>Logistique</x:v>
      </x:c>
      <x:c r="E997" t="str">
        <x:v>Pôle C</x:v>
      </x:c>
      <x:c r="F997" s="18" t="n">
        <x:v>17918.85</x:v>
      </x:c>
      <x:c r="G997" s="18" t="n">
        <x:v>4295.26</x:v>
      </x:c>
      <x:c r="H997" t="str">
        <x:v>Client 08</x:v>
      </x:c>
      <x:c r="I997" s="16" t="n">
        <x:v>45929</x:v>
      </x:c>
      <x:c r="J997" t="n">
        <x:f>YEAR(B997)</x:f>
        <x:v>2025</x:v>
      </x:c>
      <x:c r="K997" s="20" t="n">
        <x:f>DATE(YEAR(B997),MONTH(B997),1)</x:f>
        <x:v>45901</x:v>
      </x:c>
      <x:c r="L997" s="18" t="n">
        <x:f>F997-G997</x:f>
        <x:v>13623.589999999998</x:v>
      </x:c>
      <x:c r="M997" t="str">
        <x:f>IF(L997&lt;=0,"Payée",IF(G997=0,"Impayée","Partielle"))</x:f>
        <x:v>Partielle</x:v>
      </x:c>
      <x:c r="N997" t="n">
        <x:f>IF(I997="","",I997-B997)</x:f>
        <x:v>16</x:v>
      </x:c>
      <x:c r="O997" t="str">
        <x:f>IF(TRIM(C997)&lt;&gt;TRIM(H997),"Oui","Non")</x:f>
        <x:v>Non</x:v>
      </x:c>
      <x:c r="P997" t="str">
        <x:f>IFERROR(INDEX('02_REFERENTIEL_CLIENTS'!$B$2:$B$51,MATCH(TRIM(C997),'02_REFERENTIEL_CLIENTS'!$A$2:$A$51,0)),"Non trouvé")</x:f>
        <x:v>PME</x:v>
      </x:c>
      <x:c r="Q997" t="str">
        <x:f>IFERROR(INDEX('02_REFERENTIEL_CLIENTS'!$C$2:$C$51,MATCH(TRIM(C997),'02_REFERENTIEL_CLIENTS'!$A$2:$A$51,0)),"Non trouvé")</x:f>
        <x:v>Europe</x:v>
      </x:c>
      <x:c r="R997" t="str">
        <x:f>IF(OR(F997&lt;=0,G997&lt;0,G997&gt;F997,N997&lt;0,P997="Non trouvé"),"À vérifier","OK")</x:f>
        <x:v>OK</x:v>
      </x:c>
    </x:row>
    <x:row r="998">
      <x:c r="A998" t="str">
        <x:v>DV-2026-00997</x:v>
      </x:c>
      <x:c r="B998" s="16" t="n">
        <x:v>46154</x:v>
      </x:c>
      <x:c r="C998" t="str">
        <x:v>Client 37</x:v>
      </x:c>
      <x:c r="D998" t="str">
        <x:v>Douane</x:v>
      </x:c>
      <x:c r="E998" t="str">
        <x:v>Pôle E</x:v>
      </x:c>
      <x:c r="F998" s="18" t="n">
        <x:v>12460.28</x:v>
      </x:c>
      <x:c r="G998" s="18" t="n">
        <x:v>12460.28</x:v>
      </x:c>
      <x:c r="H998" t="str">
        <x:v>Client 19</x:v>
      </x:c>
      <x:c r="I998" s="16" t="n">
        <x:v>46189</x:v>
      </x:c>
      <x:c r="J998" t="n">
        <x:f>YEAR(B998)</x:f>
        <x:v>2026</x:v>
      </x:c>
      <x:c r="K998" s="20" t="n">
        <x:f>DATE(YEAR(B998),MONTH(B998),1)</x:f>
        <x:v>46143</x:v>
      </x:c>
      <x:c r="L998" s="18" t="n">
        <x:f>F998-G998</x:f>
        <x:v>0</x:v>
      </x:c>
      <x:c r="M998" t="str">
        <x:f>IF(L998&lt;=0,"Payée",IF(G998=0,"Impayée","Partielle"))</x:f>
        <x:v>Payée</x:v>
      </x:c>
      <x:c r="N998" t="n">
        <x:f>IF(I998="","",I998-B998)</x:f>
        <x:v>35</x:v>
      </x:c>
      <x:c r="O998" t="str">
        <x:f>IF(TRIM(C998)&lt;&gt;TRIM(H998),"Oui","Non")</x:f>
        <x:v>Oui</x:v>
      </x:c>
      <x:c r="P998" t="str">
        <x:f>IFERROR(INDEX('02_REFERENTIEL_CLIENTS'!$B$2:$B$51,MATCH(TRIM(C998),'02_REFERENTIEL_CLIENTS'!$A$2:$A$51,0)),"Non trouvé")</x:f>
        <x:v>Grands comptes</x:v>
      </x:c>
      <x:c r="Q998" t="str">
        <x:f>IFERROR(INDEX('02_REFERENTIEL_CLIENTS'!$C$2:$C$51,MATCH(TRIM(C998),'02_REFERENTIEL_CLIENTS'!$A$2:$A$51,0)),"Non trouvé")</x:f>
        <x:v>France</x:v>
      </x:c>
      <x:c r="R998" t="str">
        <x:f>IF(OR(F998&lt;=0,G998&lt;0,G998&gt;F998,N998&lt;0,P998="Non trouvé"),"À vérifier","OK")</x:f>
        <x:v>OK</x:v>
      </x:c>
    </x:row>
    <x:row r="999">
      <x:c r="A999" t="str">
        <x:v>DV-2026-00998</x:v>
      </x:c>
      <x:c r="B999" s="16" t="n">
        <x:v>46217</x:v>
      </x:c>
      <x:c r="C999" t="str">
        <x:v>Client 18</x:v>
      </x:c>
      <x:c r="D999" t="str">
        <x:v>Logistique</x:v>
      </x:c>
      <x:c r="E999" t="str">
        <x:v>Pôle D</x:v>
      </x:c>
      <x:c r="F999" s="18" t="n">
        <x:v>11049.55</x:v>
      </x:c>
      <x:c r="G999" s="18" t="n">
        <x:v>11049.55</x:v>
      </x:c>
      <x:c r="H999" t="str">
        <x:v>Client 18</x:v>
      </x:c>
      <x:c r="I999" s="16" t="n">
        <x:v>46241</x:v>
      </x:c>
      <x:c r="J999" t="n">
        <x:f>YEAR(B999)</x:f>
        <x:v>2026</x:v>
      </x:c>
      <x:c r="K999" s="20" t="n">
        <x:f>DATE(YEAR(B999),MONTH(B999),1)</x:f>
        <x:v>46204</x:v>
      </x:c>
      <x:c r="L999" s="18" t="n">
        <x:f>F999-G999</x:f>
        <x:v>0</x:v>
      </x:c>
      <x:c r="M999" t="str">
        <x:f>IF(L999&lt;=0,"Payée",IF(G999=0,"Impayée","Partielle"))</x:f>
        <x:v>Payée</x:v>
      </x:c>
      <x:c r="N999" t="n">
        <x:f>IF(I999="","",I999-B999)</x:f>
        <x:v>24</x:v>
      </x:c>
      <x:c r="O999" t="str">
        <x:f>IF(TRIM(C999)&lt;&gt;TRIM(H999),"Oui","Non")</x:f>
        <x:v>Non</x:v>
      </x:c>
      <x:c r="P999" t="str">
        <x:f>IFERROR(INDEX('02_REFERENTIEL_CLIENTS'!$B$2:$B$51,MATCH(TRIM(C999),'02_REFERENTIEL_CLIENTS'!$A$2:$A$51,0)),"Non trouvé")</x:f>
        <x:v>Particuliers</x:v>
      </x:c>
      <x:c r="Q999" t="str">
        <x:f>IFERROR(INDEX('02_REFERENTIEL_CLIENTS'!$C$2:$C$51,MATCH(TRIM(C999),'02_REFERENTIEL_CLIENTS'!$A$2:$A$51,0)),"Non trouvé")</x:f>
        <x:v>International</x:v>
      </x:c>
      <x:c r="R999" t="str">
        <x:f>IF(OR(F999&lt;=0,G999&lt;0,G999&gt;F999,N999&lt;0,P999="Non trouvé"),"À vérifier","OK")</x:f>
        <x:v>OK</x:v>
      </x:c>
    </x:row>
    <x:row r="1000">
      <x:c r="A1000" t="str">
        <x:v>DV-2025-00999</x:v>
      </x:c>
      <x:c r="B1000" s="16" t="n">
        <x:v>45781</x:v>
      </x:c>
      <x:c r="C1000" t="str">
        <x:v>Client 19</x:v>
      </x:c>
      <x:c r="D1000" t="str">
        <x:v>Douane</x:v>
      </x:c>
      <x:c r="E1000" t="str">
        <x:v>Pôle C</x:v>
      </x:c>
      <x:c r="F1000" s="18" t="n">
        <x:v>19288.43</x:v>
      </x:c>
      <x:c r="G1000" s="18" t="n">
        <x:v>19288.43</x:v>
      </x:c>
      <x:c r="H1000" t="str">
        <x:v>Client 19</x:v>
      </x:c>
      <x:c r="I1000" s="16" t="n">
        <x:v>45876</x:v>
      </x:c>
      <x:c r="J1000" t="n">
        <x:f>YEAR(B1000)</x:f>
        <x:v>2025</x:v>
      </x:c>
      <x:c r="K1000" s="20" t="n">
        <x:f>DATE(YEAR(B1000),MONTH(B1000),1)</x:f>
        <x:v>45778</x:v>
      </x:c>
      <x:c r="L1000" s="18" t="n">
        <x:f>F1000-G1000</x:f>
        <x:v>0</x:v>
      </x:c>
      <x:c r="M1000" t="str">
        <x:f>IF(L1000&lt;=0,"Payée",IF(G1000=0,"Impayée","Partielle"))</x:f>
        <x:v>Payée</x:v>
      </x:c>
      <x:c r="N1000" t="n">
        <x:f>IF(I1000="","",I1000-B1000)</x:f>
        <x:v>95</x:v>
      </x:c>
      <x:c r="O1000" t="str">
        <x:f>IF(TRIM(C1000)&lt;&gt;TRIM(H1000),"Oui","Non")</x:f>
        <x:v>Non</x:v>
      </x:c>
      <x:c r="P1000" t="str">
        <x:f>IFERROR(INDEX('02_REFERENTIEL_CLIENTS'!$B$2:$B$51,MATCH(TRIM(C1000),'02_REFERENTIEL_CLIENTS'!$A$2:$A$51,0)),"Non trouvé")</x:f>
        <x:v>Grands comptes</x:v>
      </x:c>
      <x:c r="Q1000" t="str">
        <x:f>IFERROR(INDEX('02_REFERENTIEL_CLIENTS'!$C$2:$C$51,MATCH(TRIM(C1000),'02_REFERENTIEL_CLIENTS'!$A$2:$A$51,0)),"Non trouvé")</x:f>
        <x:v>France</x:v>
      </x:c>
      <x:c r="R1000" t="str">
        <x:f>IF(OR(F1000&lt;=0,G1000&lt;0,G1000&gt;F1000,N1000&lt;0,P1000="Non trouvé"),"À vérifier","OK")</x:f>
        <x:v>OK</x:v>
      </x:c>
    </x:row>
    <x:row r="1001">
      <x:c r="A1001" t="str">
        <x:v>DV-2025-01000</x:v>
      </x:c>
      <x:c r="B1001" s="16" t="n">
        <x:v>45760</x:v>
      </x:c>
      <x:c r="C1001" t="str">
        <x:v>Client 20</x:v>
      </x:c>
      <x:c r="D1001" t="str">
        <x:v>Logistique</x:v>
      </x:c>
      <x:c r="E1001" t="str">
        <x:v>Pôle C</x:v>
      </x:c>
      <x:c r="F1001" s="18" t="n">
        <x:v>13308.44</x:v>
      </x:c>
      <x:c r="G1001" s="18" t="n">
        <x:v>13308.44</x:v>
      </x:c>
      <x:c r="H1001" t="str">
        <x:v>Client 20</x:v>
      </x:c>
      <x:c r="I1001" s="16" t="n">
        <x:v>45849</x:v>
      </x:c>
      <x:c r="J1001" t="n">
        <x:f>YEAR(B1001)</x:f>
        <x:v>2025</x:v>
      </x:c>
      <x:c r="K1001" s="20" t="n">
        <x:f>DATE(YEAR(B1001),MONTH(B1001),1)</x:f>
        <x:v>45748</x:v>
      </x:c>
      <x:c r="L1001" s="18" t="n">
        <x:f>F1001-G1001</x:f>
        <x:v>0</x:v>
      </x:c>
      <x:c r="M1001" t="str">
        <x:f>IF(L1001&lt;=0,"Payée",IF(G1001=0,"Impayée","Partielle"))</x:f>
        <x:v>Payée</x:v>
      </x:c>
      <x:c r="N1001" t="n">
        <x:f>IF(I1001="","",I1001-B1001)</x:f>
        <x:v>89</x:v>
      </x:c>
      <x:c r="O1001" t="str">
        <x:f>IF(TRIM(C1001)&lt;&gt;TRIM(H1001),"Oui","Non")</x:f>
        <x:v>Non</x:v>
      </x:c>
      <x:c r="P1001" t="str">
        <x:f>IFERROR(INDEX('02_REFERENTIEL_CLIENTS'!$B$2:$B$51,MATCH(TRIM(C1001),'02_REFERENTIEL_CLIENTS'!$A$2:$A$51,0)),"Non trouvé")</x:f>
        <x:v>PME</x:v>
      </x:c>
      <x:c r="Q1001" t="str">
        <x:f>IFERROR(INDEX('02_REFERENTIEL_CLIENTS'!$C$2:$C$51,MATCH(TRIM(C1001),'02_REFERENTIEL_CLIENTS'!$A$2:$A$51,0)),"Non trouvé")</x:f>
        <x:v>Europe</x:v>
      </x:c>
      <x:c r="R1001" t="str">
        <x:f>IF(OR(F1001&lt;=0,G1001&lt;0,G1001&gt;F1001,N1001&lt;0,P1001="Non trouvé"),"À vérifier","OK")</x:f>
        <x:v>OK</x:v>
      </x:c>
    </x:row>
  </x:sheetData>
  <x:conditionalFormatting sqref="M2:M1001">
    <x:cfRule type="expression" dxfId="0" priority="1">
      <x:formula>M2="Impayée"</x:formula>
    </x:cfRule>
    <x:cfRule type="expression" dxfId="1" priority="2">
      <x:formula>M2="Partielle"</x:formula>
    </x:cfRule>
    <x:cfRule type="expression" dxfId="2" priority="3">
      <x:formula>M2="Payée"</x:formula>
    </x:cfRule>
  </x:conditionalFormatting>
  <x:conditionalFormatting sqref="R2:R1001">
    <x:cfRule type="expression" dxfId="3" priority="4">
      <x:formula>R2="À vérifier"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1c0e4d5db49249fe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6.880000114440918" hidden="0" customWidth="1"/>
    <x:col min="2" max="2" width="8.75" hidden="0" customWidth="1"/>
    <x:col min="3" max="3" width="9.380000114440918" hidden="0" customWidth="1"/>
    <x:col min="4" max="4" width="9.880000114440918" hidden="0" customWidth="1"/>
    <x:col min="5" max="5" width="17.3799991607666" hidden="0" customWidth="1"/>
    <x:col min="6" max="6" width="15" hidden="0" customWidth="1"/>
    <x:col min="7" max="7" width="8.25" hidden="0" customWidth="1"/>
    <x:col min="8" max="8" width="10.130000114440918" hidden="0" customWidth="1"/>
    <x:col min="9" max="9" width="10.380000114440918" hidden="0" customWidth="1"/>
    <x:col min="10" max="10" width="12.630000114440918" hidden="0" customWidth="1"/>
  </x:cols>
  <x:sheetData>
    <x:row r="1" ht="28" customHeight="1">
      <x:c r="A1" s="11" t="str">
        <x:v>Mois</x:v>
      </x:c>
      <x:c r="B1" s="11" t="str">
        <x:v>Facturé</x:v>
      </x:c>
      <x:c r="C1" s="11" t="str">
        <x:v>Encaissé</x:v>
      </x:c>
      <x:c r="D1" s="11" t="str">
        <x:v>Créances</x:v>
      </x:c>
      <x:c r="E1" s="11" t="str">
        <x:v>Taux encaissement</x:v>
      </x:c>
      <x:c r="F1" s="11" t="str">
        <x:v>Nb transactions</x:v>
      </x:c>
      <x:c r="G1" s="11" t="str">
        <x:v>Payées</x:v>
      </x:c>
      <x:c r="H1" s="11" t="str">
        <x:v>Partielles</x:v>
      </x:c>
      <x:c r="I1" s="11" t="str">
        <x:v>Impayées</x:v>
      </x:c>
      <x:c r="J1" s="11" t="str">
        <x:v>Délai moyen</x:v>
      </x:c>
    </x:row>
    <x:row r="2">
      <x:c r="A2" s="20" t="n">
        <x:v>45292</x:v>
      </x:c>
      <x:c r="B2" s="2" t="n">
        <x:f>SUMIFS('03_BASE_FIABILISEE'!$F$2:$F$1001,'03_BASE_FIABILISEE'!$K$2:$K$1001,A2)</x:f>
        <x:v>369150.5</x:v>
      </x:c>
      <x:c r="C2" s="2" t="n">
        <x:f>SUMIFS('03_BASE_FIABILISEE'!$G$2:$G$1001,'03_BASE_FIABILISEE'!$K$2:$K$1001,A2)</x:f>
        <x:v>300666.22</x:v>
      </x:c>
      <x:c r="D2" s="2" t="n">
        <x:f>B2-C2</x:f>
        <x:v>68484.28000000003</x:v>
      </x:c>
      <x:c r="E2" s="4" t="n">
        <x:f>IFERROR(C2/B2,0)</x:f>
        <x:v>0.8144814106983466</x:v>
      </x:c>
      <x:c r="F2" t="n">
        <x:f>COUNTIF('03_BASE_FIABILISEE'!$K$2:$K$1001,A2)</x:f>
        <x:v>30</x:v>
      </x:c>
      <x:c r="G2" t="n">
        <x:f>COUNTIFS('03_BASE_FIABILISEE'!$K$2:$K$1001,A2,'03_BASE_FIABILISEE'!$M$2:$M$1001,"Payée")</x:f>
        <x:v>23</x:v>
      </x:c>
      <x:c r="H2" t="n">
        <x:f>COUNTIFS('03_BASE_FIABILISEE'!$K$2:$K$1001,A2,'03_BASE_FIABILISEE'!$M$2:$M$1001,"Partielle")</x:f>
        <x:v>5</x:v>
      </x:c>
      <x:c r="I2" t="n">
        <x:f>COUNTIFS('03_BASE_FIABILISEE'!$K$2:$K$1001,A2,'03_BASE_FIABILISEE'!$M$2:$M$1001,"Impayée")</x:f>
        <x:v>2</x:v>
      </x:c>
      <x:c r="J2" s="22" t="n">
        <x:f>IFERROR(SUMIFS('03_BASE_FIABILISEE'!$N$2:$N$1001,'03_BASE_FIABILISEE'!$K$2:$K$1001,A2)/COUNTIFS('03_BASE_FIABILISEE'!$K$2:$K$1001,A2,'03_BASE_FIABILISEE'!$N$2:$N$1001,"&gt;0"),0)</x:f>
        <x:v>41.142857142857146</x:v>
      </x:c>
    </x:row>
    <x:row r="3">
      <x:c r="A3" s="20" t="n">
        <x:v>45323</x:v>
      </x:c>
      <x:c r="B3" s="2" t="n">
        <x:f>SUMIFS('03_BASE_FIABILISEE'!$F$2:$F$1001,'03_BASE_FIABILISEE'!$K$2:$K$1001,A3)</x:f>
        <x:v>385861.71</x:v>
      </x:c>
      <x:c r="C3" s="2" t="n">
        <x:f>SUMIFS('03_BASE_FIABILISEE'!$G$2:$G$1001,'03_BASE_FIABILISEE'!$K$2:$K$1001,A3)</x:f>
        <x:v>323666.41000000003</x:v>
      </x:c>
      <x:c r="D3" s="2" t="n">
        <x:f>B3-C3</x:f>
        <x:v>62195.29999999999</x:v>
      </x:c>
      <x:c r="E3" s="4" t="n">
        <x:f>IFERROR(C3/B3,0)</x:f>
        <x:v>0.8388145328024386</x:v>
      </x:c>
      <x:c r="F3" t="n">
        <x:f>COUNTIF('03_BASE_FIABILISEE'!$K$2:$K$1001,A3)</x:f>
        <x:v>27</x:v>
      </x:c>
      <x:c r="G3" t="n">
        <x:f>COUNTIFS('03_BASE_FIABILISEE'!$K$2:$K$1001,A3,'03_BASE_FIABILISEE'!$M$2:$M$1001,"Payée")</x:f>
        <x:v>20</x:v>
      </x:c>
      <x:c r="H3" t="n">
        <x:f>COUNTIFS('03_BASE_FIABILISEE'!$K$2:$K$1001,A3,'03_BASE_FIABILISEE'!$M$2:$M$1001,"Partielle")</x:f>
        <x:v>2</x:v>
      </x:c>
      <x:c r="I3" t="n">
        <x:f>COUNTIFS('03_BASE_FIABILISEE'!$K$2:$K$1001,A3,'03_BASE_FIABILISEE'!$M$2:$M$1001,"Impayée")</x:f>
        <x:v>5</x:v>
      </x:c>
      <x:c r="J3" s="22" t="n">
        <x:f>IFERROR(SUMIFS('03_BASE_FIABILISEE'!$N$2:$N$1001,'03_BASE_FIABILISEE'!$K$2:$K$1001,A3)/COUNTIFS('03_BASE_FIABILISEE'!$K$2:$K$1001,A3,'03_BASE_FIABILISEE'!$N$2:$N$1001,"&gt;0"),0)</x:f>
        <x:v>47.72727272727273</x:v>
      </x:c>
    </x:row>
    <x:row r="4">
      <x:c r="A4" s="20" t="n">
        <x:v>45352</x:v>
      </x:c>
      <x:c r="B4" s="2" t="n">
        <x:f>SUMIFS('03_BASE_FIABILISEE'!$F$2:$F$1001,'03_BASE_FIABILISEE'!$K$2:$K$1001,A4)</x:f>
        <x:v>533400.83</x:v>
      </x:c>
      <x:c r="C4" s="2" t="n">
        <x:f>SUMIFS('03_BASE_FIABILISEE'!$G$2:$G$1001,'03_BASE_FIABILISEE'!$K$2:$K$1001,A4)</x:f>
        <x:v>451599.5399999999</x:v>
      </x:c>
      <x:c r="D4" s="2" t="n">
        <x:f>B4-C4</x:f>
        <x:v>81801.29000000004</x:v>
      </x:c>
      <x:c r="E4" s="4" t="n">
        <x:f>IFERROR(C4/B4,0)</x:f>
        <x:v>0.8466419896646954</x:v>
      </x:c>
      <x:c r="F4" t="n">
        <x:f>COUNTIF('03_BASE_FIABILISEE'!$K$2:$K$1001,A4)</x:f>
        <x:v>37</x:v>
      </x:c>
      <x:c r="G4" t="n">
        <x:f>COUNTIFS('03_BASE_FIABILISEE'!$K$2:$K$1001,A4,'03_BASE_FIABILISEE'!$M$2:$M$1001,"Payée")</x:f>
        <x:v>28</x:v>
      </x:c>
      <x:c r="H4" t="n">
        <x:f>COUNTIFS('03_BASE_FIABILISEE'!$K$2:$K$1001,A4,'03_BASE_FIABILISEE'!$M$2:$M$1001,"Partielle")</x:f>
        <x:v>5</x:v>
      </x:c>
      <x:c r="I4" t="n">
        <x:f>COUNTIFS('03_BASE_FIABILISEE'!$K$2:$K$1001,A4,'03_BASE_FIABILISEE'!$M$2:$M$1001,"Impayée")</x:f>
        <x:v>4</x:v>
      </x:c>
      <x:c r="J4" s="22" t="n">
        <x:f>IFERROR(SUMIFS('03_BASE_FIABILISEE'!$N$2:$N$1001,'03_BASE_FIABILISEE'!$K$2:$K$1001,A4)/COUNTIFS('03_BASE_FIABILISEE'!$K$2:$K$1001,A4,'03_BASE_FIABILISEE'!$N$2:$N$1001,"&gt;0"),0)</x:f>
        <x:v>55.57575757575758</x:v>
      </x:c>
    </x:row>
    <x:row r="5">
      <x:c r="A5" s="20" t="n">
        <x:v>45383</x:v>
      </x:c>
      <x:c r="B5" s="2" t="n">
        <x:f>SUMIFS('03_BASE_FIABILISEE'!$F$2:$F$1001,'03_BASE_FIABILISEE'!$K$2:$K$1001,A5)</x:f>
        <x:v>317704.53</x:v>
      </x:c>
      <x:c r="C5" s="2" t="n">
        <x:f>SUMIFS('03_BASE_FIABILISEE'!$G$2:$G$1001,'03_BASE_FIABILISEE'!$K$2:$K$1001,A5)</x:f>
        <x:v>283542.61</x:v>
      </x:c>
      <x:c r="D5" s="2" t="n">
        <x:f>B5-C5</x:f>
        <x:v>34161.92000000004</x:v>
      </x:c>
      <x:c r="E5" s="4" t="n">
        <x:f>IFERROR(C5/B5,0)</x:f>
        <x:v>0.8924726694957732</x:v>
      </x:c>
      <x:c r="F5" t="n">
        <x:f>COUNTIF('03_BASE_FIABILISEE'!$K$2:$K$1001,A5)</x:f>
        <x:v>29</x:v>
      </x:c>
      <x:c r="G5" t="n">
        <x:f>COUNTIFS('03_BASE_FIABILISEE'!$K$2:$K$1001,A5,'03_BASE_FIABILISEE'!$M$2:$M$1001,"Payée")</x:f>
        <x:v>27</x:v>
      </x:c>
      <x:c r="H5" t="n">
        <x:f>COUNTIFS('03_BASE_FIABILISEE'!$K$2:$K$1001,A5,'03_BASE_FIABILISEE'!$M$2:$M$1001,"Partielle")</x:f>
        <x:v>1</x:v>
      </x:c>
      <x:c r="I5" t="n">
        <x:f>COUNTIFS('03_BASE_FIABILISEE'!$K$2:$K$1001,A5,'03_BASE_FIABILISEE'!$M$2:$M$1001,"Impayée")</x:f>
        <x:v>1</x:v>
      </x:c>
      <x:c r="J5" s="22" t="n">
        <x:f>IFERROR(SUMIFS('03_BASE_FIABILISEE'!$N$2:$N$1001,'03_BASE_FIABILISEE'!$K$2:$K$1001,A5)/COUNTIFS('03_BASE_FIABILISEE'!$K$2:$K$1001,A5,'03_BASE_FIABILISEE'!$N$2:$N$1001,"&gt;0"),0)</x:f>
        <x:v>45.42857142857143</x:v>
      </x:c>
    </x:row>
    <x:row r="6">
      <x:c r="A6" s="20" t="n">
        <x:v>45413</x:v>
      </x:c>
      <x:c r="B6" s="2" t="n">
        <x:f>SUMIFS('03_BASE_FIABILISEE'!$F$2:$F$1001,'03_BASE_FIABILISEE'!$K$2:$K$1001,A6)</x:f>
        <x:v>380429.2199999999</x:v>
      </x:c>
      <x:c r="C6" s="2" t="n">
        <x:f>SUMIFS('03_BASE_FIABILISEE'!$G$2:$G$1001,'03_BASE_FIABILISEE'!$K$2:$K$1001,A6)</x:f>
        <x:v>306663.61999999994</x:v>
      </x:c>
      <x:c r="D6" s="2" t="n">
        <x:f>B6-C6</x:f>
        <x:v>73765.59999999998</x:v>
      </x:c>
      <x:c r="E6" s="4" t="n">
        <x:f>IFERROR(C6/B6,0)</x:f>
        <x:v>0.8060990162637875</x:v>
      </x:c>
      <x:c r="F6" t="n">
        <x:f>COUNTIF('03_BASE_FIABILISEE'!$K$2:$K$1001,A6)</x:f>
        <x:v>31</x:v>
      </x:c>
      <x:c r="G6" t="n">
        <x:f>COUNTIFS('03_BASE_FIABILISEE'!$K$2:$K$1001,A6,'03_BASE_FIABILISEE'!$M$2:$M$1001,"Payée")</x:f>
        <x:v>22</x:v>
      </x:c>
      <x:c r="H6" t="n">
        <x:f>COUNTIFS('03_BASE_FIABILISEE'!$K$2:$K$1001,A6,'03_BASE_FIABILISEE'!$M$2:$M$1001,"Partielle")</x:f>
        <x:v>7</x:v>
      </x:c>
      <x:c r="I6" t="n">
        <x:f>COUNTIFS('03_BASE_FIABILISEE'!$K$2:$K$1001,A6,'03_BASE_FIABILISEE'!$M$2:$M$1001,"Impayée")</x:f>
        <x:v>2</x:v>
      </x:c>
      <x:c r="J6" s="22" t="n">
        <x:f>IFERROR(SUMIFS('03_BASE_FIABILISEE'!$N$2:$N$1001,'03_BASE_FIABILISEE'!$K$2:$K$1001,A6)/COUNTIFS('03_BASE_FIABILISEE'!$K$2:$K$1001,A6,'03_BASE_FIABILISEE'!$N$2:$N$1001,"&gt;0"),0)</x:f>
        <x:v>52.206896551724135</x:v>
      </x:c>
    </x:row>
    <x:row r="7">
      <x:c r="A7" s="20" t="n">
        <x:v>45444</x:v>
      </x:c>
      <x:c r="B7" s="2" t="n">
        <x:f>SUMIFS('03_BASE_FIABILISEE'!$F$2:$F$1001,'03_BASE_FIABILISEE'!$K$2:$K$1001,A7)</x:f>
        <x:v>394676.56</x:v>
      </x:c>
      <x:c r="C7" s="2" t="n">
        <x:f>SUMIFS('03_BASE_FIABILISEE'!$G$2:$G$1001,'03_BASE_FIABILISEE'!$K$2:$K$1001,A7)</x:f>
        <x:v>297305.91000000003</x:v>
      </x:c>
      <x:c r="D7" s="2" t="n">
        <x:f>B7-C7</x:f>
        <x:v>97370.64999999997</x:v>
      </x:c>
      <x:c r="E7" s="4" t="n">
        <x:f>IFERROR(C7/B7,0)</x:f>
        <x:v>0.7532900104328467</x:v>
      </x:c>
      <x:c r="F7" t="n">
        <x:f>COUNTIF('03_BASE_FIABILISEE'!$K$2:$K$1001,A7)</x:f>
        <x:v>32</x:v>
      </x:c>
      <x:c r="G7" t="n">
        <x:f>COUNTIFS('03_BASE_FIABILISEE'!$K$2:$K$1001,A7,'03_BASE_FIABILISEE'!$M$2:$M$1001,"Payée")</x:f>
        <x:v>20</x:v>
      </x:c>
      <x:c r="H7" t="n">
        <x:f>COUNTIFS('03_BASE_FIABILISEE'!$K$2:$K$1001,A7,'03_BASE_FIABILISEE'!$M$2:$M$1001,"Partielle")</x:f>
        <x:v>7</x:v>
      </x:c>
      <x:c r="I7" t="n">
        <x:f>COUNTIFS('03_BASE_FIABILISEE'!$K$2:$K$1001,A7,'03_BASE_FIABILISEE'!$M$2:$M$1001,"Impayée")</x:f>
        <x:v>5</x:v>
      </x:c>
      <x:c r="J7" s="22" t="n">
        <x:f>IFERROR(SUMIFS('03_BASE_FIABILISEE'!$N$2:$N$1001,'03_BASE_FIABILISEE'!$K$2:$K$1001,A7)/COUNTIFS('03_BASE_FIABILISEE'!$K$2:$K$1001,A7,'03_BASE_FIABILISEE'!$N$2:$N$1001,"&gt;0"),0)</x:f>
        <x:v>50.51851851851852</x:v>
      </x:c>
    </x:row>
    <x:row r="8">
      <x:c r="A8" s="20" t="n">
        <x:v>45474</x:v>
      </x:c>
      <x:c r="B8" s="2" t="n">
        <x:f>SUMIFS('03_BASE_FIABILISEE'!$F$2:$F$1001,'03_BASE_FIABILISEE'!$K$2:$K$1001,A8)</x:f>
        <x:v>374372.0499999999</x:v>
      </x:c>
      <x:c r="C8" s="2" t="n">
        <x:f>SUMIFS('03_BASE_FIABILISEE'!$G$2:$G$1001,'03_BASE_FIABILISEE'!$K$2:$K$1001,A8)</x:f>
        <x:v>313998.54999999993</x:v>
      </x:c>
      <x:c r="D8" s="2" t="n">
        <x:f>B8-C8</x:f>
        <x:v>60373.49999999994</x:v>
      </x:c>
      <x:c r="E8" s="4" t="n">
        <x:f>IFERROR(C8/B8,0)</x:f>
        <x:v>0.8387339546314957</x:v>
      </x:c>
      <x:c r="F8" t="n">
        <x:f>COUNTIF('03_BASE_FIABILISEE'!$K$2:$K$1001,A8)</x:f>
        <x:v>32</x:v>
      </x:c>
      <x:c r="G8" t="n">
        <x:f>COUNTIFS('03_BASE_FIABILISEE'!$K$2:$K$1001,A8,'03_BASE_FIABILISEE'!$M$2:$M$1001,"Payée")</x:f>
        <x:v>21</x:v>
      </x:c>
      <x:c r="H8" t="n">
        <x:f>COUNTIFS('03_BASE_FIABILISEE'!$K$2:$K$1001,A8,'03_BASE_FIABILISEE'!$M$2:$M$1001,"Partielle")</x:f>
        <x:v>9</x:v>
      </x:c>
      <x:c r="I8" t="n">
        <x:f>COUNTIFS('03_BASE_FIABILISEE'!$K$2:$K$1001,A8,'03_BASE_FIABILISEE'!$M$2:$M$1001,"Impayée")</x:f>
        <x:v>2</x:v>
      </x:c>
      <x:c r="J8" s="22" t="n">
        <x:f>IFERROR(SUMIFS('03_BASE_FIABILISEE'!$N$2:$N$1001,'03_BASE_FIABILISEE'!$K$2:$K$1001,A8)/COUNTIFS('03_BASE_FIABILISEE'!$K$2:$K$1001,A8,'03_BASE_FIABILISEE'!$N$2:$N$1001,"&gt;0"),0)</x:f>
        <x:v>48.5</x:v>
      </x:c>
    </x:row>
    <x:row r="9">
      <x:c r="A9" s="20" t="n">
        <x:v>45505</x:v>
      </x:c>
      <x:c r="B9" s="2" t="n">
        <x:f>SUMIFS('03_BASE_FIABILISEE'!$F$2:$F$1001,'03_BASE_FIABILISEE'!$K$2:$K$1001,A9)</x:f>
        <x:v>446391.61000000004</x:v>
      </x:c>
      <x:c r="C9" s="2" t="n">
        <x:f>SUMIFS('03_BASE_FIABILISEE'!$G$2:$G$1001,'03_BASE_FIABILISEE'!$K$2:$K$1001,A9)</x:f>
        <x:v>383604.6400000001</x:v>
      </x:c>
      <x:c r="D9" s="2" t="n">
        <x:f>B9-C9</x:f>
        <x:v>62786.96999999997</x:v>
      </x:c>
      <x:c r="E9" s="4" t="n">
        <x:f>IFERROR(C9/B9,0)</x:f>
        <x:v>0.8593455419110588</x:v>
      </x:c>
      <x:c r="F9" t="n">
        <x:f>COUNTIF('03_BASE_FIABILISEE'!$K$2:$K$1001,A9)</x:f>
        <x:v>37</x:v>
      </x:c>
      <x:c r="G9" t="n">
        <x:f>COUNTIFS('03_BASE_FIABILISEE'!$K$2:$K$1001,A9,'03_BASE_FIABILISEE'!$M$2:$M$1001,"Payée")</x:f>
        <x:v>29</x:v>
      </x:c>
      <x:c r="H9" t="n">
        <x:f>COUNTIFS('03_BASE_FIABILISEE'!$K$2:$K$1001,A9,'03_BASE_FIABILISEE'!$M$2:$M$1001,"Partielle")</x:f>
        <x:v>6</x:v>
      </x:c>
      <x:c r="I9" t="n">
        <x:f>COUNTIFS('03_BASE_FIABILISEE'!$K$2:$K$1001,A9,'03_BASE_FIABILISEE'!$M$2:$M$1001,"Impayée")</x:f>
        <x:v>2</x:v>
      </x:c>
      <x:c r="J9" s="22" t="n">
        <x:f>IFERROR(SUMIFS('03_BASE_FIABILISEE'!$N$2:$N$1001,'03_BASE_FIABILISEE'!$K$2:$K$1001,A9)/COUNTIFS('03_BASE_FIABILISEE'!$K$2:$K$1001,A9,'03_BASE_FIABILISEE'!$N$2:$N$1001,"&gt;0"),0)</x:f>
        <x:v>43.82857142857143</x:v>
      </x:c>
    </x:row>
    <x:row r="10">
      <x:c r="A10" s="20" t="n">
        <x:v>45536</x:v>
      </x:c>
      <x:c r="B10" s="2" t="n">
        <x:f>SUMIFS('03_BASE_FIABILISEE'!$F$2:$F$1001,'03_BASE_FIABILISEE'!$K$2:$K$1001,A10)</x:f>
        <x:v>396364.0299999999</x:v>
      </x:c>
      <x:c r="C10" s="2" t="n">
        <x:f>SUMIFS('03_BASE_FIABILISEE'!$G$2:$G$1001,'03_BASE_FIABILISEE'!$K$2:$K$1001,A10)</x:f>
        <x:v>330804.87</x:v>
      </x:c>
      <x:c r="D10" s="2" t="n">
        <x:f>B10-C10</x:f>
        <x:v>65559.15999999992</x:v>
      </x:c>
      <x:c r="E10" s="4" t="n">
        <x:f>IFERROR(C10/B10,0)</x:f>
        <x:v>0.8345986138045879</x:v>
      </x:c>
      <x:c r="F10" t="n">
        <x:f>COUNTIF('03_BASE_FIABILISEE'!$K$2:$K$1001,A10)</x:f>
        <x:v>34</x:v>
      </x:c>
      <x:c r="G10" t="n">
        <x:f>COUNTIFS('03_BASE_FIABILISEE'!$K$2:$K$1001,A10,'03_BASE_FIABILISEE'!$M$2:$M$1001,"Payée")</x:f>
        <x:v>24</x:v>
      </x:c>
      <x:c r="H10" t="n">
        <x:f>COUNTIFS('03_BASE_FIABILISEE'!$K$2:$K$1001,A10,'03_BASE_FIABILISEE'!$M$2:$M$1001,"Partielle")</x:f>
        <x:v>7</x:v>
      </x:c>
      <x:c r="I10" t="n">
        <x:f>COUNTIFS('03_BASE_FIABILISEE'!$K$2:$K$1001,A10,'03_BASE_FIABILISEE'!$M$2:$M$1001,"Impayée")</x:f>
        <x:v>3</x:v>
      </x:c>
      <x:c r="J10" s="22" t="n">
        <x:f>IFERROR(SUMIFS('03_BASE_FIABILISEE'!$N$2:$N$1001,'03_BASE_FIABILISEE'!$K$2:$K$1001,A10)/COUNTIFS('03_BASE_FIABILISEE'!$K$2:$K$1001,A10,'03_BASE_FIABILISEE'!$N$2:$N$1001,"&gt;0"),0)</x:f>
        <x:v>50.774193548387096</x:v>
      </x:c>
    </x:row>
    <x:row r="11">
      <x:c r="A11" s="20" t="n">
        <x:v>45566</x:v>
      </x:c>
      <x:c r="B11" s="2" t="n">
        <x:f>SUMIFS('03_BASE_FIABILISEE'!$F$2:$F$1001,'03_BASE_FIABILISEE'!$K$2:$K$1001,A11)</x:f>
        <x:v>517944.12000000005</x:v>
      </x:c>
      <x:c r="C11" s="2" t="n">
        <x:f>SUMIFS('03_BASE_FIABILISEE'!$G$2:$G$1001,'03_BASE_FIABILISEE'!$K$2:$K$1001,A11)</x:f>
        <x:v>447169.11</x:v>
      </x:c>
      <x:c r="D11" s="2" t="n">
        <x:f>B11-C11</x:f>
        <x:v>70775.01000000007</x:v>
      </x:c>
      <x:c r="E11" s="4" t="n">
        <x:f>IFERROR(C11/B11,0)</x:f>
        <x:v>0.8633539656749071</x:v>
      </x:c>
      <x:c r="F11" t="n">
        <x:f>COUNTIF('03_BASE_FIABILISEE'!$K$2:$K$1001,A11)</x:f>
        <x:v>45</x:v>
      </x:c>
      <x:c r="G11" t="n">
        <x:f>COUNTIFS('03_BASE_FIABILISEE'!$K$2:$K$1001,A11,'03_BASE_FIABILISEE'!$M$2:$M$1001,"Payée")</x:f>
        <x:v>32</x:v>
      </x:c>
      <x:c r="H11" t="n">
        <x:f>COUNTIFS('03_BASE_FIABILISEE'!$K$2:$K$1001,A11,'03_BASE_FIABILISEE'!$M$2:$M$1001,"Partielle")</x:f>
        <x:v>9</x:v>
      </x:c>
      <x:c r="I11" t="n">
        <x:f>COUNTIFS('03_BASE_FIABILISEE'!$K$2:$K$1001,A11,'03_BASE_FIABILISEE'!$M$2:$M$1001,"Impayée")</x:f>
        <x:v>4</x:v>
      </x:c>
      <x:c r="J11" s="22" t="n">
        <x:f>IFERROR(SUMIFS('03_BASE_FIABILISEE'!$N$2:$N$1001,'03_BASE_FIABILISEE'!$K$2:$K$1001,A11)/COUNTIFS('03_BASE_FIABILISEE'!$K$2:$K$1001,A11,'03_BASE_FIABILISEE'!$N$2:$N$1001,"&gt;0"),0)</x:f>
        <x:v>46.31707317073171</x:v>
      </x:c>
    </x:row>
    <x:row r="12">
      <x:c r="A12" s="20" t="n">
        <x:v>45597</x:v>
      </x:c>
      <x:c r="B12" s="2" t="n">
        <x:f>SUMIFS('03_BASE_FIABILISEE'!$F$2:$F$1001,'03_BASE_FIABILISEE'!$K$2:$K$1001,A12)</x:f>
        <x:v>350900.79999999993</x:v>
      </x:c>
      <x:c r="C12" s="2" t="n">
        <x:f>SUMIFS('03_BASE_FIABILISEE'!$G$2:$G$1001,'03_BASE_FIABILISEE'!$K$2:$K$1001,A12)</x:f>
        <x:v>300754.10000000003</x:v>
      </x:c>
      <x:c r="D12" s="2" t="n">
        <x:f>B12-C12</x:f>
        <x:v>50146.699999999895</x:v>
      </x:c>
      <x:c r="E12" s="4" t="n">
        <x:f>IFERROR(C12/B12,0)</x:f>
        <x:v>0.8570915198825426</x:v>
      </x:c>
      <x:c r="F12" t="n">
        <x:f>COUNTIF('03_BASE_FIABILISEE'!$K$2:$K$1001,A12)</x:f>
        <x:v>30</x:v>
      </x:c>
      <x:c r="G12" t="n">
        <x:f>COUNTIFS('03_BASE_FIABILISEE'!$K$2:$K$1001,A12,'03_BASE_FIABILISEE'!$M$2:$M$1001,"Payée")</x:f>
        <x:v>23</x:v>
      </x:c>
      <x:c r="H12" t="n">
        <x:f>COUNTIFS('03_BASE_FIABILISEE'!$K$2:$K$1001,A12,'03_BASE_FIABILISEE'!$M$2:$M$1001,"Partielle")</x:f>
        <x:v>2</x:v>
      </x:c>
      <x:c r="I12" t="n">
        <x:f>COUNTIFS('03_BASE_FIABILISEE'!$K$2:$K$1001,A12,'03_BASE_FIABILISEE'!$M$2:$M$1001,"Impayée")</x:f>
        <x:v>5</x:v>
      </x:c>
      <x:c r="J12" s="22" t="n">
        <x:f>IFERROR(SUMIFS('03_BASE_FIABILISEE'!$N$2:$N$1001,'03_BASE_FIABILISEE'!$K$2:$K$1001,A12)/COUNTIFS('03_BASE_FIABILISEE'!$K$2:$K$1001,A12,'03_BASE_FIABILISEE'!$N$2:$N$1001,"&gt;0"),0)</x:f>
        <x:v>55.72</x:v>
      </x:c>
    </x:row>
    <x:row r="13">
      <x:c r="A13" s="20" t="n">
        <x:v>45627</x:v>
      </x:c>
      <x:c r="B13" s="2" t="n">
        <x:f>SUMIFS('03_BASE_FIABILISEE'!$F$2:$F$1001,'03_BASE_FIABILISEE'!$K$2:$K$1001,A13)</x:f>
        <x:v>411468.58999999997</x:v>
      </x:c>
      <x:c r="C13" s="2" t="n">
        <x:f>SUMIFS('03_BASE_FIABILISEE'!$G$2:$G$1001,'03_BASE_FIABILISEE'!$K$2:$K$1001,A13)</x:f>
        <x:v>329669.8299999999</x:v>
      </x:c>
      <x:c r="D13" s="2" t="n">
        <x:f>B13-C13</x:f>
        <x:v>81798.76000000007</x:v>
      </x:c>
      <x:c r="E13" s="4" t="n">
        <x:f>IFERROR(C13/B13,0)</x:f>
        <x:v>0.8012029059131827</x:v>
      </x:c>
      <x:c r="F13" t="n">
        <x:f>COUNTIF('03_BASE_FIABILISEE'!$K$2:$K$1001,A13)</x:f>
        <x:v>33</x:v>
      </x:c>
      <x:c r="G13" t="n">
        <x:f>COUNTIFS('03_BASE_FIABILISEE'!$K$2:$K$1001,A13,'03_BASE_FIABILISEE'!$M$2:$M$1001,"Payée")</x:f>
        <x:v>24</x:v>
      </x:c>
      <x:c r="H13" t="n">
        <x:f>COUNTIFS('03_BASE_FIABILISEE'!$K$2:$K$1001,A13,'03_BASE_FIABILISEE'!$M$2:$M$1001,"Partielle")</x:f>
        <x:v>7</x:v>
      </x:c>
      <x:c r="I13" t="n">
        <x:f>COUNTIFS('03_BASE_FIABILISEE'!$K$2:$K$1001,A13,'03_BASE_FIABILISEE'!$M$2:$M$1001,"Impayée")</x:f>
        <x:v>2</x:v>
      </x:c>
      <x:c r="J13" s="22" t="n">
        <x:f>IFERROR(SUMIFS('03_BASE_FIABILISEE'!$N$2:$N$1001,'03_BASE_FIABILISEE'!$K$2:$K$1001,A13)/COUNTIFS('03_BASE_FIABILISEE'!$K$2:$K$1001,A13,'03_BASE_FIABILISEE'!$N$2:$N$1001,"&gt;0"),0)</x:f>
        <x:v>49.354838709677416</x:v>
      </x:c>
    </x:row>
    <x:row r="14">
      <x:c r="A14" s="20" t="n">
        <x:v>45658</x:v>
      </x:c>
      <x:c r="B14" s="2" t="n">
        <x:f>SUMIFS('03_BASE_FIABILISEE'!$F$2:$F$1001,'03_BASE_FIABILISEE'!$K$2:$K$1001,A14)</x:f>
        <x:v>390140.21000000014</x:v>
      </x:c>
      <x:c r="C14" s="2" t="n">
        <x:f>SUMIFS('03_BASE_FIABILISEE'!$G$2:$G$1001,'03_BASE_FIABILISEE'!$K$2:$K$1001,A14)</x:f>
        <x:v>332495.45</x:v>
      </x:c>
      <x:c r="D14" s="2" t="n">
        <x:f>B14-C14</x:f>
        <x:v>57644.760000000126</x:v>
      </x:c>
      <x:c r="E14" s="4" t="n">
        <x:f>IFERROR(C14/B14,0)</x:f>
        <x:v>0.8522460425189188</x:v>
      </x:c>
      <x:c r="F14" t="n">
        <x:f>COUNTIF('03_BASE_FIABILISEE'!$K$2:$K$1001,A14)</x:f>
        <x:v>28</x:v>
      </x:c>
      <x:c r="G14" t="n">
        <x:f>COUNTIFS('03_BASE_FIABILISEE'!$K$2:$K$1001,A14,'03_BASE_FIABILISEE'!$M$2:$M$1001,"Payée")</x:f>
        <x:v>23</x:v>
      </x:c>
      <x:c r="H14" t="n">
        <x:f>COUNTIFS('03_BASE_FIABILISEE'!$K$2:$K$1001,A14,'03_BASE_FIABILISEE'!$M$2:$M$1001,"Partielle")</x:f>
        <x:v>3</x:v>
      </x:c>
      <x:c r="I14" t="n">
        <x:f>COUNTIFS('03_BASE_FIABILISEE'!$K$2:$K$1001,A14,'03_BASE_FIABILISEE'!$M$2:$M$1001,"Impayée")</x:f>
        <x:v>2</x:v>
      </x:c>
      <x:c r="J14" s="22" t="n">
        <x:f>IFERROR(SUMIFS('03_BASE_FIABILISEE'!$N$2:$N$1001,'03_BASE_FIABILISEE'!$K$2:$K$1001,A14)/COUNTIFS('03_BASE_FIABILISEE'!$K$2:$K$1001,A14,'03_BASE_FIABILISEE'!$N$2:$N$1001,"&gt;0"),0)</x:f>
        <x:v>53.65384615384615</x:v>
      </x:c>
    </x:row>
    <x:row r="15">
      <x:c r="A15" s="20" t="n">
        <x:v>45689</x:v>
      </x:c>
      <x:c r="B15" s="2" t="n">
        <x:f>SUMIFS('03_BASE_FIABILISEE'!$F$2:$F$1001,'03_BASE_FIABILISEE'!$K$2:$K$1001,A15)</x:f>
        <x:v>329612.92999999993</x:v>
      </x:c>
      <x:c r="C15" s="2" t="n">
        <x:f>SUMIFS('03_BASE_FIABILISEE'!$G$2:$G$1001,'03_BASE_FIABILISEE'!$K$2:$K$1001,A15)</x:f>
        <x:v>259566.54</x:v>
      </x:c>
      <x:c r="D15" s="2" t="n">
        <x:f>B15-C15</x:f>
        <x:v>70046.38999999993</x:v>
      </x:c>
      <x:c r="E15" s="4" t="n">
        <x:f>IFERROR(C15/B15,0)</x:f>
        <x:v>0.7874889495384786</x:v>
      </x:c>
      <x:c r="F15" t="n">
        <x:f>COUNTIF('03_BASE_FIABILISEE'!$K$2:$K$1001,A15)</x:f>
        <x:v>23</x:v>
      </x:c>
      <x:c r="G15" t="n">
        <x:f>COUNTIFS('03_BASE_FIABILISEE'!$K$2:$K$1001,A15,'03_BASE_FIABILISEE'!$M$2:$M$1001,"Payée")</x:f>
        <x:v>15</x:v>
      </x:c>
      <x:c r="H15" t="n">
        <x:f>COUNTIFS('03_BASE_FIABILISEE'!$K$2:$K$1001,A15,'03_BASE_FIABILISEE'!$M$2:$M$1001,"Partielle")</x:f>
        <x:v>6</x:v>
      </x:c>
      <x:c r="I15" t="n">
        <x:f>COUNTIFS('03_BASE_FIABILISEE'!$K$2:$K$1001,A15,'03_BASE_FIABILISEE'!$M$2:$M$1001,"Impayée")</x:f>
        <x:v>2</x:v>
      </x:c>
      <x:c r="J15" s="22" t="n">
        <x:f>IFERROR(SUMIFS('03_BASE_FIABILISEE'!$N$2:$N$1001,'03_BASE_FIABILISEE'!$K$2:$K$1001,A15)/COUNTIFS('03_BASE_FIABILISEE'!$K$2:$K$1001,A15,'03_BASE_FIABILISEE'!$N$2:$N$1001,"&gt;0"),0)</x:f>
        <x:v>50.42857142857143</x:v>
      </x:c>
    </x:row>
    <x:row r="16">
      <x:c r="A16" s="20" t="n">
        <x:v>45717</x:v>
      </x:c>
      <x:c r="B16" s="2" t="n">
        <x:f>SUMIFS('03_BASE_FIABILISEE'!$F$2:$F$1001,'03_BASE_FIABILISEE'!$K$2:$K$1001,A16)</x:f>
        <x:v>341331.85</x:v>
      </x:c>
      <x:c r="C16" s="2" t="n">
        <x:f>SUMIFS('03_BASE_FIABILISEE'!$G$2:$G$1001,'03_BASE_FIABILISEE'!$K$2:$K$1001,A16)</x:f>
        <x:v>216631.96999999997</x:v>
      </x:c>
      <x:c r="D16" s="2" t="n">
        <x:f>B16-C16</x:f>
        <x:v>124699.88</x:v>
      </x:c>
      <x:c r="E16" s="4" t="n">
        <x:f>IFERROR(C16/B16,0)</x:f>
        <x:v>0.6346667326825786</x:v>
      </x:c>
      <x:c r="F16" t="n">
        <x:f>COUNTIF('03_BASE_FIABILISEE'!$K$2:$K$1001,A16)</x:f>
        <x:v>35</x:v>
      </x:c>
      <x:c r="G16" t="n">
        <x:f>COUNTIFS('03_BASE_FIABILISEE'!$K$2:$K$1001,A16,'03_BASE_FIABILISEE'!$M$2:$M$1001,"Payée")</x:f>
        <x:v>20</x:v>
      </x:c>
      <x:c r="H16" t="n">
        <x:f>COUNTIFS('03_BASE_FIABILISEE'!$K$2:$K$1001,A16,'03_BASE_FIABILISEE'!$M$2:$M$1001,"Partielle")</x:f>
        <x:v>10</x:v>
      </x:c>
      <x:c r="I16" t="n">
        <x:f>COUNTIFS('03_BASE_FIABILISEE'!$K$2:$K$1001,A16,'03_BASE_FIABILISEE'!$M$2:$M$1001,"Impayée")</x:f>
        <x:v>5</x:v>
      </x:c>
      <x:c r="J16" s="22" t="n">
        <x:f>IFERROR(SUMIFS('03_BASE_FIABILISEE'!$N$2:$N$1001,'03_BASE_FIABILISEE'!$K$2:$K$1001,A16)/COUNTIFS('03_BASE_FIABILISEE'!$K$2:$K$1001,A16,'03_BASE_FIABILISEE'!$N$2:$N$1001,"&gt;0"),0)</x:f>
        <x:v>46.9</x:v>
      </x:c>
    </x:row>
    <x:row r="17">
      <x:c r="A17" s="20" t="n">
        <x:v>45748</x:v>
      </x:c>
      <x:c r="B17" s="2" t="n">
        <x:f>SUMIFS('03_BASE_FIABILISEE'!$F$2:$F$1001,'03_BASE_FIABILISEE'!$K$2:$K$1001,A17)</x:f>
        <x:v>413644.32</x:v>
      </x:c>
      <x:c r="C17" s="2" t="n">
        <x:f>SUMIFS('03_BASE_FIABILISEE'!$G$2:$G$1001,'03_BASE_FIABILISEE'!$K$2:$K$1001,A17)</x:f>
        <x:v>325086.19</x:v>
      </x:c>
      <x:c r="D17" s="2" t="n">
        <x:f>B17-C17</x:f>
        <x:v>88558.13</x:v>
      </x:c>
      <x:c r="E17" s="4" t="n">
        <x:f>IFERROR(C17/B17,0)</x:f>
        <x:v>0.7859075400817784</x:v>
      </x:c>
      <x:c r="F17" t="n">
        <x:f>COUNTIF('03_BASE_FIABILISEE'!$K$2:$K$1001,A17)</x:f>
        <x:v>32</x:v>
      </x:c>
      <x:c r="G17" t="n">
        <x:f>COUNTIFS('03_BASE_FIABILISEE'!$K$2:$K$1001,A17,'03_BASE_FIABILISEE'!$M$2:$M$1001,"Payée")</x:f>
        <x:v>22</x:v>
      </x:c>
      <x:c r="H17" t="n">
        <x:f>COUNTIFS('03_BASE_FIABILISEE'!$K$2:$K$1001,A17,'03_BASE_FIABILISEE'!$M$2:$M$1001,"Partielle")</x:f>
        <x:v>5</x:v>
      </x:c>
      <x:c r="I17" t="n">
        <x:f>COUNTIFS('03_BASE_FIABILISEE'!$K$2:$K$1001,A17,'03_BASE_FIABILISEE'!$M$2:$M$1001,"Impayée")</x:f>
        <x:v>5</x:v>
      </x:c>
      <x:c r="J17" s="22" t="n">
        <x:f>IFERROR(SUMIFS('03_BASE_FIABILISEE'!$N$2:$N$1001,'03_BASE_FIABILISEE'!$K$2:$K$1001,A17)/COUNTIFS('03_BASE_FIABILISEE'!$K$2:$K$1001,A17,'03_BASE_FIABILISEE'!$N$2:$N$1001,"&gt;0"),0)</x:f>
        <x:v>60.22222222222222</x:v>
      </x:c>
    </x:row>
    <x:row r="18">
      <x:c r="A18" s="20" t="n">
        <x:v>45778</x:v>
      </x:c>
      <x:c r="B18" s="2" t="n">
        <x:f>SUMIFS('03_BASE_FIABILISEE'!$F$2:$F$1001,'03_BASE_FIABILISEE'!$K$2:$K$1001,A18)</x:f>
        <x:v>316071.8299999999</x:v>
      </x:c>
      <x:c r="C18" s="2" t="n">
        <x:f>SUMIFS('03_BASE_FIABILISEE'!$G$2:$G$1001,'03_BASE_FIABILISEE'!$K$2:$K$1001,A18)</x:f>
        <x:v>303707.39999999997</x:v>
      </x:c>
      <x:c r="D18" s="2" t="n">
        <x:f>B18-C18</x:f>
        <x:v>12364.429999999935</x:v>
      </x:c>
      <x:c r="E18" s="4" t="n">
        <x:f>IFERROR(C18/B18,0)</x:f>
        <x:v>0.9608809491184331</x:v>
      </x:c>
      <x:c r="F18" t="n">
        <x:f>COUNTIF('03_BASE_FIABILISEE'!$K$2:$K$1001,A18)</x:f>
        <x:v>23</x:v>
      </x:c>
      <x:c r="G18" t="n">
        <x:f>COUNTIFS('03_BASE_FIABILISEE'!$K$2:$K$1001,A18,'03_BASE_FIABILISEE'!$M$2:$M$1001,"Payée")</x:f>
        <x:v>19</x:v>
      </x:c>
      <x:c r="H18" t="n">
        <x:f>COUNTIFS('03_BASE_FIABILISEE'!$K$2:$K$1001,A18,'03_BASE_FIABILISEE'!$M$2:$M$1001,"Partielle")</x:f>
        <x:v>4</x:v>
      </x:c>
      <x:c r="I18" t="n">
        <x:f>COUNTIFS('03_BASE_FIABILISEE'!$K$2:$K$1001,A18,'03_BASE_FIABILISEE'!$M$2:$M$1001,"Impayée")</x:f>
        <x:v>0</x:v>
      </x:c>
      <x:c r="J18" s="22" t="n">
        <x:f>IFERROR(SUMIFS('03_BASE_FIABILISEE'!$N$2:$N$1001,'03_BASE_FIABILISEE'!$K$2:$K$1001,A18)/COUNTIFS('03_BASE_FIABILISEE'!$K$2:$K$1001,A18,'03_BASE_FIABILISEE'!$N$2:$N$1001,"&gt;0"),0)</x:f>
        <x:v>48.130434782608695</x:v>
      </x:c>
    </x:row>
    <x:row r="19">
      <x:c r="A19" s="20" t="n">
        <x:v>45809</x:v>
      </x:c>
      <x:c r="B19" s="2" t="n">
        <x:f>SUMIFS('03_BASE_FIABILISEE'!$F$2:$F$1001,'03_BASE_FIABILISEE'!$K$2:$K$1001,A19)</x:f>
        <x:v>317968.55000000005</x:v>
      </x:c>
      <x:c r="C19" s="2" t="n">
        <x:f>SUMIFS('03_BASE_FIABILISEE'!$G$2:$G$1001,'03_BASE_FIABILISEE'!$K$2:$K$1001,A19)</x:f>
        <x:v>258265.71000000002</x:v>
      </x:c>
      <x:c r="D19" s="2" t="n">
        <x:f>B19-C19</x:f>
        <x:v>59702.840000000026</x:v>
      </x:c>
      <x:c r="E19" s="4" t="n">
        <x:f>IFERROR(C19/B19,0)</x:f>
        <x:v>0.8122366504486056</x:v>
      </x:c>
      <x:c r="F19" t="n">
        <x:f>COUNTIF('03_BASE_FIABILISEE'!$K$2:$K$1001,A19)</x:f>
        <x:v>25</x:v>
      </x:c>
      <x:c r="G19" t="n">
        <x:f>COUNTIFS('03_BASE_FIABILISEE'!$K$2:$K$1001,A19,'03_BASE_FIABILISEE'!$M$2:$M$1001,"Payée")</x:f>
        <x:v>16</x:v>
      </x:c>
      <x:c r="H19" t="n">
        <x:f>COUNTIFS('03_BASE_FIABILISEE'!$K$2:$K$1001,A19,'03_BASE_FIABILISEE'!$M$2:$M$1001,"Partielle")</x:f>
        <x:v>4</x:v>
      </x:c>
      <x:c r="I19" t="n">
        <x:f>COUNTIFS('03_BASE_FIABILISEE'!$K$2:$K$1001,A19,'03_BASE_FIABILISEE'!$M$2:$M$1001,"Impayée")</x:f>
        <x:v>5</x:v>
      </x:c>
      <x:c r="J19" s="22" t="n">
        <x:f>IFERROR(SUMIFS('03_BASE_FIABILISEE'!$N$2:$N$1001,'03_BASE_FIABILISEE'!$K$2:$K$1001,A19)/COUNTIFS('03_BASE_FIABILISEE'!$K$2:$K$1001,A19,'03_BASE_FIABILISEE'!$N$2:$N$1001,"&gt;0"),0)</x:f>
        <x:v>49.45</x:v>
      </x:c>
    </x:row>
    <x:row r="20">
      <x:c r="A20" s="20" t="n">
        <x:v>45839</x:v>
      </x:c>
      <x:c r="B20" s="2" t="n">
        <x:f>SUMIFS('03_BASE_FIABILISEE'!$F$2:$F$1001,'03_BASE_FIABILISEE'!$K$2:$K$1001,A20)</x:f>
        <x:v>372580.7800000001</x:v>
      </x:c>
      <x:c r="C20" s="2" t="n">
        <x:f>SUMIFS('03_BASE_FIABILISEE'!$G$2:$G$1001,'03_BASE_FIABILISEE'!$K$2:$K$1001,A20)</x:f>
        <x:v>305299.80000000005</x:v>
      </x:c>
      <x:c r="D20" s="2" t="n">
        <x:f>B20-C20</x:f>
        <x:v>67280.98000000004</x:v>
      </x:c>
      <x:c r="E20" s="4" t="n">
        <x:f>IFERROR(C20/B20,0)</x:f>
        <x:v>0.8194190800717095</x:v>
      </x:c>
      <x:c r="F20" t="n">
        <x:f>COUNTIF('03_BASE_FIABILISEE'!$K$2:$K$1001,A20)</x:f>
        <x:v>32</x:v>
      </x:c>
      <x:c r="G20" t="n">
        <x:f>COUNTIFS('03_BASE_FIABILISEE'!$K$2:$K$1001,A20,'03_BASE_FIABILISEE'!$M$2:$M$1001,"Payée")</x:f>
        <x:v>24</x:v>
      </x:c>
      <x:c r="H20" t="n">
        <x:f>COUNTIFS('03_BASE_FIABILISEE'!$K$2:$K$1001,A20,'03_BASE_FIABILISEE'!$M$2:$M$1001,"Partielle")</x:f>
        <x:v>7</x:v>
      </x:c>
      <x:c r="I20" t="n">
        <x:f>COUNTIFS('03_BASE_FIABILISEE'!$K$2:$K$1001,A20,'03_BASE_FIABILISEE'!$M$2:$M$1001,"Impayée")</x:f>
        <x:v>1</x:v>
      </x:c>
      <x:c r="J20" s="22" t="n">
        <x:f>IFERROR(SUMIFS('03_BASE_FIABILISEE'!$N$2:$N$1001,'03_BASE_FIABILISEE'!$K$2:$K$1001,A20)/COUNTIFS('03_BASE_FIABILISEE'!$K$2:$K$1001,A20,'03_BASE_FIABILISEE'!$N$2:$N$1001,"&gt;0"),0)</x:f>
        <x:v>41.16129032258065</x:v>
      </x:c>
    </x:row>
    <x:row r="21">
      <x:c r="A21" s="20" t="n">
        <x:v>45870</x:v>
      </x:c>
      <x:c r="B21" s="2" t="n">
        <x:f>SUMIFS('03_BASE_FIABILISEE'!$F$2:$F$1001,'03_BASE_FIABILISEE'!$K$2:$K$1001,A21)</x:f>
        <x:v>242907.27</x:v>
      </x:c>
      <x:c r="C21" s="2" t="n">
        <x:f>SUMIFS('03_BASE_FIABILISEE'!$G$2:$G$1001,'03_BASE_FIABILISEE'!$K$2:$K$1001,A21)</x:f>
        <x:v>223266.73999999996</x:v>
      </x:c>
      <x:c r="D21" s="2" t="n">
        <x:f>B21-C21</x:f>
        <x:v>19640.530000000028</x:v>
      </x:c>
      <x:c r="E21" s="4" t="n">
        <x:f>IFERROR(C21/B21,0)</x:f>
        <x:v>0.9191439185825931</x:v>
      </x:c>
      <x:c r="F21" t="n">
        <x:f>COUNTIF('03_BASE_FIABILISEE'!$K$2:$K$1001,A21)</x:f>
        <x:v>20</x:v>
      </x:c>
      <x:c r="G21" t="n">
        <x:f>COUNTIFS('03_BASE_FIABILISEE'!$K$2:$K$1001,A21,'03_BASE_FIABILISEE'!$M$2:$M$1001,"Payée")</x:f>
        <x:v>17</x:v>
      </x:c>
      <x:c r="H21" t="n">
        <x:f>COUNTIFS('03_BASE_FIABILISEE'!$K$2:$K$1001,A21,'03_BASE_FIABILISEE'!$M$2:$M$1001,"Partielle")</x:f>
        <x:v>2</x:v>
      </x:c>
      <x:c r="I21" t="n">
        <x:f>COUNTIFS('03_BASE_FIABILISEE'!$K$2:$K$1001,A21,'03_BASE_FIABILISEE'!$M$2:$M$1001,"Impayée")</x:f>
        <x:v>1</x:v>
      </x:c>
      <x:c r="J21" s="22" t="n">
        <x:f>IFERROR(SUMIFS('03_BASE_FIABILISEE'!$N$2:$N$1001,'03_BASE_FIABILISEE'!$K$2:$K$1001,A21)/COUNTIFS('03_BASE_FIABILISEE'!$K$2:$K$1001,A21,'03_BASE_FIABILISEE'!$N$2:$N$1001,"&gt;0"),0)</x:f>
        <x:v>42.526315789473685</x:v>
      </x:c>
    </x:row>
    <x:row r="22">
      <x:c r="A22" s="20" t="n">
        <x:v>45901</x:v>
      </x:c>
      <x:c r="B22" s="2" t="n">
        <x:f>SUMIFS('03_BASE_FIABILISEE'!$F$2:$F$1001,'03_BASE_FIABILISEE'!$K$2:$K$1001,A22)</x:f>
        <x:v>305054.63</x:v>
      </x:c>
      <x:c r="C22" s="2" t="n">
        <x:f>SUMIFS('03_BASE_FIABILISEE'!$G$2:$G$1001,'03_BASE_FIABILISEE'!$K$2:$K$1001,A22)</x:f>
        <x:v>238393.26000000004</x:v>
      </x:c>
      <x:c r="D22" s="2" t="n">
        <x:f>B22-C22</x:f>
        <x:v>66661.36999999997</x:v>
      </x:c>
      <x:c r="E22" s="4" t="n">
        <x:f>IFERROR(C22/B22,0)</x:f>
        <x:v>0.7814772717922689</x:v>
      </x:c>
      <x:c r="F22" t="n">
        <x:f>COUNTIF('03_BASE_FIABILISEE'!$K$2:$K$1001,A22)</x:f>
        <x:v>27</x:v>
      </x:c>
      <x:c r="G22" t="n">
        <x:f>COUNTIFS('03_BASE_FIABILISEE'!$K$2:$K$1001,A22,'03_BASE_FIABILISEE'!$M$2:$M$1001,"Payée")</x:f>
        <x:v>20</x:v>
      </x:c>
      <x:c r="H22" t="n">
        <x:f>COUNTIFS('03_BASE_FIABILISEE'!$K$2:$K$1001,A22,'03_BASE_FIABILISEE'!$M$2:$M$1001,"Partielle")</x:f>
        <x:v>4</x:v>
      </x:c>
      <x:c r="I22" t="n">
        <x:f>COUNTIFS('03_BASE_FIABILISEE'!$K$2:$K$1001,A22,'03_BASE_FIABILISEE'!$M$2:$M$1001,"Impayée")</x:f>
        <x:v>3</x:v>
      </x:c>
      <x:c r="J22" s="22" t="n">
        <x:f>IFERROR(SUMIFS('03_BASE_FIABILISEE'!$N$2:$N$1001,'03_BASE_FIABILISEE'!$K$2:$K$1001,A22)/COUNTIFS('03_BASE_FIABILISEE'!$K$2:$K$1001,A22,'03_BASE_FIABILISEE'!$N$2:$N$1001,"&gt;0"),0)</x:f>
        <x:v>43.458333333333336</x:v>
      </x:c>
    </x:row>
    <x:row r="23">
      <x:c r="A23" s="20" t="n">
        <x:v>45931</x:v>
      </x:c>
      <x:c r="B23" s="2" t="n">
        <x:f>SUMIFS('03_BASE_FIABILISEE'!$F$2:$F$1001,'03_BASE_FIABILISEE'!$K$2:$K$1001,A23)</x:f>
        <x:v>363493.3</x:v>
      </x:c>
      <x:c r="C23" s="2" t="n">
        <x:f>SUMIFS('03_BASE_FIABILISEE'!$G$2:$G$1001,'03_BASE_FIABILISEE'!$K$2:$K$1001,A23)</x:f>
        <x:v>309172.1</x:v>
      </x:c>
      <x:c r="D23" s="2" t="n">
        <x:f>B23-C23</x:f>
        <x:v>54321.20000000001</x:v>
      </x:c>
      <x:c r="E23" s="4" t="n">
        <x:f>IFERROR(C23/B23,0)</x:f>
        <x:v>0.8505579057440673</x:v>
      </x:c>
      <x:c r="F23" t="n">
        <x:f>COUNTIF('03_BASE_FIABILISEE'!$K$2:$K$1001,A23)</x:f>
        <x:v>32</x:v>
      </x:c>
      <x:c r="G23" t="n">
        <x:f>COUNTIFS('03_BASE_FIABILISEE'!$K$2:$K$1001,A23,'03_BASE_FIABILISEE'!$M$2:$M$1001,"Payée")</x:f>
        <x:v>22</x:v>
      </x:c>
      <x:c r="H23" t="n">
        <x:f>COUNTIFS('03_BASE_FIABILISEE'!$K$2:$K$1001,A23,'03_BASE_FIABILISEE'!$M$2:$M$1001,"Partielle")</x:f>
        <x:v>8</x:v>
      </x:c>
      <x:c r="I23" t="n">
        <x:f>COUNTIFS('03_BASE_FIABILISEE'!$K$2:$K$1001,A23,'03_BASE_FIABILISEE'!$M$2:$M$1001,"Impayée")</x:f>
        <x:v>2</x:v>
      </x:c>
      <x:c r="J23" s="22" t="n">
        <x:f>IFERROR(SUMIFS('03_BASE_FIABILISEE'!$N$2:$N$1001,'03_BASE_FIABILISEE'!$K$2:$K$1001,A23)/COUNTIFS('03_BASE_FIABILISEE'!$K$2:$K$1001,A23,'03_BASE_FIABILISEE'!$N$2:$N$1001,"&gt;0"),0)</x:f>
        <x:v>48.3</x:v>
      </x:c>
    </x:row>
    <x:row r="24">
      <x:c r="A24" s="20" t="n">
        <x:v>45962</x:v>
      </x:c>
      <x:c r="B24" s="2" t="n">
        <x:f>SUMIFS('03_BASE_FIABILISEE'!$F$2:$F$1001,'03_BASE_FIABILISEE'!$K$2:$K$1001,A24)</x:f>
        <x:v>422294.5799999999</x:v>
      </x:c>
      <x:c r="C24" s="2" t="n">
        <x:f>SUMIFS('03_BASE_FIABILISEE'!$G$2:$G$1001,'03_BASE_FIABILISEE'!$K$2:$K$1001,A24)</x:f>
        <x:v>381211.89999999997</x:v>
      </x:c>
      <x:c r="D24" s="2" t="n">
        <x:f>B24-C24</x:f>
        <x:v>41082.679999999935</x:v>
      </x:c>
      <x:c r="E24" s="4" t="n">
        <x:f>IFERROR(C24/B24,0)</x:f>
        <x:v>0.9027155877776126</x:v>
      </x:c>
      <x:c r="F24" t="n">
        <x:f>COUNTIF('03_BASE_FIABILISEE'!$K$2:$K$1001,A24)</x:f>
        <x:v>29</x:v>
      </x:c>
      <x:c r="G24" t="n">
        <x:f>COUNTIFS('03_BASE_FIABILISEE'!$K$2:$K$1001,A24,'03_BASE_FIABILISEE'!$M$2:$M$1001,"Payée")</x:f>
        <x:v>22</x:v>
      </x:c>
      <x:c r="H24" t="n">
        <x:f>COUNTIFS('03_BASE_FIABILISEE'!$K$2:$K$1001,A24,'03_BASE_FIABILISEE'!$M$2:$M$1001,"Partielle")</x:f>
        <x:v>5</x:v>
      </x:c>
      <x:c r="I24" t="n">
        <x:f>COUNTIFS('03_BASE_FIABILISEE'!$K$2:$K$1001,A24,'03_BASE_FIABILISEE'!$M$2:$M$1001,"Impayée")</x:f>
        <x:v>2</x:v>
      </x:c>
      <x:c r="J24" s="22" t="n">
        <x:f>IFERROR(SUMIFS('03_BASE_FIABILISEE'!$N$2:$N$1001,'03_BASE_FIABILISEE'!$K$2:$K$1001,A24)/COUNTIFS('03_BASE_FIABILISEE'!$K$2:$K$1001,A24,'03_BASE_FIABILISEE'!$N$2:$N$1001,"&gt;0"),0)</x:f>
        <x:v>46.629629629629626</x:v>
      </x:c>
    </x:row>
    <x:row r="25">
      <x:c r="A25" s="20" t="n">
        <x:v>45992</x:v>
      </x:c>
      <x:c r="B25" s="2" t="n">
        <x:f>SUMIFS('03_BASE_FIABILISEE'!$F$2:$F$1001,'03_BASE_FIABILISEE'!$K$2:$K$1001,A25)</x:f>
        <x:v>379658.02999999997</x:v>
      </x:c>
      <x:c r="C25" s="2" t="n">
        <x:f>SUMIFS('03_BASE_FIABILISEE'!$G$2:$G$1001,'03_BASE_FIABILISEE'!$K$2:$K$1001,A25)</x:f>
        <x:v>286815.01000000007</x:v>
      </x:c>
      <x:c r="D25" s="2" t="n">
        <x:f>B25-C25</x:f>
        <x:v>92843.0199999999</x:v>
      </x:c>
      <x:c r="E25" s="4" t="n">
        <x:f>IFERROR(C25/B25,0)</x:f>
        <x:v>0.7554561930377189</x:v>
      </x:c>
      <x:c r="F25" t="n">
        <x:f>COUNTIF('03_BASE_FIABILISEE'!$K$2:$K$1001,A25)</x:f>
        <x:v>25</x:v>
      </x:c>
      <x:c r="G25" t="n">
        <x:f>COUNTIFS('03_BASE_FIABILISEE'!$K$2:$K$1001,A25,'03_BASE_FIABILISEE'!$M$2:$M$1001,"Payée")</x:f>
        <x:v>17</x:v>
      </x:c>
      <x:c r="H25" t="n">
        <x:f>COUNTIFS('03_BASE_FIABILISEE'!$K$2:$K$1001,A25,'03_BASE_FIABILISEE'!$M$2:$M$1001,"Partielle")</x:f>
        <x:v>6</x:v>
      </x:c>
      <x:c r="I25" t="n">
        <x:f>COUNTIFS('03_BASE_FIABILISEE'!$K$2:$K$1001,A25,'03_BASE_FIABILISEE'!$M$2:$M$1001,"Impayée")</x:f>
        <x:v>2</x:v>
      </x:c>
      <x:c r="J25" s="22" t="n">
        <x:f>IFERROR(SUMIFS('03_BASE_FIABILISEE'!$N$2:$N$1001,'03_BASE_FIABILISEE'!$K$2:$K$1001,A25)/COUNTIFS('03_BASE_FIABILISEE'!$K$2:$K$1001,A25,'03_BASE_FIABILISEE'!$N$2:$N$1001,"&gt;0"),0)</x:f>
        <x:v>38.52173913043478</x:v>
      </x:c>
    </x:row>
    <x:row r="26">
      <x:c r="A26" s="20" t="n">
        <x:v>46023</x:v>
      </x:c>
      <x:c r="B26" s="2" t="n">
        <x:f>SUMIFS('03_BASE_FIABILISEE'!$F$2:$F$1001,'03_BASE_FIABILISEE'!$K$2:$K$1001,A26)</x:f>
        <x:v>394619.29</x:v>
      </x:c>
      <x:c r="C26" s="2" t="n">
        <x:f>SUMIFS('03_BASE_FIABILISEE'!$G$2:$G$1001,'03_BASE_FIABILISEE'!$K$2:$K$1001,A26)</x:f>
        <x:v>308288.17</x:v>
      </x:c>
      <x:c r="D26" s="2" t="n">
        <x:f>B26-C26</x:f>
        <x:v>86331.12</x:v>
      </x:c>
      <x:c r="E26" s="4" t="n">
        <x:f>IFERROR(C26/B26,0)</x:f>
        <x:v>0.7812293463910495</x:v>
      </x:c>
      <x:c r="F26" t="n">
        <x:f>COUNTIF('03_BASE_FIABILISEE'!$K$2:$K$1001,A26)</x:f>
        <x:v>28</x:v>
      </x:c>
      <x:c r="G26" t="n">
        <x:f>COUNTIFS('03_BASE_FIABILISEE'!$K$2:$K$1001,A26,'03_BASE_FIABILISEE'!$M$2:$M$1001,"Payée")</x:f>
        <x:v>23</x:v>
      </x:c>
      <x:c r="H26" t="n">
        <x:f>COUNTIFS('03_BASE_FIABILISEE'!$K$2:$K$1001,A26,'03_BASE_FIABILISEE'!$M$2:$M$1001,"Partielle")</x:f>
        <x:v>1</x:v>
      </x:c>
      <x:c r="I26" t="n">
        <x:f>COUNTIFS('03_BASE_FIABILISEE'!$K$2:$K$1001,A26,'03_BASE_FIABILISEE'!$M$2:$M$1001,"Impayée")</x:f>
        <x:v>4</x:v>
      </x:c>
      <x:c r="J26" s="22" t="n">
        <x:f>IFERROR(SUMIFS('03_BASE_FIABILISEE'!$N$2:$N$1001,'03_BASE_FIABILISEE'!$K$2:$K$1001,A26)/COUNTIFS('03_BASE_FIABILISEE'!$K$2:$K$1001,A26,'03_BASE_FIABILISEE'!$N$2:$N$1001,"&gt;0"),0)</x:f>
        <x:v>57.25</x:v>
      </x:c>
    </x:row>
    <x:row r="27">
      <x:c r="A27" s="20" t="n">
        <x:v>46054</x:v>
      </x:c>
      <x:c r="B27" s="2" t="n">
        <x:f>SUMIFS('03_BASE_FIABILISEE'!$F$2:$F$1001,'03_BASE_FIABILISEE'!$K$2:$K$1001,A27)</x:f>
        <x:v>349388.14999999997</x:v>
      </x:c>
      <x:c r="C27" s="2" t="n">
        <x:f>SUMIFS('03_BASE_FIABILISEE'!$G$2:$G$1001,'03_BASE_FIABILISEE'!$K$2:$K$1001,A27)</x:f>
        <x:v>281631.16</x:v>
      </x:c>
      <x:c r="D27" s="2" t="n">
        <x:f>B27-C27</x:f>
        <x:v>67756.98999999999</x:v>
      </x:c>
      <x:c r="E27" s="4" t="n">
        <x:f>IFERROR(C27/B27,0)</x:f>
        <x:v>0.8060695819248592</x:v>
      </x:c>
      <x:c r="F27" t="n">
        <x:f>COUNTIF('03_BASE_FIABILISEE'!$K$2:$K$1001,A27)</x:f>
        <x:v>26</x:v>
      </x:c>
      <x:c r="G27" t="n">
        <x:f>COUNTIFS('03_BASE_FIABILISEE'!$K$2:$K$1001,A27,'03_BASE_FIABILISEE'!$M$2:$M$1001,"Payée")</x:f>
        <x:v>20</x:v>
      </x:c>
      <x:c r="H27" t="n">
        <x:f>COUNTIFS('03_BASE_FIABILISEE'!$K$2:$K$1001,A27,'03_BASE_FIABILISEE'!$M$2:$M$1001,"Partielle")</x:f>
        <x:v>2</x:v>
      </x:c>
      <x:c r="I27" t="n">
        <x:f>COUNTIFS('03_BASE_FIABILISEE'!$K$2:$K$1001,A27,'03_BASE_FIABILISEE'!$M$2:$M$1001,"Impayée")</x:f>
        <x:v>4</x:v>
      </x:c>
      <x:c r="J27" s="22" t="n">
        <x:f>IFERROR(SUMIFS('03_BASE_FIABILISEE'!$N$2:$N$1001,'03_BASE_FIABILISEE'!$K$2:$K$1001,A27)/COUNTIFS('03_BASE_FIABILISEE'!$K$2:$K$1001,A27,'03_BASE_FIABILISEE'!$N$2:$N$1001,"&gt;0"),0)</x:f>
        <x:v>48.27272727272727</x:v>
      </x:c>
    </x:row>
    <x:row r="28">
      <x:c r="A28" s="20" t="n">
        <x:v>46082</x:v>
      </x:c>
      <x:c r="B28" s="2" t="n">
        <x:f>SUMIFS('03_BASE_FIABILISEE'!$F$2:$F$1001,'03_BASE_FIABILISEE'!$K$2:$K$1001,A28)</x:f>
        <x:v>432727.61000000004</x:v>
      </x:c>
      <x:c r="C28" s="2" t="n">
        <x:f>SUMIFS('03_BASE_FIABILISEE'!$G$2:$G$1001,'03_BASE_FIABILISEE'!$K$2:$K$1001,A28)</x:f>
        <x:v>362794.63999999996</x:v>
      </x:c>
      <x:c r="D28" s="2" t="n">
        <x:f>B28-C28</x:f>
        <x:v>69932.97000000009</x:v>
      </x:c>
      <x:c r="E28" s="4" t="n">
        <x:f>IFERROR(C28/B28,0)</x:f>
        <x:v>0.8383903213386359</x:v>
      </x:c>
      <x:c r="F28" t="n">
        <x:f>COUNTIF('03_BASE_FIABILISEE'!$K$2:$K$1001,A28)</x:f>
        <x:v>30</x:v>
      </x:c>
      <x:c r="G28" t="n">
        <x:f>COUNTIFS('03_BASE_FIABILISEE'!$K$2:$K$1001,A28,'03_BASE_FIABILISEE'!$M$2:$M$1001,"Payée")</x:f>
        <x:v>22</x:v>
      </x:c>
      <x:c r="H28" t="n">
        <x:f>COUNTIFS('03_BASE_FIABILISEE'!$K$2:$K$1001,A28,'03_BASE_FIABILISEE'!$M$2:$M$1001,"Partielle")</x:f>
        <x:v>6</x:v>
      </x:c>
      <x:c r="I28" t="n">
        <x:f>COUNTIFS('03_BASE_FIABILISEE'!$K$2:$K$1001,A28,'03_BASE_FIABILISEE'!$M$2:$M$1001,"Impayée")</x:f>
        <x:v>2</x:v>
      </x:c>
      <x:c r="J28" s="22" t="n">
        <x:f>IFERROR(SUMIFS('03_BASE_FIABILISEE'!$N$2:$N$1001,'03_BASE_FIABILISEE'!$K$2:$K$1001,A28)/COUNTIFS('03_BASE_FIABILISEE'!$K$2:$K$1001,A28,'03_BASE_FIABILISEE'!$N$2:$N$1001,"&gt;0"),0)</x:f>
        <x:v>43.535714285714285</x:v>
      </x:c>
    </x:row>
    <x:row r="29">
      <x:c r="A29" s="20" t="n">
        <x:v>46113</x:v>
      </x:c>
      <x:c r="B29" s="2" t="n">
        <x:f>SUMIFS('03_BASE_FIABILISEE'!$F$2:$F$1001,'03_BASE_FIABILISEE'!$K$2:$K$1001,A29)</x:f>
        <x:v>400354.65</x:v>
      </x:c>
      <x:c r="C29" s="2" t="n">
        <x:f>SUMIFS('03_BASE_FIABILISEE'!$G$2:$G$1001,'03_BASE_FIABILISEE'!$K$2:$K$1001,A29)</x:f>
        <x:v>337137.55</x:v>
      </x:c>
      <x:c r="D29" s="2" t="n">
        <x:f>B29-C29</x:f>
        <x:v>63217.100000000035</x:v>
      </x:c>
      <x:c r="E29" s="4" t="n">
        <x:f>IFERROR(C29/B29,0)</x:f>
        <x:v>0.842097250525253</x:v>
      </x:c>
      <x:c r="F29" t="n">
        <x:f>COUNTIF('03_BASE_FIABILISEE'!$K$2:$K$1001,A29)</x:f>
        <x:v>29</x:v>
      </x:c>
      <x:c r="G29" t="n">
        <x:f>COUNTIFS('03_BASE_FIABILISEE'!$K$2:$K$1001,A29,'03_BASE_FIABILISEE'!$M$2:$M$1001,"Payée")</x:f>
        <x:v>22</x:v>
      </x:c>
      <x:c r="H29" t="n">
        <x:f>COUNTIFS('03_BASE_FIABILISEE'!$K$2:$K$1001,A29,'03_BASE_FIABILISEE'!$M$2:$M$1001,"Partielle")</x:f>
        <x:v>5</x:v>
      </x:c>
      <x:c r="I29" t="n">
        <x:f>COUNTIFS('03_BASE_FIABILISEE'!$K$2:$K$1001,A29,'03_BASE_FIABILISEE'!$M$2:$M$1001,"Impayée")</x:f>
        <x:v>2</x:v>
      </x:c>
      <x:c r="J29" s="22" t="n">
        <x:f>IFERROR(SUMIFS('03_BASE_FIABILISEE'!$N$2:$N$1001,'03_BASE_FIABILISEE'!$K$2:$K$1001,A29)/COUNTIFS('03_BASE_FIABILISEE'!$K$2:$K$1001,A29,'03_BASE_FIABILISEE'!$N$2:$N$1001,"&gt;0"),0)</x:f>
        <x:v>48.629629629629626</x:v>
      </x:c>
    </x:row>
    <x:row r="30">
      <x:c r="A30" s="20" t="n">
        <x:v>46143</x:v>
      </x:c>
      <x:c r="B30" s="2" t="n">
        <x:f>SUMIFS('03_BASE_FIABILISEE'!$F$2:$F$1001,'03_BASE_FIABILISEE'!$K$2:$K$1001,A30)</x:f>
        <x:v>394010.9000000001</x:v>
      </x:c>
      <x:c r="C30" s="2" t="n">
        <x:f>SUMIFS('03_BASE_FIABILISEE'!$G$2:$G$1001,'03_BASE_FIABILISEE'!$K$2:$K$1001,A30)</x:f>
        <x:v>346477.3400000001</x:v>
      </x:c>
      <x:c r="D30" s="2" t="n">
        <x:f>B30-C30</x:f>
        <x:v>47533.56</x:v>
      </x:c>
      <x:c r="E30" s="4" t="n">
        <x:f>IFERROR(C30/B30,0)</x:f>
        <x:v>0.8793597842090156</x:v>
      </x:c>
      <x:c r="F30" t="n">
        <x:f>COUNTIF('03_BASE_FIABILISEE'!$K$2:$K$1001,A30)</x:f>
        <x:v>29</x:v>
      </x:c>
      <x:c r="G30" t="n">
        <x:f>COUNTIFS('03_BASE_FIABILISEE'!$K$2:$K$1001,A30,'03_BASE_FIABILISEE'!$M$2:$M$1001,"Payée")</x:f>
        <x:v>20</x:v>
      </x:c>
      <x:c r="H30" t="n">
        <x:f>COUNTIFS('03_BASE_FIABILISEE'!$K$2:$K$1001,A30,'03_BASE_FIABILISEE'!$M$2:$M$1001,"Partielle")</x:f>
        <x:v>8</x:v>
      </x:c>
      <x:c r="I30" t="n">
        <x:f>COUNTIFS('03_BASE_FIABILISEE'!$K$2:$K$1001,A30,'03_BASE_FIABILISEE'!$M$2:$M$1001,"Impayée")</x:f>
        <x:v>1</x:v>
      </x:c>
      <x:c r="J30" s="22" t="n">
        <x:f>IFERROR(SUMIFS('03_BASE_FIABILISEE'!$N$2:$N$1001,'03_BASE_FIABILISEE'!$K$2:$K$1001,A30)/COUNTIFS('03_BASE_FIABILISEE'!$K$2:$K$1001,A30,'03_BASE_FIABILISEE'!$N$2:$N$1001,"&gt;0"),0)</x:f>
        <x:v>58.892857142857146</x:v>
      </x:c>
    </x:row>
    <x:row r="31">
      <x:c r="A31" s="20" t="n">
        <x:v>46174</x:v>
      </x:c>
      <x:c r="B31" s="2" t="n">
        <x:f>SUMIFS('03_BASE_FIABILISEE'!$F$2:$F$1001,'03_BASE_FIABILISEE'!$K$2:$K$1001,A31)</x:f>
        <x:v>421224.68000000005</x:v>
      </x:c>
      <x:c r="C31" s="2" t="n">
        <x:f>SUMIFS('03_BASE_FIABILISEE'!$G$2:$G$1001,'03_BASE_FIABILISEE'!$K$2:$K$1001,A31)</x:f>
        <x:v>336866.62999999995</x:v>
      </x:c>
      <x:c r="D31" s="2" t="n">
        <x:f>B31-C31</x:f>
        <x:v>84358.0500000001</x:v>
      </x:c>
      <x:c r="E31" s="4" t="n">
        <x:f>IFERROR(C31/B31,0)</x:f>
        <x:v>0.7997314639778464</x:v>
      </x:c>
      <x:c r="F31" t="n">
        <x:f>COUNTIF('03_BASE_FIABILISEE'!$K$2:$K$1001,A31)</x:f>
        <x:v>33</x:v>
      </x:c>
      <x:c r="G31" t="n">
        <x:f>COUNTIFS('03_BASE_FIABILISEE'!$K$2:$K$1001,A31,'03_BASE_FIABILISEE'!$M$2:$M$1001,"Payée")</x:f>
        <x:v>22</x:v>
      </x:c>
      <x:c r="H31" t="n">
        <x:f>COUNTIFS('03_BASE_FIABILISEE'!$K$2:$K$1001,A31,'03_BASE_FIABILISEE'!$M$2:$M$1001,"Partielle")</x:f>
        <x:v>9</x:v>
      </x:c>
      <x:c r="I31" t="n">
        <x:f>COUNTIFS('03_BASE_FIABILISEE'!$K$2:$K$1001,A31,'03_BASE_FIABILISEE'!$M$2:$M$1001,"Impayée")</x:f>
        <x:v>2</x:v>
      </x:c>
      <x:c r="J31" s="22" t="n">
        <x:f>IFERROR(SUMIFS('03_BASE_FIABILISEE'!$N$2:$N$1001,'03_BASE_FIABILISEE'!$K$2:$K$1001,A31)/COUNTIFS('03_BASE_FIABILISEE'!$K$2:$K$1001,A31,'03_BASE_FIABILISEE'!$N$2:$N$1001,"&gt;0"),0)</x:f>
        <x:v>47.903225806451616</x:v>
      </x:c>
    </x:row>
    <x:row r="32">
      <x:c r="A32" s="20" t="n">
        <x:v>46204</x:v>
      </x:c>
      <x:c r="B32" s="2" t="n">
        <x:f>SUMIFS('03_BASE_FIABILISEE'!$F$2:$F$1001,'03_BASE_FIABILISEE'!$K$2:$K$1001,A32)</x:f>
        <x:v>482715.83999999985</x:v>
      </x:c>
      <x:c r="C32" s="2" t="n">
        <x:f>SUMIFS('03_BASE_FIABILISEE'!$G$2:$G$1001,'03_BASE_FIABILISEE'!$K$2:$K$1001,A32)</x:f>
        <x:v>390018.1199999999</x:v>
      </x:c>
      <x:c r="D32" s="2" t="n">
        <x:f>B32-C32</x:f>
        <x:v>92697.71999999997</x:v>
      </x:c>
      <x:c r="E32" s="4" t="n">
        <x:f>IFERROR(C32/B32,0)</x:f>
        <x:v>0.8079662768058326</x:v>
      </x:c>
      <x:c r="F32" t="n">
        <x:f>COUNTIF('03_BASE_FIABILISEE'!$K$2:$K$1001,A32)</x:f>
        <x:v>39</x:v>
      </x:c>
      <x:c r="G32" t="n">
        <x:f>COUNTIFS('03_BASE_FIABILISEE'!$K$2:$K$1001,A32,'03_BASE_FIABILISEE'!$M$2:$M$1001,"Payée")</x:f>
        <x:v>29</x:v>
      </x:c>
      <x:c r="H32" t="n">
        <x:f>COUNTIFS('03_BASE_FIABILISEE'!$K$2:$K$1001,A32,'03_BASE_FIABILISEE'!$M$2:$M$1001,"Partielle")</x:f>
        <x:v>9</x:v>
      </x:c>
      <x:c r="I32" t="n">
        <x:f>COUNTIFS('03_BASE_FIABILISEE'!$K$2:$K$1001,A32,'03_BASE_FIABILISEE'!$M$2:$M$1001,"Impayée")</x:f>
        <x:v>1</x:v>
      </x:c>
      <x:c r="J32" s="22" t="n">
        <x:f>IFERROR(SUMIFS('03_BASE_FIABILISEE'!$N$2:$N$1001,'03_BASE_FIABILISEE'!$K$2:$K$1001,A32)/COUNTIFS('03_BASE_FIABILISEE'!$K$2:$K$1001,A32,'03_BASE_FIABILISEE'!$N$2:$N$1001,"&gt;0"),0)</x:f>
        <x:v>47.10526315789474</x:v>
      </x:c>
    </x:row>
    <x:row r="33">
      <x:c r="A33" s="20" t="n">
        <x:v>46235</x:v>
      </x:c>
      <x:c r="B33" s="2" t="n">
        <x:f>SUMIFS('03_BASE_FIABILISEE'!$F$2:$F$1001,'03_BASE_FIABILISEE'!$K$2:$K$1001,A33)</x:f>
        <x:v>484780.0800000001</x:v>
      </x:c>
      <x:c r="C33" s="2" t="n">
        <x:f>SUMIFS('03_BASE_FIABILISEE'!$G$2:$G$1001,'03_BASE_FIABILISEE'!$K$2:$K$1001,A33)</x:f>
        <x:v>397469.7</x:v>
      </x:c>
      <x:c r="D33" s="2" t="n">
        <x:f>B33-C33</x:f>
        <x:v>87310.38000000006</x:v>
      </x:c>
      <x:c r="E33" s="4" t="n">
        <x:f>IFERROR(C33/B33,0)</x:f>
        <x:v>0.8198969314085677</x:v>
      </x:c>
      <x:c r="F33" t="n">
        <x:f>COUNTIF('03_BASE_FIABILISEE'!$K$2:$K$1001,A33)</x:f>
        <x:v>40</x:v>
      </x:c>
      <x:c r="G33" t="n">
        <x:f>COUNTIFS('03_BASE_FIABILISEE'!$K$2:$K$1001,A33,'03_BASE_FIABILISEE'!$M$2:$M$1001,"Payée")</x:f>
        <x:v>31</x:v>
      </x:c>
      <x:c r="H33" t="n">
        <x:f>COUNTIFS('03_BASE_FIABILISEE'!$K$2:$K$1001,A33,'03_BASE_FIABILISEE'!$M$2:$M$1001,"Partielle")</x:f>
        <x:v>3</x:v>
      </x:c>
      <x:c r="I33" t="n">
        <x:f>COUNTIFS('03_BASE_FIABILISEE'!$K$2:$K$1001,A33,'03_BASE_FIABILISEE'!$M$2:$M$1001,"Impayée")</x:f>
        <x:v>6</x:v>
      </x:c>
      <x:c r="J33" s="22" t="n">
        <x:f>IFERROR(SUMIFS('03_BASE_FIABILISEE'!$N$2:$N$1001,'03_BASE_FIABILISEE'!$K$2:$K$1001,A33)/COUNTIFS('03_BASE_FIABILISEE'!$K$2:$K$1001,A33,'03_BASE_FIABILISEE'!$N$2:$N$1001,"&gt;0"),0)</x:f>
        <x:v>52.44117647058823</x:v>
      </x:c>
    </x:row>
    <x:row r="34">
      <x:c r="A34" s="20" t="n">
        <x:v>46266</x:v>
      </x:c>
      <x:c r="B34" s="2" t="n">
        <x:f>SUMIFS('03_BASE_FIABILISEE'!$F$2:$F$1001,'03_BASE_FIABILISEE'!$K$2:$K$1001,A34)</x:f>
        <x:v>256500.35</x:v>
      </x:c>
      <x:c r="C34" s="2" t="n">
        <x:f>SUMIFS('03_BASE_FIABILISEE'!$G$2:$G$1001,'03_BASE_FIABILISEE'!$K$2:$K$1001,A34)</x:f>
        <x:v>203827.50999999998</x:v>
      </x:c>
      <x:c r="D34" s="2" t="n">
        <x:f>B34-C34</x:f>
        <x:v>52672.840000000026</x:v>
      </x:c>
      <x:c r="E34" s="4" t="n">
        <x:f>IFERROR(C34/B34,0)</x:f>
        <x:v>0.7946480774782567</x:v>
      </x:c>
      <x:c r="F34" t="n">
        <x:f>COUNTIF('03_BASE_FIABILISEE'!$K$2:$K$1001,A34)</x:f>
        <x:v>18</x:v>
      </x:c>
      <x:c r="G34" t="n">
        <x:f>COUNTIFS('03_BASE_FIABILISEE'!$K$2:$K$1001,A34,'03_BASE_FIABILISEE'!$M$2:$M$1001,"Payée")</x:f>
        <x:v>14</x:v>
      </x:c>
      <x:c r="H34" t="n">
        <x:f>COUNTIFS('03_BASE_FIABILISEE'!$K$2:$K$1001,A34,'03_BASE_FIABILISEE'!$M$2:$M$1001,"Partielle")</x:f>
        <x:v>3</x:v>
      </x:c>
      <x:c r="I34" t="n">
        <x:f>COUNTIFS('03_BASE_FIABILISEE'!$K$2:$K$1001,A34,'03_BASE_FIABILISEE'!$M$2:$M$1001,"Impayée")</x:f>
        <x:v>1</x:v>
      </x:c>
      <x:c r="J34" s="22" t="n">
        <x:f>IFERROR(SUMIFS('03_BASE_FIABILISEE'!$N$2:$N$1001,'03_BASE_FIABILISEE'!$K$2:$K$1001,A34)/COUNTIFS('03_BASE_FIABILISEE'!$K$2:$K$1001,A34,'03_BASE_FIABILISEE'!$N$2:$N$1001,"&gt;0"),0)</x:f>
        <x:v>47.1764705882353</x:v>
      </x:c>
    </x:row>
  </x:sheetData>
  <x:pageMargins left="0.7" right="0.7" top="0.75" bottom="0.75" header="0.3" footer="0.3"/>
  <x:tableParts count="1">
    <x:tablePart xmlns:r="http://schemas.openxmlformats.org/officeDocument/2006/relationships" r:id="R92c152b8768b4891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7.5" hidden="0" customWidth="1"/>
    <x:col min="2" max="2" width="12.630000114440918" hidden="0" customWidth="1"/>
    <x:col min="3" max="3" width="10.130000114440918" hidden="0" customWidth="1"/>
    <x:col min="4" max="4" width="8.75" hidden="0" customWidth="1"/>
    <x:col min="5" max="5" width="9.380000114440918" hidden="0" customWidth="1"/>
    <x:col min="6" max="6" width="9.880000114440918" hidden="0" customWidth="1"/>
    <x:col min="7" max="7" width="17.3799991607666" hidden="0" customWidth="1"/>
    <x:col min="8" max="8" width="15" hidden="0" customWidth="1"/>
    <x:col min="9" max="9" width="10.380000114440918" hidden="0" customWidth="1"/>
    <x:col min="10" max="10" width="10.130000114440918" hidden="0" customWidth="1"/>
  </x:cols>
  <x:sheetData>
    <x:row r="1" ht="28" customHeight="1">
      <x:c r="A1" s="11" t="str">
        <x:v>Client</x:v>
      </x:c>
      <x:c r="B1" s="11" t="str">
        <x:v>Segment</x:v>
      </x:c>
      <x:c r="C1" s="11" t="str">
        <x:v>Zone</x:v>
      </x:c>
      <x:c r="D1" s="11" t="str">
        <x:v>Facturé</x:v>
      </x:c>
      <x:c r="E1" s="11" t="str">
        <x:v>Encaissé</x:v>
      </x:c>
      <x:c r="F1" s="11" t="str">
        <x:v>Créances</x:v>
      </x:c>
      <x:c r="G1" s="11" t="str">
        <x:v>Taux encaissement</x:v>
      </x:c>
      <x:c r="H1" s="11" t="str">
        <x:v>Nb transactions</x:v>
      </x:c>
      <x:c r="I1" s="11" t="str">
        <x:v>Impayées</x:v>
      </x:c>
      <x:c r="J1" s="11" t="str">
        <x:v>Partielles</x:v>
      </x:c>
    </x:row>
    <x:row r="2">
      <x:c r="A2" t="str">
        <x:v>Client 01</x:v>
      </x:c>
      <x:c r="B2" t="str">
        <x:f>INDEX('02_REFERENTIEL_CLIENTS'!$B$2:$B$51,MATCH(A2,'02_REFERENTIEL_CLIENTS'!$A$2:$A$51,0))</x:f>
        <x:v>Grands comptes</x:v>
      </x:c>
      <x:c r="C2" t="str">
        <x:f>INDEX('02_REFERENTIEL_CLIENTS'!$C$2:$C$51,MATCH(A2,'02_REFERENTIEL_CLIENTS'!$A$2:$A$51,0))</x:f>
        <x:v>France</x:v>
      </x:c>
      <x:c r="D2" s="2" t="n">
        <x:f>SUMIF('03_BASE_FIABILISEE'!$C$2:$C$1001,A2,'03_BASE_FIABILISEE'!$F$2:$F$1001)</x:f>
        <x:v>246013.28000000003</x:v>
      </x:c>
      <x:c r="E2" s="2" t="n">
        <x:f>SUMIF('03_BASE_FIABILISEE'!$C$2:$C$1001,A2,'03_BASE_FIABILISEE'!$G$2:$G$1001)</x:f>
        <x:v>190488.65999999997</x:v>
      </x:c>
      <x:c r="F2" s="2" t="n">
        <x:f>D2-E2</x:f>
        <x:v>55524.62000000005</x:v>
      </x:c>
      <x:c r="G2" s="4" t="n">
        <x:f>IFERROR(E2/D2,0)</x:f>
        <x:v>0.7743023466050286</x:v>
      </x:c>
      <x:c r="H2" t="n">
        <x:f>COUNTIF('03_BASE_FIABILISEE'!$C$2:$C$1001,A2)</x:f>
        <x:v>15</x:v>
      </x:c>
      <x:c r="I2" t="n">
        <x:f>COUNTIFS('03_BASE_FIABILISEE'!$C$2:$C$1001,A2,'03_BASE_FIABILISEE'!$M$2:$M$1001,"Impayée")</x:f>
        <x:v>3</x:v>
      </x:c>
      <x:c r="J2" t="n">
        <x:f>COUNTIFS('03_BASE_FIABILISEE'!$C$2:$C$1001,A2,'03_BASE_FIABILISEE'!$M$2:$M$1001,"Partielle")</x:f>
        <x:v>4</x:v>
      </x:c>
    </x:row>
    <x:row r="3">
      <x:c r="A3" t="str">
        <x:v>Client 02</x:v>
      </x:c>
      <x:c r="B3" t="str">
        <x:f>INDEX('02_REFERENTIEL_CLIENTS'!$B$2:$B$51,MATCH(A3,'02_REFERENTIEL_CLIENTS'!$A$2:$A$51,0))</x:f>
        <x:v>PME</x:v>
      </x:c>
      <x:c r="C3" t="str">
        <x:f>INDEX('02_REFERENTIEL_CLIENTS'!$C$2:$C$51,MATCH(A3,'02_REFERENTIEL_CLIENTS'!$A$2:$A$51,0))</x:f>
        <x:v>Europe</x:v>
      </x:c>
      <x:c r="D3" s="2" t="n">
        <x:f>SUMIF('03_BASE_FIABILISEE'!$C$2:$C$1001,A3,'03_BASE_FIABILISEE'!$F$2:$F$1001)</x:f>
        <x:v>201846.19</x:v>
      </x:c>
      <x:c r="E3" s="2" t="n">
        <x:f>SUMIF('03_BASE_FIABILISEE'!$C$2:$C$1001,A3,'03_BASE_FIABILISEE'!$G$2:$G$1001)</x:f>
        <x:v>174028.78</x:v>
      </x:c>
      <x:c r="F3" s="2" t="n">
        <x:f>D3-E3</x:f>
        <x:v>27817.410000000003</x:v>
      </x:c>
      <x:c r="G3" s="4" t="n">
        <x:f>IFERROR(E3/D3,0)</x:f>
        <x:v>0.8621851123372702</x:v>
      </x:c>
      <x:c r="H3" t="n">
        <x:f>COUNTIF('03_BASE_FIABILISEE'!$C$2:$C$1001,A3)</x:f>
        <x:v>16</x:v>
      </x:c>
      <x:c r="I3" t="n">
        <x:f>COUNTIFS('03_BASE_FIABILISEE'!$C$2:$C$1001,A3,'03_BASE_FIABILISEE'!$M$2:$M$1001,"Impayée")</x:f>
        <x:v>0</x:v>
      </x:c>
      <x:c r="J3" t="n">
        <x:f>COUNTIFS('03_BASE_FIABILISEE'!$C$2:$C$1001,A3,'03_BASE_FIABILISEE'!$M$2:$M$1001,"Partielle")</x:f>
        <x:v>5</x:v>
      </x:c>
    </x:row>
    <x:row r="4">
      <x:c r="A4" t="str">
        <x:v>Client 03</x:v>
      </x:c>
      <x:c r="B4" t="str">
        <x:f>INDEX('02_REFERENTIEL_CLIENTS'!$B$2:$B$51,MATCH(A4,'02_REFERENTIEL_CLIENTS'!$A$2:$A$51,0))</x:f>
        <x:v>Particuliers</x:v>
      </x:c>
      <x:c r="C4" t="str">
        <x:f>INDEX('02_REFERENTIEL_CLIENTS'!$C$2:$C$51,MATCH(A4,'02_REFERENTIEL_CLIENTS'!$A$2:$A$51,0))</x:f>
        <x:v>International</x:v>
      </x:c>
      <x:c r="D4" s="2" t="n">
        <x:f>SUMIF('03_BASE_FIABILISEE'!$C$2:$C$1001,A4,'03_BASE_FIABILISEE'!$F$2:$F$1001)</x:f>
        <x:v>220150.54000000004</x:v>
      </x:c>
      <x:c r="E4" s="2" t="n">
        <x:f>SUMIF('03_BASE_FIABILISEE'!$C$2:$C$1001,A4,'03_BASE_FIABILISEE'!$G$2:$G$1001)</x:f>
        <x:v>173968.06000000003</x:v>
      </x:c>
      <x:c r="F4" s="2" t="n">
        <x:f>D4-E4</x:f>
        <x:v>46182.48000000001</x:v>
      </x:c>
      <x:c r="G4" s="4" t="n">
        <x:f>IFERROR(E4/D4,0)</x:f>
        <x:v>0.790223180919747</x:v>
      </x:c>
      <x:c r="H4" t="n">
        <x:f>COUNTIF('03_BASE_FIABILISEE'!$C$2:$C$1001,A4)</x:f>
        <x:v>23</x:v>
      </x:c>
      <x:c r="I4" t="n">
        <x:f>COUNTIFS('03_BASE_FIABILISEE'!$C$2:$C$1001,A4,'03_BASE_FIABILISEE'!$M$2:$M$1001,"Impayée")</x:f>
        <x:v>0</x:v>
      </x:c>
      <x:c r="J4" t="n">
        <x:f>COUNTIFS('03_BASE_FIABILISEE'!$C$2:$C$1001,A4,'03_BASE_FIABILISEE'!$M$2:$M$1001,"Partielle")</x:f>
        <x:v>6</x:v>
      </x:c>
    </x:row>
    <x:row r="5">
      <x:c r="A5" t="str">
        <x:v>Client 04</x:v>
      </x:c>
      <x:c r="B5" t="str">
        <x:f>INDEX('02_REFERENTIEL_CLIENTS'!$B$2:$B$51,MATCH(A5,'02_REFERENTIEL_CLIENTS'!$A$2:$A$51,0))</x:f>
        <x:v>Grands comptes</x:v>
      </x:c>
      <x:c r="C5" t="str">
        <x:f>INDEX('02_REFERENTIEL_CLIENTS'!$C$2:$C$51,MATCH(A5,'02_REFERENTIEL_CLIENTS'!$A$2:$A$51,0))</x:f>
        <x:v>France</x:v>
      </x:c>
      <x:c r="D5" s="2" t="n">
        <x:f>SUMIF('03_BASE_FIABILISEE'!$C$2:$C$1001,A5,'03_BASE_FIABILISEE'!$F$2:$F$1001)</x:f>
        <x:v>242548.90999999997</x:v>
      </x:c>
      <x:c r="E5" s="2" t="n">
        <x:f>SUMIF('03_BASE_FIABILISEE'!$C$2:$C$1001,A5,'03_BASE_FIABILISEE'!$G$2:$G$1001)</x:f>
        <x:v>191021.38</x:v>
      </x:c>
      <x:c r="F5" s="2" t="n">
        <x:f>D5-E5</x:f>
        <x:v>51527.52999999997</x:v>
      </x:c>
      <x:c r="G5" s="4" t="n">
        <x:f>IFERROR(E5/D5,0)</x:f>
        <x:v>0.7875581877486072</x:v>
      </x:c>
      <x:c r="H5" t="n">
        <x:f>COUNTIF('03_BASE_FIABILISEE'!$C$2:$C$1001,A5)</x:f>
        <x:v>20</x:v>
      </x:c>
      <x:c r="I5" t="n">
        <x:f>COUNTIFS('03_BASE_FIABILISEE'!$C$2:$C$1001,A5,'03_BASE_FIABILISEE'!$M$2:$M$1001,"Impayée")</x:f>
        <x:v>2</x:v>
      </x:c>
      <x:c r="J5" t="n">
        <x:f>COUNTIFS('03_BASE_FIABILISEE'!$C$2:$C$1001,A5,'03_BASE_FIABILISEE'!$M$2:$M$1001,"Partielle")</x:f>
        <x:v>4</x:v>
      </x:c>
    </x:row>
    <x:row r="6">
      <x:c r="A6" t="str">
        <x:v>Client 05</x:v>
      </x:c>
      <x:c r="B6" t="str">
        <x:f>INDEX('02_REFERENTIEL_CLIENTS'!$B$2:$B$51,MATCH(A6,'02_REFERENTIEL_CLIENTS'!$A$2:$A$51,0))</x:f>
        <x:v>PME</x:v>
      </x:c>
      <x:c r="C6" t="str">
        <x:f>INDEX('02_REFERENTIEL_CLIENTS'!$C$2:$C$51,MATCH(A6,'02_REFERENTIEL_CLIENTS'!$A$2:$A$51,0))</x:f>
        <x:v>Europe</x:v>
      </x:c>
      <x:c r="D6" s="2" t="n">
        <x:f>SUMIF('03_BASE_FIABILISEE'!$C$2:$C$1001,A6,'03_BASE_FIABILISEE'!$F$2:$F$1001)</x:f>
        <x:v>229406.44000000003</x:v>
      </x:c>
      <x:c r="E6" s="2" t="n">
        <x:f>SUMIF('03_BASE_FIABILISEE'!$C$2:$C$1001,A6,'03_BASE_FIABILISEE'!$G$2:$G$1001)</x:f>
        <x:v>201277.75000000003</x:v>
      </x:c>
      <x:c r="F6" s="2" t="n">
        <x:f>D6-E6</x:f>
        <x:v>28128.690000000002</x:v>
      </x:c>
      <x:c r="G6" s="4" t="n">
        <x:f>IFERROR(E6/D6,0)</x:f>
        <x:v>0.8773849156109131</x:v>
      </x:c>
      <x:c r="H6" t="n">
        <x:f>COUNTIF('03_BASE_FIABILISEE'!$C$2:$C$1001,A6)</x:f>
        <x:v>19</x:v>
      </x:c>
      <x:c r="I6" t="n">
        <x:f>COUNTIFS('03_BASE_FIABILISEE'!$C$2:$C$1001,A6,'03_BASE_FIABILISEE'!$M$2:$M$1001,"Impayée")</x:f>
        <x:v>1</x:v>
      </x:c>
      <x:c r="J6" t="n">
        <x:f>COUNTIFS('03_BASE_FIABILISEE'!$C$2:$C$1001,A6,'03_BASE_FIABILISEE'!$M$2:$M$1001,"Partielle")</x:f>
        <x:v>5</x:v>
      </x:c>
    </x:row>
    <x:row r="7">
      <x:c r="A7" t="str">
        <x:v>Client 06</x:v>
      </x:c>
      <x:c r="B7" t="str">
        <x:f>INDEX('02_REFERENTIEL_CLIENTS'!$B$2:$B$51,MATCH(A7,'02_REFERENTIEL_CLIENTS'!$A$2:$A$51,0))</x:f>
        <x:v>Particuliers</x:v>
      </x:c>
      <x:c r="C7" t="str">
        <x:f>INDEX('02_REFERENTIEL_CLIENTS'!$C$2:$C$51,MATCH(A7,'02_REFERENTIEL_CLIENTS'!$A$2:$A$51,0))</x:f>
        <x:v>International</x:v>
      </x:c>
      <x:c r="D7" s="2" t="n">
        <x:f>SUMIF('03_BASE_FIABILISEE'!$C$2:$C$1001,A7,'03_BASE_FIABILISEE'!$F$2:$F$1001)</x:f>
        <x:v>290691.38999999996</x:v>
      </x:c>
      <x:c r="E7" s="2" t="n">
        <x:f>SUMIF('03_BASE_FIABILISEE'!$C$2:$C$1001,A7,'03_BASE_FIABILISEE'!$G$2:$G$1001)</x:f>
        <x:v>259242.78999999998</x:v>
      </x:c>
      <x:c r="F7" s="2" t="n">
        <x:f>D7-E7</x:f>
        <x:v>31448.599999999977</x:v>
      </x:c>
      <x:c r="G7" s="4" t="n">
        <x:f>IFERROR(E7/D7,0)</x:f>
        <x:v>0.8918144772020941</x:v>
      </x:c>
      <x:c r="H7" t="n">
        <x:f>COUNTIF('03_BASE_FIABILISEE'!$C$2:$C$1001,A7)</x:f>
        <x:v>19</x:v>
      </x:c>
      <x:c r="I7" t="n">
        <x:f>COUNTIFS('03_BASE_FIABILISEE'!$C$2:$C$1001,A7,'03_BASE_FIABILISEE'!$M$2:$M$1001,"Impayée")</x:f>
        <x:v>1</x:v>
      </x:c>
      <x:c r="J7" t="n">
        <x:f>COUNTIFS('03_BASE_FIABILISEE'!$C$2:$C$1001,A7,'03_BASE_FIABILISEE'!$M$2:$M$1001,"Partielle")</x:f>
        <x:v>3</x:v>
      </x:c>
    </x:row>
    <x:row r="8">
      <x:c r="A8" t="str">
        <x:v>Client 07</x:v>
      </x:c>
      <x:c r="B8" t="str">
        <x:f>INDEX('02_REFERENTIEL_CLIENTS'!$B$2:$B$51,MATCH(A8,'02_REFERENTIEL_CLIENTS'!$A$2:$A$51,0))</x:f>
        <x:v>Grands comptes</x:v>
      </x:c>
      <x:c r="C8" t="str">
        <x:f>INDEX('02_REFERENTIEL_CLIENTS'!$C$2:$C$51,MATCH(A8,'02_REFERENTIEL_CLIENTS'!$A$2:$A$51,0))</x:f>
        <x:v>France</x:v>
      </x:c>
      <x:c r="D8" s="2" t="n">
        <x:f>SUMIF('03_BASE_FIABILISEE'!$C$2:$C$1001,A8,'03_BASE_FIABILISEE'!$F$2:$F$1001)</x:f>
        <x:v>333964.92</x:v>
      </x:c>
      <x:c r="E8" s="2" t="n">
        <x:f>SUMIF('03_BASE_FIABILISEE'!$C$2:$C$1001,A8,'03_BASE_FIABILISEE'!$G$2:$G$1001)</x:f>
        <x:v>323998.8</x:v>
      </x:c>
      <x:c r="F8" s="2" t="n">
        <x:f>D8-E8</x:f>
        <x:v>9966.119999999995</x:v>
      </x:c>
      <x:c r="G8" s="4" t="n">
        <x:f>IFERROR(E8/D8,0)</x:f>
        <x:v>0.9701581830810254</x:v>
      </x:c>
      <x:c r="H8" t="n">
        <x:f>COUNTIF('03_BASE_FIABILISEE'!$C$2:$C$1001,A8)</x:f>
        <x:v>26</x:v>
      </x:c>
      <x:c r="I8" t="n">
        <x:f>COUNTIFS('03_BASE_FIABILISEE'!$C$2:$C$1001,A8,'03_BASE_FIABILISEE'!$M$2:$M$1001,"Impayée")</x:f>
        <x:v>0</x:v>
      </x:c>
      <x:c r="J8" t="n">
        <x:f>COUNTIFS('03_BASE_FIABILISEE'!$C$2:$C$1001,A8,'03_BASE_FIABILISEE'!$M$2:$M$1001,"Partielle")</x:f>
        <x:v>2</x:v>
      </x:c>
    </x:row>
    <x:row r="9">
      <x:c r="A9" t="str">
        <x:v>Client 08</x:v>
      </x:c>
      <x:c r="B9" t="str">
        <x:f>INDEX('02_REFERENTIEL_CLIENTS'!$B$2:$B$51,MATCH(A9,'02_REFERENTIEL_CLIENTS'!$A$2:$A$51,0))</x:f>
        <x:v>PME</x:v>
      </x:c>
      <x:c r="C9" t="str">
        <x:f>INDEX('02_REFERENTIEL_CLIENTS'!$C$2:$C$51,MATCH(A9,'02_REFERENTIEL_CLIENTS'!$A$2:$A$51,0))</x:f>
        <x:v>Europe</x:v>
      </x:c>
      <x:c r="D9" s="2" t="n">
        <x:f>SUMIF('03_BASE_FIABILISEE'!$C$2:$C$1001,A9,'03_BASE_FIABILISEE'!$F$2:$F$1001)</x:f>
        <x:v>284008.51</x:v>
      </x:c>
      <x:c r="E9" s="2" t="n">
        <x:f>SUMIF('03_BASE_FIABILISEE'!$C$2:$C$1001,A9,'03_BASE_FIABILISEE'!$G$2:$G$1001)</x:f>
        <x:v>203517.75</x:v>
      </x:c>
      <x:c r="F9" s="2" t="n">
        <x:f>D9-E9</x:f>
        <x:v>80490.76000000001</x:v>
      </x:c>
      <x:c r="G9" s="4" t="n">
        <x:f>IFERROR(E9/D9,0)</x:f>
        <x:v>0.7165903232970026</x:v>
      </x:c>
      <x:c r="H9" t="n">
        <x:f>COUNTIF('03_BASE_FIABILISEE'!$C$2:$C$1001,A9)</x:f>
        <x:v>22</x:v>
      </x:c>
      <x:c r="I9" t="n">
        <x:f>COUNTIFS('03_BASE_FIABILISEE'!$C$2:$C$1001,A9,'03_BASE_FIABILISEE'!$M$2:$M$1001,"Impayée")</x:f>
        <x:v>3</x:v>
      </x:c>
      <x:c r="J9" t="n">
        <x:f>COUNTIFS('03_BASE_FIABILISEE'!$C$2:$C$1001,A9,'03_BASE_FIABILISEE'!$M$2:$M$1001,"Partielle")</x:f>
        <x:v>6</x:v>
      </x:c>
    </x:row>
    <x:row r="10">
      <x:c r="A10" t="str">
        <x:v>Client 09</x:v>
      </x:c>
      <x:c r="B10" t="str">
        <x:f>INDEX('02_REFERENTIEL_CLIENTS'!$B$2:$B$51,MATCH(A10,'02_REFERENTIEL_CLIENTS'!$A$2:$A$51,0))</x:f>
        <x:v>Particuliers</x:v>
      </x:c>
      <x:c r="C10" t="str">
        <x:f>INDEX('02_REFERENTIEL_CLIENTS'!$C$2:$C$51,MATCH(A10,'02_REFERENTIEL_CLIENTS'!$A$2:$A$51,0))</x:f>
        <x:v>International</x:v>
      </x:c>
      <x:c r="D10" s="2" t="n">
        <x:f>SUMIF('03_BASE_FIABILISEE'!$C$2:$C$1001,A10,'03_BASE_FIABILISEE'!$F$2:$F$1001)</x:f>
        <x:v>209039.62</x:v>
      </x:c>
      <x:c r="E10" s="2" t="n">
        <x:f>SUMIF('03_BASE_FIABILISEE'!$C$2:$C$1001,A10,'03_BASE_FIABILISEE'!$G$2:$G$1001)</x:f>
        <x:v>169438.21</x:v>
      </x:c>
      <x:c r="F10" s="2" t="n">
        <x:f>D10-E10</x:f>
        <x:v>39601.41</x:v>
      </x:c>
      <x:c r="G10" s="4" t="n">
        <x:f>IFERROR(E10/D10,0)</x:f>
        <x:v>0.8105554822573826</x:v>
      </x:c>
      <x:c r="H10" t="n">
        <x:f>COUNTIF('03_BASE_FIABILISEE'!$C$2:$C$1001,A10)</x:f>
        <x:v>17</x:v>
      </x:c>
      <x:c r="I10" t="n">
        <x:f>COUNTIFS('03_BASE_FIABILISEE'!$C$2:$C$1001,A10,'03_BASE_FIABILISEE'!$M$2:$M$1001,"Impayée")</x:f>
        <x:v>1</x:v>
      </x:c>
      <x:c r="J10" t="n">
        <x:f>COUNTIFS('03_BASE_FIABILISEE'!$C$2:$C$1001,A10,'03_BASE_FIABILISEE'!$M$2:$M$1001,"Partielle")</x:f>
        <x:v>6</x:v>
      </x:c>
    </x:row>
    <x:row r="11">
      <x:c r="A11" t="str">
        <x:v>Client 10</x:v>
      </x:c>
      <x:c r="B11" t="str">
        <x:f>INDEX('02_REFERENTIEL_CLIENTS'!$B$2:$B$51,MATCH(A11,'02_REFERENTIEL_CLIENTS'!$A$2:$A$51,0))</x:f>
        <x:v>Grands comptes</x:v>
      </x:c>
      <x:c r="C11" t="str">
        <x:f>INDEX('02_REFERENTIEL_CLIENTS'!$C$2:$C$51,MATCH(A11,'02_REFERENTIEL_CLIENTS'!$A$2:$A$51,0))</x:f>
        <x:v>France</x:v>
      </x:c>
      <x:c r="D11" s="2" t="n">
        <x:f>SUMIF('03_BASE_FIABILISEE'!$C$2:$C$1001,A11,'03_BASE_FIABILISEE'!$F$2:$F$1001)</x:f>
        <x:v>390139.01999999996</x:v>
      </x:c>
      <x:c r="E11" s="2" t="n">
        <x:f>SUMIF('03_BASE_FIABILISEE'!$C$2:$C$1001,A11,'03_BASE_FIABILISEE'!$G$2:$G$1001)</x:f>
        <x:v>316581.69</x:v>
      </x:c>
      <x:c r="F11" s="2" t="n">
        <x:f>D11-E11</x:f>
        <x:v>73557.32999999996</x:v>
      </x:c>
      <x:c r="G11" s="4" t="n">
        <x:f>IFERROR(E11/D11,0)</x:f>
        <x:v>0.8114586692712767</x:v>
      </x:c>
      <x:c r="H11" t="n">
        <x:f>COUNTIF('03_BASE_FIABILISEE'!$C$2:$C$1001,A11)</x:f>
        <x:v>26</x:v>
      </x:c>
      <x:c r="I11" t="n">
        <x:f>COUNTIFS('03_BASE_FIABILISEE'!$C$2:$C$1001,A11,'03_BASE_FIABILISEE'!$M$2:$M$1001,"Impayée")</x:f>
        <x:v>1</x:v>
      </x:c>
      <x:c r="J11" t="n">
        <x:f>COUNTIFS('03_BASE_FIABILISEE'!$C$2:$C$1001,A11,'03_BASE_FIABILISEE'!$M$2:$M$1001,"Partielle")</x:f>
        <x:v>6</x:v>
      </x:c>
    </x:row>
    <x:row r="12">
      <x:c r="A12" t="str">
        <x:v>Client 11</x:v>
      </x:c>
      <x:c r="B12" t="str">
        <x:f>INDEX('02_REFERENTIEL_CLIENTS'!$B$2:$B$51,MATCH(A12,'02_REFERENTIEL_CLIENTS'!$A$2:$A$51,0))</x:f>
        <x:v>PME</x:v>
      </x:c>
      <x:c r="C12" t="str">
        <x:f>INDEX('02_REFERENTIEL_CLIENTS'!$C$2:$C$51,MATCH(A12,'02_REFERENTIEL_CLIENTS'!$A$2:$A$51,0))</x:f>
        <x:v>Europe</x:v>
      </x:c>
      <x:c r="D12" s="2" t="n">
        <x:f>SUMIF('03_BASE_FIABILISEE'!$C$2:$C$1001,A12,'03_BASE_FIABILISEE'!$F$2:$F$1001)</x:f>
        <x:v>229645.73999999996</x:v>
      </x:c>
      <x:c r="E12" s="2" t="n">
        <x:f>SUMIF('03_BASE_FIABILISEE'!$C$2:$C$1001,A12,'03_BASE_FIABILISEE'!$G$2:$G$1001)</x:f>
        <x:v>203448.69</x:v>
      </x:c>
      <x:c r="F12" s="2" t="n">
        <x:f>D12-E12</x:f>
        <x:v>26197.04999999996</x:v>
      </x:c>
      <x:c r="G12" s="4" t="n">
        <x:f>IFERROR(E12/D12,0)</x:f>
        <x:v>0.8859240759266862</x:v>
      </x:c>
      <x:c r="H12" t="n">
        <x:f>COUNTIF('03_BASE_FIABILISEE'!$C$2:$C$1001,A12)</x:f>
        <x:v>20</x:v>
      </x:c>
      <x:c r="I12" t="n">
        <x:f>COUNTIFS('03_BASE_FIABILISEE'!$C$2:$C$1001,A12,'03_BASE_FIABILISEE'!$M$2:$M$1001,"Impayée")</x:f>
        <x:v>2</x:v>
      </x:c>
      <x:c r="J12" t="n">
        <x:f>COUNTIFS('03_BASE_FIABILISEE'!$C$2:$C$1001,A12,'03_BASE_FIABILISEE'!$M$2:$M$1001,"Partielle")</x:f>
        <x:v>3</x:v>
      </x:c>
    </x:row>
    <x:row r="13">
      <x:c r="A13" t="str">
        <x:v>Client 12</x:v>
      </x:c>
      <x:c r="B13" t="str">
        <x:f>INDEX('02_REFERENTIEL_CLIENTS'!$B$2:$B$51,MATCH(A13,'02_REFERENTIEL_CLIENTS'!$A$2:$A$51,0))</x:f>
        <x:v>Particuliers</x:v>
      </x:c>
      <x:c r="C13" t="str">
        <x:f>INDEX('02_REFERENTIEL_CLIENTS'!$C$2:$C$51,MATCH(A13,'02_REFERENTIEL_CLIENTS'!$A$2:$A$51,0))</x:f>
        <x:v>International</x:v>
      </x:c>
      <x:c r="D13" s="2" t="n">
        <x:f>SUMIF('03_BASE_FIABILISEE'!$C$2:$C$1001,A13,'03_BASE_FIABILISEE'!$F$2:$F$1001)</x:f>
        <x:v>283764.67999999993</x:v>
      </x:c>
      <x:c r="E13" s="2" t="n">
        <x:f>SUMIF('03_BASE_FIABILISEE'!$C$2:$C$1001,A13,'03_BASE_FIABILISEE'!$G$2:$G$1001)</x:f>
        <x:v>223069.17999999996</x:v>
      </x:c>
      <x:c r="F13" s="2" t="n">
        <x:f>D13-E13</x:f>
        <x:v>60695.49999999997</x:v>
      </x:c>
      <x:c r="G13" s="4" t="n">
        <x:f>IFERROR(E13/D13,0)</x:f>
        <x:v>0.7861062201257747</x:v>
      </x:c>
      <x:c r="H13" t="n">
        <x:f>COUNTIF('03_BASE_FIABILISEE'!$C$2:$C$1001,A13)</x:f>
        <x:v>20</x:v>
      </x:c>
      <x:c r="I13" t="n">
        <x:f>COUNTIFS('03_BASE_FIABILISEE'!$C$2:$C$1001,A13,'03_BASE_FIABILISEE'!$M$2:$M$1001,"Impayée")</x:f>
        <x:v>1</x:v>
      </x:c>
      <x:c r="J13" t="n">
        <x:f>COUNTIFS('03_BASE_FIABILISEE'!$C$2:$C$1001,A13,'03_BASE_FIABILISEE'!$M$2:$M$1001,"Partielle")</x:f>
        <x:v>5</x:v>
      </x:c>
    </x:row>
    <x:row r="14">
      <x:c r="A14" t="str">
        <x:v>Client 13</x:v>
      </x:c>
      <x:c r="B14" t="str">
        <x:f>INDEX('02_REFERENTIEL_CLIENTS'!$B$2:$B$51,MATCH(A14,'02_REFERENTIEL_CLIENTS'!$A$2:$A$51,0))</x:f>
        <x:v>Grands comptes</x:v>
      </x:c>
      <x:c r="C14" t="str">
        <x:f>INDEX('02_REFERENTIEL_CLIENTS'!$C$2:$C$51,MATCH(A14,'02_REFERENTIEL_CLIENTS'!$A$2:$A$51,0))</x:f>
        <x:v>France</x:v>
      </x:c>
      <x:c r="D14" s="2" t="n">
        <x:f>SUMIF('03_BASE_FIABILISEE'!$C$2:$C$1001,A14,'03_BASE_FIABILISEE'!$F$2:$F$1001)</x:f>
        <x:v>283569.91000000003</x:v>
      </x:c>
      <x:c r="E14" s="2" t="n">
        <x:f>SUMIF('03_BASE_FIABILISEE'!$C$2:$C$1001,A14,'03_BASE_FIABILISEE'!$G$2:$G$1001)</x:f>
        <x:v>239702.87</x:v>
      </x:c>
      <x:c r="F14" s="2" t="n">
        <x:f>D14-E14</x:f>
        <x:v>43867.04000000004</x:v>
      </x:c>
      <x:c r="G14" s="4" t="n">
        <x:f>IFERROR(E14/D14,0)</x:f>
        <x:v>0.8453043201939161</x:v>
      </x:c>
      <x:c r="H14" t="n">
        <x:f>COUNTIF('03_BASE_FIABILISEE'!$C$2:$C$1001,A14)</x:f>
        <x:v>24</x:v>
      </x:c>
      <x:c r="I14" t="n">
        <x:f>COUNTIFS('03_BASE_FIABILISEE'!$C$2:$C$1001,A14,'03_BASE_FIABILISEE'!$M$2:$M$1001,"Impayée")</x:f>
        <x:v>3</x:v>
      </x:c>
      <x:c r="J14" t="n">
        <x:f>COUNTIFS('03_BASE_FIABILISEE'!$C$2:$C$1001,A14,'03_BASE_FIABILISEE'!$M$2:$M$1001,"Partielle")</x:f>
        <x:v>4</x:v>
      </x:c>
    </x:row>
    <x:row r="15">
      <x:c r="A15" t="str">
        <x:v>Client 14</x:v>
      </x:c>
      <x:c r="B15" t="str">
        <x:f>INDEX('02_REFERENTIEL_CLIENTS'!$B$2:$B$51,MATCH(A15,'02_REFERENTIEL_CLIENTS'!$A$2:$A$51,0))</x:f>
        <x:v>PME</x:v>
      </x:c>
      <x:c r="C15" t="str">
        <x:f>INDEX('02_REFERENTIEL_CLIENTS'!$C$2:$C$51,MATCH(A15,'02_REFERENTIEL_CLIENTS'!$A$2:$A$51,0))</x:f>
        <x:v>Europe</x:v>
      </x:c>
      <x:c r="D15" s="2" t="n">
        <x:f>SUMIF('03_BASE_FIABILISEE'!$C$2:$C$1001,A15,'03_BASE_FIABILISEE'!$F$2:$F$1001)</x:f>
        <x:v>271400.73</x:v>
      </x:c>
      <x:c r="E15" s="2" t="n">
        <x:f>SUMIF('03_BASE_FIABILISEE'!$C$2:$C$1001,A15,'03_BASE_FIABILISEE'!$G$2:$G$1001)</x:f>
        <x:v>235419.27999999997</x:v>
      </x:c>
      <x:c r="F15" s="2" t="n">
        <x:f>D15-E15</x:f>
        <x:v>35981.45000000001</x:v>
      </x:c>
      <x:c r="G15" s="4" t="n">
        <x:f>IFERROR(E15/D15,0)</x:f>
        <x:v>0.8674231642634123</x:v>
      </x:c>
      <x:c r="H15" t="n">
        <x:f>COUNTIF('03_BASE_FIABILISEE'!$C$2:$C$1001,A15)</x:f>
        <x:v>20</x:v>
      </x:c>
      <x:c r="I15" t="n">
        <x:f>COUNTIFS('03_BASE_FIABILISEE'!$C$2:$C$1001,A15,'03_BASE_FIABILISEE'!$M$2:$M$1001,"Impayée")</x:f>
        <x:v>2</x:v>
      </x:c>
      <x:c r="J15" t="n">
        <x:f>COUNTIFS('03_BASE_FIABILISEE'!$C$2:$C$1001,A15,'03_BASE_FIABILISEE'!$M$2:$M$1001,"Partielle")</x:f>
        <x:v>3</x:v>
      </x:c>
    </x:row>
    <x:row r="16">
      <x:c r="A16" t="str">
        <x:v>Client 15</x:v>
      </x:c>
      <x:c r="B16" t="str">
        <x:f>INDEX('02_REFERENTIEL_CLIENTS'!$B$2:$B$51,MATCH(A16,'02_REFERENTIEL_CLIENTS'!$A$2:$A$51,0))</x:f>
        <x:v>Particuliers</x:v>
      </x:c>
      <x:c r="C16" t="str">
        <x:f>INDEX('02_REFERENTIEL_CLIENTS'!$C$2:$C$51,MATCH(A16,'02_REFERENTIEL_CLIENTS'!$A$2:$A$51,0))</x:f>
        <x:v>International</x:v>
      </x:c>
      <x:c r="D16" s="2" t="n">
        <x:f>SUMIF('03_BASE_FIABILISEE'!$C$2:$C$1001,A16,'03_BASE_FIABILISEE'!$F$2:$F$1001)</x:f>
        <x:v>266532.25</x:v>
      </x:c>
      <x:c r="E16" s="2" t="n">
        <x:f>SUMIF('03_BASE_FIABILISEE'!$C$2:$C$1001,A16,'03_BASE_FIABILISEE'!$G$2:$G$1001)</x:f>
        <x:v>216656.53</x:v>
      </x:c>
      <x:c r="F16" s="2" t="n">
        <x:f>D16-E16</x:f>
        <x:v>49875.72</x:v>
      </x:c>
      <x:c r="G16" s="4" t="n">
        <x:f>IFERROR(E16/D16,0)</x:f>
        <x:v>0.8128717256542126</x:v>
      </x:c>
      <x:c r="H16" t="n">
        <x:f>COUNTIF('03_BASE_FIABILISEE'!$C$2:$C$1001,A16)</x:f>
        <x:v>19</x:v>
      </x:c>
      <x:c r="I16" t="n">
        <x:f>COUNTIFS('03_BASE_FIABILISEE'!$C$2:$C$1001,A16,'03_BASE_FIABILISEE'!$M$2:$M$1001,"Impayée")</x:f>
        <x:v>1</x:v>
      </x:c>
      <x:c r="J16" t="n">
        <x:f>COUNTIFS('03_BASE_FIABILISEE'!$C$2:$C$1001,A16,'03_BASE_FIABILISEE'!$M$2:$M$1001,"Partielle")</x:f>
        <x:v>4</x:v>
      </x:c>
    </x:row>
    <x:row r="17">
      <x:c r="A17" t="str">
        <x:v>Client 16</x:v>
      </x:c>
      <x:c r="B17" t="str">
        <x:f>INDEX('02_REFERENTIEL_CLIENTS'!$B$2:$B$51,MATCH(A17,'02_REFERENTIEL_CLIENTS'!$A$2:$A$51,0))</x:f>
        <x:v>Grands comptes</x:v>
      </x:c>
      <x:c r="C17" t="str">
        <x:f>INDEX('02_REFERENTIEL_CLIENTS'!$C$2:$C$51,MATCH(A17,'02_REFERENTIEL_CLIENTS'!$A$2:$A$51,0))</x:f>
        <x:v>France</x:v>
      </x:c>
      <x:c r="D17" s="2" t="n">
        <x:f>SUMIF('03_BASE_FIABILISEE'!$C$2:$C$1001,A17,'03_BASE_FIABILISEE'!$F$2:$F$1001)</x:f>
        <x:v>274648.01</x:v>
      </x:c>
      <x:c r="E17" s="2" t="n">
        <x:f>SUMIF('03_BASE_FIABILISEE'!$C$2:$C$1001,A17,'03_BASE_FIABILISEE'!$G$2:$G$1001)</x:f>
        <x:v>234483.98</x:v>
      </x:c>
      <x:c r="F17" s="2" t="n">
        <x:f>D17-E17</x:f>
        <x:v>40164.03</x:v>
      </x:c>
      <x:c r="G17" s="4" t="n">
        <x:f>IFERROR(E17/D17,0)</x:f>
        <x:v>0.8537618022428053</x:v>
      </x:c>
      <x:c r="H17" t="n">
        <x:f>COUNTIF('03_BASE_FIABILISEE'!$C$2:$C$1001,A17)</x:f>
        <x:v>22</x:v>
      </x:c>
      <x:c r="I17" t="n">
        <x:f>COUNTIFS('03_BASE_FIABILISEE'!$C$2:$C$1001,A17,'03_BASE_FIABILISEE'!$M$2:$M$1001,"Impayée")</x:f>
        <x:v>0</x:v>
      </x:c>
      <x:c r="J17" t="n">
        <x:f>COUNTIFS('03_BASE_FIABILISEE'!$C$2:$C$1001,A17,'03_BASE_FIABILISEE'!$M$2:$M$1001,"Partielle")</x:f>
        <x:v>5</x:v>
      </x:c>
    </x:row>
    <x:row r="18">
      <x:c r="A18" t="str">
        <x:v>Client 17</x:v>
      </x:c>
      <x:c r="B18" t="str">
        <x:f>INDEX('02_REFERENTIEL_CLIENTS'!$B$2:$B$51,MATCH(A18,'02_REFERENTIEL_CLIENTS'!$A$2:$A$51,0))</x:f>
        <x:v>PME</x:v>
      </x:c>
      <x:c r="C18" t="str">
        <x:f>INDEX('02_REFERENTIEL_CLIENTS'!$C$2:$C$51,MATCH(A18,'02_REFERENTIEL_CLIENTS'!$A$2:$A$51,0))</x:f>
        <x:v>Europe</x:v>
      </x:c>
      <x:c r="D18" s="2" t="n">
        <x:f>SUMIF('03_BASE_FIABILISEE'!$C$2:$C$1001,A18,'03_BASE_FIABILISEE'!$F$2:$F$1001)</x:f>
        <x:v>194324.21000000002</x:v>
      </x:c>
      <x:c r="E18" s="2" t="n">
        <x:f>SUMIF('03_BASE_FIABILISEE'!$C$2:$C$1001,A18,'03_BASE_FIABILISEE'!$G$2:$G$1001)</x:f>
        <x:v>173997.78000000003</x:v>
      </x:c>
      <x:c r="F18" s="2" t="n">
        <x:f>D18-E18</x:f>
        <x:v>20326.429999999993</x:v>
      </x:c>
      <x:c r="G18" s="4" t="n">
        <x:f>IFERROR(E18/D18,0)</x:f>
        <x:v>0.8953993946508261</x:v>
      </x:c>
      <x:c r="H18" t="n">
        <x:f>COUNTIF('03_BASE_FIABILISEE'!$C$2:$C$1001,A18)</x:f>
        <x:v>17</x:v>
      </x:c>
      <x:c r="I18" t="n">
        <x:f>COUNTIFS('03_BASE_FIABILISEE'!$C$2:$C$1001,A18,'03_BASE_FIABILISEE'!$M$2:$M$1001,"Impayée")</x:f>
        <x:v>3</x:v>
      </x:c>
      <x:c r="J18" t="n">
        <x:f>COUNTIFS('03_BASE_FIABILISEE'!$C$2:$C$1001,A18,'03_BASE_FIABILISEE'!$M$2:$M$1001,"Partielle")</x:f>
        <x:v>2</x:v>
      </x:c>
    </x:row>
    <x:row r="19">
      <x:c r="A19" t="str">
        <x:v>Client 18</x:v>
      </x:c>
      <x:c r="B19" t="str">
        <x:f>INDEX('02_REFERENTIEL_CLIENTS'!$B$2:$B$51,MATCH(A19,'02_REFERENTIEL_CLIENTS'!$A$2:$A$51,0))</x:f>
        <x:v>Particuliers</x:v>
      </x:c>
      <x:c r="C19" t="str">
        <x:f>INDEX('02_REFERENTIEL_CLIENTS'!$C$2:$C$51,MATCH(A19,'02_REFERENTIEL_CLIENTS'!$A$2:$A$51,0))</x:f>
        <x:v>International</x:v>
      </x:c>
      <x:c r="D19" s="2" t="n">
        <x:f>SUMIF('03_BASE_FIABILISEE'!$C$2:$C$1001,A19,'03_BASE_FIABILISEE'!$F$2:$F$1001)</x:f>
        <x:v>278943.54</x:v>
      </x:c>
      <x:c r="E19" s="2" t="n">
        <x:f>SUMIF('03_BASE_FIABILISEE'!$C$2:$C$1001,A19,'03_BASE_FIABILISEE'!$G$2:$G$1001)</x:f>
        <x:v>248331.43</x:v>
      </x:c>
      <x:c r="F19" s="2" t="n">
        <x:f>D19-E19</x:f>
        <x:v>30612.109999999986</x:v>
      </x:c>
      <x:c r="G19" s="4" t="n">
        <x:f>IFERROR(E19/D19,0)</x:f>
        <x:v>0.890256967413549</x:v>
      </x:c>
      <x:c r="H19" t="n">
        <x:f>COUNTIF('03_BASE_FIABILISEE'!$C$2:$C$1001,A19)</x:f>
        <x:v>22</x:v>
      </x:c>
      <x:c r="I19" t="n">
        <x:f>COUNTIFS('03_BASE_FIABILISEE'!$C$2:$C$1001,A19,'03_BASE_FIABILISEE'!$M$2:$M$1001,"Impayée")</x:f>
        <x:v>2</x:v>
      </x:c>
      <x:c r="J19" t="n">
        <x:f>COUNTIFS('03_BASE_FIABILISEE'!$C$2:$C$1001,A19,'03_BASE_FIABILISEE'!$M$2:$M$1001,"Partielle")</x:f>
        <x:v>1</x:v>
      </x:c>
    </x:row>
    <x:row r="20">
      <x:c r="A20" t="str">
        <x:v>Client 19</x:v>
      </x:c>
      <x:c r="B20" t="str">
        <x:f>INDEX('02_REFERENTIEL_CLIENTS'!$B$2:$B$51,MATCH(A20,'02_REFERENTIEL_CLIENTS'!$A$2:$A$51,0))</x:f>
        <x:v>Grands comptes</x:v>
      </x:c>
      <x:c r="C20" t="str">
        <x:f>INDEX('02_REFERENTIEL_CLIENTS'!$C$2:$C$51,MATCH(A20,'02_REFERENTIEL_CLIENTS'!$A$2:$A$51,0))</x:f>
        <x:v>France</x:v>
      </x:c>
      <x:c r="D20" s="2" t="n">
        <x:f>SUMIF('03_BASE_FIABILISEE'!$C$2:$C$1001,A20,'03_BASE_FIABILISEE'!$F$2:$F$1001)</x:f>
        <x:v>193442.77000000002</x:v>
      </x:c>
      <x:c r="E20" s="2" t="n">
        <x:f>SUMIF('03_BASE_FIABILISEE'!$C$2:$C$1001,A20,'03_BASE_FIABILISEE'!$G$2:$G$1001)</x:f>
        <x:v>176007.73</x:v>
      </x:c>
      <x:c r="F20" s="2" t="n">
        <x:f>D20-E20</x:f>
        <x:v>17435.040000000008</x:v>
      </x:c>
      <x:c r="G20" s="4" t="n">
        <x:f>IFERROR(E20/D20,0)</x:f>
        <x:v>0.909869776988822</x:v>
      </x:c>
      <x:c r="H20" t="n">
        <x:f>COUNTIF('03_BASE_FIABILISEE'!$C$2:$C$1001,A20)</x:f>
        <x:v>18</x:v>
      </x:c>
      <x:c r="I20" t="n">
        <x:f>COUNTIFS('03_BASE_FIABILISEE'!$C$2:$C$1001,A20,'03_BASE_FIABILISEE'!$M$2:$M$1001,"Impayée")</x:f>
        <x:v>2</x:v>
      </x:c>
      <x:c r="J20" t="n">
        <x:f>COUNTIFS('03_BASE_FIABILISEE'!$C$2:$C$1001,A20,'03_BASE_FIABILISEE'!$M$2:$M$1001,"Partielle")</x:f>
        <x:v>3</x:v>
      </x:c>
    </x:row>
    <x:row r="21">
      <x:c r="A21" t="str">
        <x:v>Client 20</x:v>
      </x:c>
      <x:c r="B21" t="str">
        <x:f>INDEX('02_REFERENTIEL_CLIENTS'!$B$2:$B$51,MATCH(A21,'02_REFERENTIEL_CLIENTS'!$A$2:$A$51,0))</x:f>
        <x:v>PME</x:v>
      </x:c>
      <x:c r="C21" t="str">
        <x:f>INDEX('02_REFERENTIEL_CLIENTS'!$C$2:$C$51,MATCH(A21,'02_REFERENTIEL_CLIENTS'!$A$2:$A$51,0))</x:f>
        <x:v>Europe</x:v>
      </x:c>
      <x:c r="D21" s="2" t="n">
        <x:f>SUMIF('03_BASE_FIABILISEE'!$C$2:$C$1001,A21,'03_BASE_FIABILISEE'!$F$2:$F$1001)</x:f>
        <x:v>274473.73</x:v>
      </x:c>
      <x:c r="E21" s="2" t="n">
        <x:f>SUMIF('03_BASE_FIABILISEE'!$C$2:$C$1001,A21,'03_BASE_FIABILISEE'!$G$2:$G$1001)</x:f>
        <x:v>222577.85000000003</x:v>
      </x:c>
      <x:c r="F21" s="2" t="n">
        <x:f>D21-E21</x:f>
        <x:v>51895.87999999995</x:v>
      </x:c>
      <x:c r="G21" s="4" t="n">
        <x:f>IFERROR(E21/D21,0)</x:f>
        <x:v>0.8109258762213785</x:v>
      </x:c>
      <x:c r="H21" t="n">
        <x:f>COUNTIF('03_BASE_FIABILISEE'!$C$2:$C$1001,A21)</x:f>
        <x:v>22</x:v>
      </x:c>
      <x:c r="I21" t="n">
        <x:f>COUNTIFS('03_BASE_FIABILISEE'!$C$2:$C$1001,A21,'03_BASE_FIABILISEE'!$M$2:$M$1001,"Impayée")</x:f>
        <x:v>2</x:v>
      </x:c>
      <x:c r="J21" t="n">
        <x:f>COUNTIFS('03_BASE_FIABILISEE'!$C$2:$C$1001,A21,'03_BASE_FIABILISEE'!$M$2:$M$1001,"Partielle")</x:f>
        <x:v>4</x:v>
      </x:c>
    </x:row>
    <x:row r="22">
      <x:c r="A22" t="str">
        <x:v>Client 21</x:v>
      </x:c>
      <x:c r="B22" t="str">
        <x:f>INDEX('02_REFERENTIEL_CLIENTS'!$B$2:$B$51,MATCH(A22,'02_REFERENTIEL_CLIENTS'!$A$2:$A$51,0))</x:f>
        <x:v>Particuliers</x:v>
      </x:c>
      <x:c r="C22" t="str">
        <x:f>INDEX('02_REFERENTIEL_CLIENTS'!$C$2:$C$51,MATCH(A22,'02_REFERENTIEL_CLIENTS'!$A$2:$A$51,0))</x:f>
        <x:v>International</x:v>
      </x:c>
      <x:c r="D22" s="2" t="n">
        <x:f>SUMIF('03_BASE_FIABILISEE'!$C$2:$C$1001,A22,'03_BASE_FIABILISEE'!$F$2:$F$1001)</x:f>
        <x:v>253330.87000000002</x:v>
      </x:c>
      <x:c r="E22" s="2" t="n">
        <x:f>SUMIF('03_BASE_FIABILISEE'!$C$2:$C$1001,A22,'03_BASE_FIABILISEE'!$G$2:$G$1001)</x:f>
        <x:v>185658.81</x:v>
      </x:c>
      <x:c r="F22" s="2" t="n">
        <x:f>D22-E22</x:f>
        <x:v>67672.06000000003</x:v>
      </x:c>
      <x:c r="G22" s="4" t="n">
        <x:f>IFERROR(E22/D22,0)</x:f>
        <x:v>0.7328708498889218</x:v>
      </x:c>
      <x:c r="H22" t="n">
        <x:f>COUNTIF('03_BASE_FIABILISEE'!$C$2:$C$1001,A22)</x:f>
        <x:v>22</x:v>
      </x:c>
      <x:c r="I22" t="n">
        <x:f>COUNTIFS('03_BASE_FIABILISEE'!$C$2:$C$1001,A22,'03_BASE_FIABILISEE'!$M$2:$M$1001,"Impayée")</x:f>
        <x:v>2</x:v>
      </x:c>
      <x:c r="J22" t="n">
        <x:f>COUNTIFS('03_BASE_FIABILISEE'!$C$2:$C$1001,A22,'03_BASE_FIABILISEE'!$M$2:$M$1001,"Partielle")</x:f>
        <x:v>5</x:v>
      </x:c>
    </x:row>
    <x:row r="23">
      <x:c r="A23" t="str">
        <x:v>Client 22</x:v>
      </x:c>
      <x:c r="B23" t="str">
        <x:f>INDEX('02_REFERENTIEL_CLIENTS'!$B$2:$B$51,MATCH(A23,'02_REFERENTIEL_CLIENTS'!$A$2:$A$51,0))</x:f>
        <x:v>Grands comptes</x:v>
      </x:c>
      <x:c r="C23" t="str">
        <x:f>INDEX('02_REFERENTIEL_CLIENTS'!$C$2:$C$51,MATCH(A23,'02_REFERENTIEL_CLIENTS'!$A$2:$A$51,0))</x:f>
        <x:v>France</x:v>
      </x:c>
      <x:c r="D23" s="2" t="n">
        <x:f>SUMIF('03_BASE_FIABILISEE'!$C$2:$C$1001,A23,'03_BASE_FIABILISEE'!$F$2:$F$1001)</x:f>
        <x:v>266610.15</x:v>
      </x:c>
      <x:c r="E23" s="2" t="n">
        <x:f>SUMIF('03_BASE_FIABILISEE'!$C$2:$C$1001,A23,'03_BASE_FIABILISEE'!$G$2:$G$1001)</x:f>
        <x:v>241677.87000000002</x:v>
      </x:c>
      <x:c r="F23" s="2" t="n">
        <x:f>D23-E23</x:f>
        <x:v>24932.28</x:v>
      </x:c>
      <x:c r="G23" s="4" t="n">
        <x:f>IFERROR(E23/D23,0)</x:f>
        <x:v>0.9064841304804037</x:v>
      </x:c>
      <x:c r="H23" t="n">
        <x:f>COUNTIF('03_BASE_FIABILISEE'!$C$2:$C$1001,A23)</x:f>
        <x:v>22</x:v>
      </x:c>
      <x:c r="I23" t="n">
        <x:f>COUNTIFS('03_BASE_FIABILISEE'!$C$2:$C$1001,A23,'03_BASE_FIABILISEE'!$M$2:$M$1001,"Impayée")</x:f>
        <x:v>0</x:v>
      </x:c>
      <x:c r="J23" t="n">
        <x:f>COUNTIFS('03_BASE_FIABILISEE'!$C$2:$C$1001,A23,'03_BASE_FIABILISEE'!$M$2:$M$1001,"Partielle")</x:f>
        <x:v>4</x:v>
      </x:c>
    </x:row>
    <x:row r="24">
      <x:c r="A24" t="str">
        <x:v>Client 23</x:v>
      </x:c>
      <x:c r="B24" t="str">
        <x:f>INDEX('02_REFERENTIEL_CLIENTS'!$B$2:$B$51,MATCH(A24,'02_REFERENTIEL_CLIENTS'!$A$2:$A$51,0))</x:f>
        <x:v>PME</x:v>
      </x:c>
      <x:c r="C24" t="str">
        <x:f>INDEX('02_REFERENTIEL_CLIENTS'!$C$2:$C$51,MATCH(A24,'02_REFERENTIEL_CLIENTS'!$A$2:$A$51,0))</x:f>
        <x:v>Europe</x:v>
      </x:c>
      <x:c r="D24" s="2" t="n">
        <x:f>SUMIF('03_BASE_FIABILISEE'!$C$2:$C$1001,A24,'03_BASE_FIABILISEE'!$F$2:$F$1001)</x:f>
        <x:v>284307.86999999994</x:v>
      </x:c>
      <x:c r="E24" s="2" t="n">
        <x:f>SUMIF('03_BASE_FIABILISEE'!$C$2:$C$1001,A24,'03_BASE_FIABILISEE'!$G$2:$G$1001)</x:f>
        <x:v>202122.2</x:v>
      </x:c>
      <x:c r="F24" s="2" t="n">
        <x:f>D24-E24</x:f>
        <x:v>82185.66999999993</x:v>
      </x:c>
      <x:c r="G24" s="4" t="n">
        <x:f>IFERROR(E24/D24,0)</x:f>
        <x:v>0.7109272071856472</x:v>
      </x:c>
      <x:c r="H24" t="n">
        <x:f>COUNTIF('03_BASE_FIABILISEE'!$C$2:$C$1001,A24)</x:f>
        <x:v>19</x:v>
      </x:c>
      <x:c r="I24" t="n">
        <x:f>COUNTIFS('03_BASE_FIABILISEE'!$C$2:$C$1001,A24,'03_BASE_FIABILISEE'!$M$2:$M$1001,"Impayée")</x:f>
        <x:v>2</x:v>
      </x:c>
      <x:c r="J24" t="n">
        <x:f>COUNTIFS('03_BASE_FIABILISEE'!$C$2:$C$1001,A24,'03_BASE_FIABILISEE'!$M$2:$M$1001,"Partielle")</x:f>
        <x:v>4</x:v>
      </x:c>
    </x:row>
    <x:row r="25">
      <x:c r="A25" t="str">
        <x:v>Client 24</x:v>
      </x:c>
      <x:c r="B25" t="str">
        <x:f>INDEX('02_REFERENTIEL_CLIENTS'!$B$2:$B$51,MATCH(A25,'02_REFERENTIEL_CLIENTS'!$A$2:$A$51,0))</x:f>
        <x:v>Particuliers</x:v>
      </x:c>
      <x:c r="C25" t="str">
        <x:f>INDEX('02_REFERENTIEL_CLIENTS'!$C$2:$C$51,MATCH(A25,'02_REFERENTIEL_CLIENTS'!$A$2:$A$51,0))</x:f>
        <x:v>International</x:v>
      </x:c>
      <x:c r="D25" s="2" t="n">
        <x:f>SUMIF('03_BASE_FIABILISEE'!$C$2:$C$1001,A25,'03_BASE_FIABILISEE'!$F$2:$F$1001)</x:f>
        <x:v>165541.38999999998</x:v>
      </x:c>
      <x:c r="E25" s="2" t="n">
        <x:f>SUMIF('03_BASE_FIABILISEE'!$C$2:$C$1001,A25,'03_BASE_FIABILISEE'!$G$2:$G$1001)</x:f>
        <x:v>165541.38999999998</x:v>
      </x:c>
      <x:c r="F25" s="2" t="n">
        <x:f>D25-E25</x:f>
        <x:v>0</x:v>
      </x:c>
      <x:c r="G25" s="4" t="n">
        <x:f>IFERROR(E25/D25,0)</x:f>
        <x:v>1</x:v>
      </x:c>
      <x:c r="H25" t="n">
        <x:f>COUNTIF('03_BASE_FIABILISEE'!$C$2:$C$1001,A25)</x:f>
        <x:v>12</x:v>
      </x:c>
      <x:c r="I25" t="n">
        <x:f>COUNTIFS('03_BASE_FIABILISEE'!$C$2:$C$1001,A25,'03_BASE_FIABILISEE'!$M$2:$M$1001,"Impayée")</x:f>
        <x:v>0</x:v>
      </x:c>
      <x:c r="J25" t="n">
        <x:f>COUNTIFS('03_BASE_FIABILISEE'!$C$2:$C$1001,A25,'03_BASE_FIABILISEE'!$M$2:$M$1001,"Partielle")</x:f>
        <x:v>0</x:v>
      </x:c>
    </x:row>
    <x:row r="26">
      <x:c r="A26" t="str">
        <x:v>Client 25</x:v>
      </x:c>
      <x:c r="B26" t="str">
        <x:f>INDEX('02_REFERENTIEL_CLIENTS'!$B$2:$B$51,MATCH(A26,'02_REFERENTIEL_CLIENTS'!$A$2:$A$51,0))</x:f>
        <x:v>Grands comptes</x:v>
      </x:c>
      <x:c r="C26" t="str">
        <x:f>INDEX('02_REFERENTIEL_CLIENTS'!$C$2:$C$51,MATCH(A26,'02_REFERENTIEL_CLIENTS'!$A$2:$A$51,0))</x:f>
        <x:v>France</x:v>
      </x:c>
      <x:c r="D26" s="2" t="n">
        <x:f>SUMIF('03_BASE_FIABILISEE'!$C$2:$C$1001,A26,'03_BASE_FIABILISEE'!$F$2:$F$1001)</x:f>
        <x:v>235295.76999999993</x:v>
      </x:c>
      <x:c r="E26" s="2" t="n">
        <x:f>SUMIF('03_BASE_FIABILISEE'!$C$2:$C$1001,A26,'03_BASE_FIABILISEE'!$G$2:$G$1001)</x:f>
        <x:v>201690.94999999995</x:v>
      </x:c>
      <x:c r="F26" s="2" t="n">
        <x:f>D26-E26</x:f>
        <x:v>33604.81999999998</x:v>
      </x:c>
      <x:c r="G26" s="4" t="n">
        <x:f>IFERROR(E26/D26,0)</x:f>
        <x:v>0.8571805179498128</x:v>
      </x:c>
      <x:c r="H26" t="n">
        <x:f>COUNTIF('03_BASE_FIABILISEE'!$C$2:$C$1001,A26)</x:f>
        <x:v>18</x:v>
      </x:c>
      <x:c r="I26" t="n">
        <x:f>COUNTIFS('03_BASE_FIABILISEE'!$C$2:$C$1001,A26,'03_BASE_FIABILISEE'!$M$2:$M$1001,"Impayée")</x:f>
        <x:v>1</x:v>
      </x:c>
      <x:c r="J26" t="n">
        <x:f>COUNTIFS('03_BASE_FIABILISEE'!$C$2:$C$1001,A26,'03_BASE_FIABILISEE'!$M$2:$M$1001,"Partielle")</x:f>
        <x:v>2</x:v>
      </x:c>
    </x:row>
    <x:row r="27">
      <x:c r="A27" t="str">
        <x:v>Client 26</x:v>
      </x:c>
      <x:c r="B27" t="str">
        <x:f>INDEX('02_REFERENTIEL_CLIENTS'!$B$2:$B$51,MATCH(A27,'02_REFERENTIEL_CLIENTS'!$A$2:$A$51,0))</x:f>
        <x:v>PME</x:v>
      </x:c>
      <x:c r="C27" t="str">
        <x:f>INDEX('02_REFERENTIEL_CLIENTS'!$C$2:$C$51,MATCH(A27,'02_REFERENTIEL_CLIENTS'!$A$2:$A$51,0))</x:f>
        <x:v>Europe</x:v>
      </x:c>
      <x:c r="D27" s="2" t="n">
        <x:f>SUMIF('03_BASE_FIABILISEE'!$C$2:$C$1001,A27,'03_BASE_FIABILISEE'!$F$2:$F$1001)</x:f>
        <x:v>229052.74</x:v>
      </x:c>
      <x:c r="E27" s="2" t="n">
        <x:f>SUMIF('03_BASE_FIABILISEE'!$C$2:$C$1001,A27,'03_BASE_FIABILISEE'!$G$2:$G$1001)</x:f>
        <x:v>182316.02999999997</x:v>
      </x:c>
      <x:c r="F27" s="2" t="n">
        <x:f>D27-E27</x:f>
        <x:v>46736.71000000002</x:v>
      </x:c>
      <x:c r="G27" s="4" t="n">
        <x:f>IFERROR(E27/D27,0)</x:f>
        <x:v>0.7959565556823288</x:v>
      </x:c>
      <x:c r="H27" t="n">
        <x:f>COUNTIF('03_BASE_FIABILISEE'!$C$2:$C$1001,A27)</x:f>
        <x:v>22</x:v>
      </x:c>
      <x:c r="I27" t="n">
        <x:f>COUNTIFS('03_BASE_FIABILISEE'!$C$2:$C$1001,A27,'03_BASE_FIABILISEE'!$M$2:$M$1001,"Impayée")</x:f>
        <x:v>2</x:v>
      </x:c>
      <x:c r="J27" t="n">
        <x:f>COUNTIFS('03_BASE_FIABILISEE'!$C$2:$C$1001,A27,'03_BASE_FIABILISEE'!$M$2:$M$1001,"Partielle")</x:f>
        <x:v>2</x:v>
      </x:c>
    </x:row>
    <x:row r="28">
      <x:c r="A28" t="str">
        <x:v>Client 27</x:v>
      </x:c>
      <x:c r="B28" t="str">
        <x:f>INDEX('02_REFERENTIEL_CLIENTS'!$B$2:$B$51,MATCH(A28,'02_REFERENTIEL_CLIENTS'!$A$2:$A$51,0))</x:f>
        <x:v>Particuliers</x:v>
      </x:c>
      <x:c r="C28" t="str">
        <x:f>INDEX('02_REFERENTIEL_CLIENTS'!$C$2:$C$51,MATCH(A28,'02_REFERENTIEL_CLIENTS'!$A$2:$A$51,0))</x:f>
        <x:v>International</x:v>
      </x:c>
      <x:c r="D28" s="2" t="n">
        <x:f>SUMIF('03_BASE_FIABILISEE'!$C$2:$C$1001,A28,'03_BASE_FIABILISEE'!$F$2:$F$1001)</x:f>
        <x:v>209329.15000000002</x:v>
      </x:c>
      <x:c r="E28" s="2" t="n">
        <x:f>SUMIF('03_BASE_FIABILISEE'!$C$2:$C$1001,A28,'03_BASE_FIABILISEE'!$G$2:$G$1001)</x:f>
        <x:v>158270.32</x:v>
      </x:c>
      <x:c r="F28" s="2" t="n">
        <x:f>D28-E28</x:f>
        <x:v>51058.830000000016</x:v>
      </x:c>
      <x:c r="G28" s="4" t="n">
        <x:f>IFERROR(E28/D28,0)</x:f>
        <x:v>0.756083517274111</x:v>
      </x:c>
      <x:c r="H28" t="n">
        <x:f>COUNTIF('03_BASE_FIABILISEE'!$C$2:$C$1001,A28)</x:f>
        <x:v>17</x:v>
      </x:c>
      <x:c r="I28" t="n">
        <x:f>COUNTIFS('03_BASE_FIABILISEE'!$C$2:$C$1001,A28,'03_BASE_FIABILISEE'!$M$2:$M$1001,"Impayée")</x:f>
        <x:v>1</x:v>
      </x:c>
      <x:c r="J28" t="n">
        <x:f>COUNTIFS('03_BASE_FIABILISEE'!$C$2:$C$1001,A28,'03_BASE_FIABILISEE'!$M$2:$M$1001,"Partielle")</x:f>
        <x:v>3</x:v>
      </x:c>
    </x:row>
    <x:row r="29">
      <x:c r="A29" t="str">
        <x:v>Client 28</x:v>
      </x:c>
      <x:c r="B29" t="str">
        <x:f>INDEX('02_REFERENTIEL_CLIENTS'!$B$2:$B$51,MATCH(A29,'02_REFERENTIEL_CLIENTS'!$A$2:$A$51,0))</x:f>
        <x:v>Grands comptes</x:v>
      </x:c>
      <x:c r="C29" t="str">
        <x:f>INDEX('02_REFERENTIEL_CLIENTS'!$C$2:$C$51,MATCH(A29,'02_REFERENTIEL_CLIENTS'!$A$2:$A$51,0))</x:f>
        <x:v>France</x:v>
      </x:c>
      <x:c r="D29" s="2" t="n">
        <x:f>SUMIF('03_BASE_FIABILISEE'!$C$2:$C$1001,A29,'03_BASE_FIABILISEE'!$F$2:$F$1001)</x:f>
        <x:v>179701.39999999997</x:v>
      </x:c>
      <x:c r="E29" s="2" t="n">
        <x:f>SUMIF('03_BASE_FIABILISEE'!$C$2:$C$1001,A29,'03_BASE_FIABILISEE'!$G$2:$G$1001)</x:f>
        <x:v>165110.3</x:v>
      </x:c>
      <x:c r="F29" s="2" t="n">
        <x:f>D29-E29</x:f>
        <x:v>14591.099999999977</x:v>
      </x:c>
      <x:c r="G29" s="4" t="n">
        <x:f>IFERROR(E29/D29,0)</x:f>
        <x:v>0.9188036375899131</x:v>
      </x:c>
      <x:c r="H29" t="n">
        <x:f>COUNTIF('03_BASE_FIABILISEE'!$C$2:$C$1001,A29)</x:f>
        <x:v>16</x:v>
      </x:c>
      <x:c r="I29" t="n">
        <x:f>COUNTIFS('03_BASE_FIABILISEE'!$C$2:$C$1001,A29,'03_BASE_FIABILISEE'!$M$2:$M$1001,"Impayée")</x:f>
        <x:v>0</x:v>
      </x:c>
      <x:c r="J29" t="n">
        <x:f>COUNTIFS('03_BASE_FIABILISEE'!$C$2:$C$1001,A29,'03_BASE_FIABILISEE'!$M$2:$M$1001,"Partielle")</x:f>
        <x:v>2</x:v>
      </x:c>
    </x:row>
    <x:row r="30">
      <x:c r="A30" t="str">
        <x:v>Client 29</x:v>
      </x:c>
      <x:c r="B30" t="str">
        <x:f>INDEX('02_REFERENTIEL_CLIENTS'!$B$2:$B$51,MATCH(A30,'02_REFERENTIEL_CLIENTS'!$A$2:$A$51,0))</x:f>
        <x:v>PME</x:v>
      </x:c>
      <x:c r="C30" t="str">
        <x:f>INDEX('02_REFERENTIEL_CLIENTS'!$C$2:$C$51,MATCH(A30,'02_REFERENTIEL_CLIENTS'!$A$2:$A$51,0))</x:f>
        <x:v>Europe</x:v>
      </x:c>
      <x:c r="D30" s="2" t="n">
        <x:f>SUMIF('03_BASE_FIABILISEE'!$C$2:$C$1001,A30,'03_BASE_FIABILISEE'!$F$2:$F$1001)</x:f>
        <x:v>175182.07999999996</x:v>
      </x:c>
      <x:c r="E30" s="2" t="n">
        <x:f>SUMIF('03_BASE_FIABILISEE'!$C$2:$C$1001,A30,'03_BASE_FIABILISEE'!$G$2:$G$1001)</x:f>
        <x:v>121801.23000000001</x:v>
      </x:c>
      <x:c r="F30" s="2" t="n">
        <x:f>D30-E30</x:f>
        <x:v>53380.84999999995</x:v>
      </x:c>
      <x:c r="G30" s="4" t="n">
        <x:f>IFERROR(E30/D30,0)</x:f>
        <x:v>0.6952836157670924</x:v>
      </x:c>
      <x:c r="H30" t="n">
        <x:f>COUNTIF('03_BASE_FIABILISEE'!$C$2:$C$1001,A30)</x:f>
        <x:v>16</x:v>
      </x:c>
      <x:c r="I30" t="n">
        <x:f>COUNTIFS('03_BASE_FIABILISEE'!$C$2:$C$1001,A30,'03_BASE_FIABILISEE'!$M$2:$M$1001,"Impayée")</x:f>
        <x:v>3</x:v>
      </x:c>
      <x:c r="J30" t="n">
        <x:f>COUNTIFS('03_BASE_FIABILISEE'!$C$2:$C$1001,A30,'03_BASE_FIABILISEE'!$M$2:$M$1001,"Partielle")</x:f>
        <x:v>3</x:v>
      </x:c>
    </x:row>
    <x:row r="31">
      <x:c r="A31" t="str">
        <x:v>Client 30</x:v>
      </x:c>
      <x:c r="B31" t="str">
        <x:f>INDEX('02_REFERENTIEL_CLIENTS'!$B$2:$B$51,MATCH(A31,'02_REFERENTIEL_CLIENTS'!$A$2:$A$51,0))</x:f>
        <x:v>Particuliers</x:v>
      </x:c>
      <x:c r="C31" t="str">
        <x:f>INDEX('02_REFERENTIEL_CLIENTS'!$C$2:$C$51,MATCH(A31,'02_REFERENTIEL_CLIENTS'!$A$2:$A$51,0))</x:f>
        <x:v>International</x:v>
      </x:c>
      <x:c r="D31" s="2" t="n">
        <x:f>SUMIF('03_BASE_FIABILISEE'!$C$2:$C$1001,A31,'03_BASE_FIABILISEE'!$F$2:$F$1001)</x:f>
        <x:v>240492.94999999998</x:v>
      </x:c>
      <x:c r="E31" s="2" t="n">
        <x:f>SUMIF('03_BASE_FIABILISEE'!$C$2:$C$1001,A31,'03_BASE_FIABILISEE'!$G$2:$G$1001)</x:f>
        <x:v>137350.85</x:v>
      </x:c>
      <x:c r="F31" s="2" t="n">
        <x:f>D31-E31</x:f>
        <x:v>103142.09999999998</x:v>
      </x:c>
      <x:c r="G31" s="4" t="n">
        <x:f>IFERROR(E31/D31,0)</x:f>
        <x:v>0.5711221472396593</x:v>
      </x:c>
      <x:c r="H31" t="n">
        <x:f>COUNTIF('03_BASE_FIABILISEE'!$C$2:$C$1001,A31)</x:f>
        <x:v>21</x:v>
      </x:c>
      <x:c r="I31" t="n">
        <x:f>COUNTIFS('03_BASE_FIABILISEE'!$C$2:$C$1001,A31,'03_BASE_FIABILISEE'!$M$2:$M$1001,"Impayée")</x:f>
        <x:v>5</x:v>
      </x:c>
      <x:c r="J31" t="n">
        <x:f>COUNTIFS('03_BASE_FIABILISEE'!$C$2:$C$1001,A31,'03_BASE_FIABILISEE'!$M$2:$M$1001,"Partielle")</x:f>
        <x:v>2</x:v>
      </x:c>
    </x:row>
    <x:row r="32">
      <x:c r="A32" t="str">
        <x:v>Client 31</x:v>
      </x:c>
      <x:c r="B32" t="str">
        <x:f>INDEX('02_REFERENTIEL_CLIENTS'!$B$2:$B$51,MATCH(A32,'02_REFERENTIEL_CLIENTS'!$A$2:$A$51,0))</x:f>
        <x:v>Grands comptes</x:v>
      </x:c>
      <x:c r="C32" t="str">
        <x:f>INDEX('02_REFERENTIEL_CLIENTS'!$C$2:$C$51,MATCH(A32,'02_REFERENTIEL_CLIENTS'!$A$2:$A$51,0))</x:f>
        <x:v>France</x:v>
      </x:c>
      <x:c r="D32" s="2" t="n">
        <x:f>SUMIF('03_BASE_FIABILISEE'!$C$2:$C$1001,A32,'03_BASE_FIABILISEE'!$F$2:$F$1001)</x:f>
        <x:v>340838.06999999995</x:v>
      </x:c>
      <x:c r="E32" s="2" t="n">
        <x:f>SUMIF('03_BASE_FIABILISEE'!$C$2:$C$1001,A32,'03_BASE_FIABILISEE'!$G$2:$G$1001)</x:f>
        <x:v>250455.36</x:v>
      </x:c>
      <x:c r="F32" s="2" t="n">
        <x:f>D32-E32</x:f>
        <x:v>90382.70999999996</x:v>
      </x:c>
      <x:c r="G32" s="4" t="n">
        <x:f>IFERROR(E32/D32,0)</x:f>
        <x:v>0.7348221400267876</x:v>
      </x:c>
      <x:c r="H32" t="n">
        <x:f>COUNTIF('03_BASE_FIABILISEE'!$C$2:$C$1001,A32)</x:f>
        <x:v>26</x:v>
      </x:c>
      <x:c r="I32" t="n">
        <x:f>COUNTIFS('03_BASE_FIABILISEE'!$C$2:$C$1001,A32,'03_BASE_FIABILISEE'!$M$2:$M$1001,"Impayée")</x:f>
        <x:v>4</x:v>
      </x:c>
      <x:c r="J32" t="n">
        <x:f>COUNTIFS('03_BASE_FIABILISEE'!$C$2:$C$1001,A32,'03_BASE_FIABILISEE'!$M$2:$M$1001,"Partielle")</x:f>
        <x:v>6</x:v>
      </x:c>
    </x:row>
    <x:row r="33">
      <x:c r="A33" t="str">
        <x:v>Client 32</x:v>
      </x:c>
      <x:c r="B33" t="str">
        <x:f>INDEX('02_REFERENTIEL_CLIENTS'!$B$2:$B$51,MATCH(A33,'02_REFERENTIEL_CLIENTS'!$A$2:$A$51,0))</x:f>
        <x:v>PME</x:v>
      </x:c>
      <x:c r="C33" t="str">
        <x:f>INDEX('02_REFERENTIEL_CLIENTS'!$C$2:$C$51,MATCH(A33,'02_REFERENTIEL_CLIENTS'!$A$2:$A$51,0))</x:f>
        <x:v>Europe</x:v>
      </x:c>
      <x:c r="D33" s="2" t="n">
        <x:f>SUMIF('03_BASE_FIABILISEE'!$C$2:$C$1001,A33,'03_BASE_FIABILISEE'!$F$2:$F$1001)</x:f>
        <x:v>246774.17</x:v>
      </x:c>
      <x:c r="E33" s="2" t="n">
        <x:f>SUMIF('03_BASE_FIABILISEE'!$C$2:$C$1001,A33,'03_BASE_FIABILISEE'!$G$2:$G$1001)</x:f>
        <x:v>190206.14</x:v>
      </x:c>
      <x:c r="F33" s="2" t="n">
        <x:f>D33-E33</x:f>
        <x:v>56568.03</x:v>
      </x:c>
      <x:c r="G33" s="4" t="n">
        <x:f>IFERROR(E33/D33,0)</x:f>
        <x:v>0.7707700526355736</x:v>
      </x:c>
      <x:c r="H33" t="n">
        <x:f>COUNTIF('03_BASE_FIABILISEE'!$C$2:$C$1001,A33)</x:f>
        <x:v>19</x:v>
      </x:c>
      <x:c r="I33" t="n">
        <x:f>COUNTIFS('03_BASE_FIABILISEE'!$C$2:$C$1001,A33,'03_BASE_FIABILISEE'!$M$2:$M$1001,"Impayée")</x:f>
        <x:v>4</x:v>
      </x:c>
      <x:c r="J33" t="n">
        <x:f>COUNTIFS('03_BASE_FIABILISEE'!$C$2:$C$1001,A33,'03_BASE_FIABILISEE'!$M$2:$M$1001,"Partielle")</x:f>
        <x:v>2</x:v>
      </x:c>
    </x:row>
    <x:row r="34">
      <x:c r="A34" t="str">
        <x:v>Client 33</x:v>
      </x:c>
      <x:c r="B34" t="str">
        <x:f>INDEX('02_REFERENTIEL_CLIENTS'!$B$2:$B$51,MATCH(A34,'02_REFERENTIEL_CLIENTS'!$A$2:$A$51,0))</x:f>
        <x:v>Particuliers</x:v>
      </x:c>
      <x:c r="C34" t="str">
        <x:f>INDEX('02_REFERENTIEL_CLIENTS'!$C$2:$C$51,MATCH(A34,'02_REFERENTIEL_CLIENTS'!$A$2:$A$51,0))</x:f>
        <x:v>International</x:v>
      </x:c>
      <x:c r="D34" s="2" t="n">
        <x:f>SUMIF('03_BASE_FIABILISEE'!$C$2:$C$1001,A34,'03_BASE_FIABILISEE'!$F$2:$F$1001)</x:f>
        <x:v>381277.93</x:v>
      </x:c>
      <x:c r="E34" s="2" t="n">
        <x:f>SUMIF('03_BASE_FIABILISEE'!$C$2:$C$1001,A34,'03_BASE_FIABILISEE'!$G$2:$G$1001)</x:f>
        <x:v>339785.37999999995</x:v>
      </x:c>
      <x:c r="F34" s="2" t="n">
        <x:f>D34-E34</x:f>
        <x:v>41492.55000000005</x:v>
      </x:c>
      <x:c r="G34" s="4" t="n">
        <x:f>IFERROR(E34/D34,0)</x:f>
        <x:v>0.8911750543756884</x:v>
      </x:c>
      <x:c r="H34" t="n">
        <x:f>COUNTIF('03_BASE_FIABILISEE'!$C$2:$C$1001,A34)</x:f>
        <x:v>26</x:v>
      </x:c>
      <x:c r="I34" t="n">
        <x:f>COUNTIFS('03_BASE_FIABILISEE'!$C$2:$C$1001,A34,'03_BASE_FIABILISEE'!$M$2:$M$1001,"Impayée")</x:f>
        <x:v>1</x:v>
      </x:c>
      <x:c r="J34" t="n">
        <x:f>COUNTIFS('03_BASE_FIABILISEE'!$C$2:$C$1001,A34,'03_BASE_FIABILISEE'!$M$2:$M$1001,"Partielle")</x:f>
        <x:v>2</x:v>
      </x:c>
    </x:row>
    <x:row r="35">
      <x:c r="A35" t="str">
        <x:v>Client 34</x:v>
      </x:c>
      <x:c r="B35" t="str">
        <x:f>INDEX('02_REFERENTIEL_CLIENTS'!$B$2:$B$51,MATCH(A35,'02_REFERENTIEL_CLIENTS'!$A$2:$A$51,0))</x:f>
        <x:v>Grands comptes</x:v>
      </x:c>
      <x:c r="C35" t="str">
        <x:f>INDEX('02_REFERENTIEL_CLIENTS'!$C$2:$C$51,MATCH(A35,'02_REFERENTIEL_CLIENTS'!$A$2:$A$51,0))</x:f>
        <x:v>France</x:v>
      </x:c>
      <x:c r="D35" s="2" t="n">
        <x:f>SUMIF('03_BASE_FIABILISEE'!$C$2:$C$1001,A35,'03_BASE_FIABILISEE'!$F$2:$F$1001)</x:f>
        <x:v>211114.91</x:v>
      </x:c>
      <x:c r="E35" s="2" t="n">
        <x:f>SUMIF('03_BASE_FIABILISEE'!$C$2:$C$1001,A35,'03_BASE_FIABILISEE'!$G$2:$G$1001)</x:f>
        <x:v>168133.52000000002</x:v>
      </x:c>
      <x:c r="F35" s="2" t="n">
        <x:f>D35-E35</x:f>
        <x:v>42981.389999999985</x:v>
      </x:c>
      <x:c r="G35" s="4" t="n">
        <x:f>IFERROR(E35/D35,0)</x:f>
        <x:v>0.7964076056968218</x:v>
      </x:c>
      <x:c r="H35" t="n">
        <x:f>COUNTIF('03_BASE_FIABILISEE'!$C$2:$C$1001,A35)</x:f>
        <x:v>16</x:v>
      </x:c>
      <x:c r="I35" t="n">
        <x:f>COUNTIFS('03_BASE_FIABILISEE'!$C$2:$C$1001,A35,'03_BASE_FIABILISEE'!$M$2:$M$1001,"Impayée")</x:f>
        <x:v>2</x:v>
      </x:c>
      <x:c r="J35" t="n">
        <x:f>COUNTIFS('03_BASE_FIABILISEE'!$C$2:$C$1001,A35,'03_BASE_FIABILISEE'!$M$2:$M$1001,"Partielle")</x:f>
        <x:v>3</x:v>
      </x:c>
    </x:row>
    <x:row r="36">
      <x:c r="A36" t="str">
        <x:v>Client 35</x:v>
      </x:c>
      <x:c r="B36" t="str">
        <x:f>INDEX('02_REFERENTIEL_CLIENTS'!$B$2:$B$51,MATCH(A36,'02_REFERENTIEL_CLIENTS'!$A$2:$A$51,0))</x:f>
        <x:v>PME</x:v>
      </x:c>
      <x:c r="C36" t="str">
        <x:f>INDEX('02_REFERENTIEL_CLIENTS'!$C$2:$C$51,MATCH(A36,'02_REFERENTIEL_CLIENTS'!$A$2:$A$51,0))</x:f>
        <x:v>Europe</x:v>
      </x:c>
      <x:c r="D36" s="2" t="n">
        <x:f>SUMIF('03_BASE_FIABILISEE'!$C$2:$C$1001,A36,'03_BASE_FIABILISEE'!$F$2:$F$1001)</x:f>
        <x:v>260387.03000000003</x:v>
      </x:c>
      <x:c r="E36" s="2" t="n">
        <x:f>SUMIF('03_BASE_FIABILISEE'!$C$2:$C$1001,A36,'03_BASE_FIABILISEE'!$G$2:$G$1001)</x:f>
        <x:v>192684.32</x:v>
      </x:c>
      <x:c r="F36" s="2" t="n">
        <x:f>D36-E36</x:f>
        <x:v>67702.71000000002</x:v>
      </x:c>
      <x:c r="G36" s="4" t="n">
        <x:f>IFERROR(E36/D36,0)</x:f>
        <x:v>0.7399920034419533</x:v>
      </x:c>
      <x:c r="H36" t="n">
        <x:f>COUNTIF('03_BASE_FIABILISEE'!$C$2:$C$1001,A36)</x:f>
        <x:v>19</x:v>
      </x:c>
      <x:c r="I36" t="n">
        <x:f>COUNTIFS('03_BASE_FIABILISEE'!$C$2:$C$1001,A36,'03_BASE_FIABILISEE'!$M$2:$M$1001,"Impayée")</x:f>
        <x:v>5</x:v>
      </x:c>
      <x:c r="J36" t="n">
        <x:f>COUNTIFS('03_BASE_FIABILISEE'!$C$2:$C$1001,A36,'03_BASE_FIABILISEE'!$M$2:$M$1001,"Partielle")</x:f>
        <x:v>2</x:v>
      </x:c>
    </x:row>
    <x:row r="37">
      <x:c r="A37" t="str">
        <x:v>Client 36</x:v>
      </x:c>
      <x:c r="B37" t="str">
        <x:f>INDEX('02_REFERENTIEL_CLIENTS'!$B$2:$B$51,MATCH(A37,'02_REFERENTIEL_CLIENTS'!$A$2:$A$51,0))</x:f>
        <x:v>Particuliers</x:v>
      </x:c>
      <x:c r="C37" t="str">
        <x:f>INDEX('02_REFERENTIEL_CLIENTS'!$C$2:$C$51,MATCH(A37,'02_REFERENTIEL_CLIENTS'!$A$2:$A$51,0))</x:f>
        <x:v>International</x:v>
      </x:c>
      <x:c r="D37" s="2" t="n">
        <x:f>SUMIF('03_BASE_FIABILISEE'!$C$2:$C$1001,A37,'03_BASE_FIABILISEE'!$F$2:$F$1001)</x:f>
        <x:v>199439.5</x:v>
      </x:c>
      <x:c r="E37" s="2" t="n">
        <x:f>SUMIF('03_BASE_FIABILISEE'!$C$2:$C$1001,A37,'03_BASE_FIABILISEE'!$G$2:$G$1001)</x:f>
        <x:v>184066.3</x:v>
      </x:c>
      <x:c r="F37" s="2" t="n">
        <x:f>D37-E37</x:f>
        <x:v>15373.200000000012</x:v>
      </x:c>
      <x:c r="G37" s="4" t="n">
        <x:f>IFERROR(E37/D37,0)</x:f>
        <x:v>0.9229179776323145</x:v>
      </x:c>
      <x:c r="H37" t="n">
        <x:f>COUNTIF('03_BASE_FIABILISEE'!$C$2:$C$1001,A37)</x:f>
        <x:v>15</x:v>
      </x:c>
      <x:c r="I37" t="n">
        <x:f>COUNTIFS('03_BASE_FIABILISEE'!$C$2:$C$1001,A37,'03_BASE_FIABILISEE'!$M$2:$M$1001,"Impayée")</x:f>
        <x:v>0</x:v>
      </x:c>
      <x:c r="J37" t="n">
        <x:f>COUNTIFS('03_BASE_FIABILISEE'!$C$2:$C$1001,A37,'03_BASE_FIABILISEE'!$M$2:$M$1001,"Partielle")</x:f>
        <x:v>4</x:v>
      </x:c>
    </x:row>
    <x:row r="38">
      <x:c r="A38" t="str">
        <x:v>Client 37</x:v>
      </x:c>
      <x:c r="B38" t="str">
        <x:f>INDEX('02_REFERENTIEL_CLIENTS'!$B$2:$B$51,MATCH(A38,'02_REFERENTIEL_CLIENTS'!$A$2:$A$51,0))</x:f>
        <x:v>Grands comptes</x:v>
      </x:c>
      <x:c r="C38" t="str">
        <x:f>INDEX('02_REFERENTIEL_CLIENTS'!$C$2:$C$51,MATCH(A38,'02_REFERENTIEL_CLIENTS'!$A$2:$A$51,0))</x:f>
        <x:v>France</x:v>
      </x:c>
      <x:c r="D38" s="2" t="n">
        <x:f>SUMIF('03_BASE_FIABILISEE'!$C$2:$C$1001,A38,'03_BASE_FIABILISEE'!$F$2:$F$1001)</x:f>
        <x:v>264297.52</x:v>
      </x:c>
      <x:c r="E38" s="2" t="n">
        <x:f>SUMIF('03_BASE_FIABILISEE'!$C$2:$C$1001,A38,'03_BASE_FIABILISEE'!$G$2:$G$1001)</x:f>
        <x:v>228762.18000000002</x:v>
      </x:c>
      <x:c r="F38" s="2" t="n">
        <x:f>D38-E38</x:f>
        <x:v>35535.34</x:v>
      </x:c>
      <x:c r="G38" s="4" t="n">
        <x:f>IFERROR(E38/D38,0)</x:f>
        <x:v>0.8655479627655984</x:v>
      </x:c>
      <x:c r="H38" t="n">
        <x:f>COUNTIF('03_BASE_FIABILISEE'!$C$2:$C$1001,A38)</x:f>
        <x:v>19</x:v>
      </x:c>
      <x:c r="I38" t="n">
        <x:f>COUNTIFS('03_BASE_FIABILISEE'!$C$2:$C$1001,A38,'03_BASE_FIABILISEE'!$M$2:$M$1001,"Impayée")</x:f>
        <x:v>2</x:v>
      </x:c>
      <x:c r="J38" t="n">
        <x:f>COUNTIFS('03_BASE_FIABILISEE'!$C$2:$C$1001,A38,'03_BASE_FIABILISEE'!$M$2:$M$1001,"Partielle")</x:f>
        <x:v>3</x:v>
      </x:c>
    </x:row>
    <x:row r="39">
      <x:c r="A39" t="str">
        <x:v>Client 38</x:v>
      </x:c>
      <x:c r="B39" t="str">
        <x:f>INDEX('02_REFERENTIEL_CLIENTS'!$B$2:$B$51,MATCH(A39,'02_REFERENTIEL_CLIENTS'!$A$2:$A$51,0))</x:f>
        <x:v>PME</x:v>
      </x:c>
      <x:c r="C39" t="str">
        <x:f>INDEX('02_REFERENTIEL_CLIENTS'!$C$2:$C$51,MATCH(A39,'02_REFERENTIEL_CLIENTS'!$A$2:$A$51,0))</x:f>
        <x:v>Europe</x:v>
      </x:c>
      <x:c r="D39" s="2" t="n">
        <x:f>SUMIF('03_BASE_FIABILISEE'!$C$2:$C$1001,A39,'03_BASE_FIABILISEE'!$F$2:$F$1001)</x:f>
        <x:v>185414.06</x:v>
      </x:c>
      <x:c r="E39" s="2" t="n">
        <x:f>SUMIF('03_BASE_FIABILISEE'!$C$2:$C$1001,A39,'03_BASE_FIABILISEE'!$G$2:$G$1001)</x:f>
        <x:v>136338.05000000002</x:v>
      </x:c>
      <x:c r="F39" s="2" t="n">
        <x:f>D39-E39</x:f>
        <x:v>49076.00999999998</x:v>
      </x:c>
      <x:c r="G39" s="4" t="n">
        <x:f>IFERROR(E39/D39,0)</x:f>
        <x:v>0.735316674474417</x:v>
      </x:c>
      <x:c r="H39" t="n">
        <x:f>COUNTIF('03_BASE_FIABILISEE'!$C$2:$C$1001,A39)</x:f>
        <x:v>14</x:v>
      </x:c>
      <x:c r="I39" t="n">
        <x:f>COUNTIFS('03_BASE_FIABILISEE'!$C$2:$C$1001,A39,'03_BASE_FIABILISEE'!$M$2:$M$1001,"Impayée")</x:f>
        <x:v>2</x:v>
      </x:c>
      <x:c r="J39" t="n">
        <x:f>COUNTIFS('03_BASE_FIABILISEE'!$C$2:$C$1001,A39,'03_BASE_FIABILISEE'!$M$2:$M$1001,"Partielle")</x:f>
        <x:v>6</x:v>
      </x:c>
    </x:row>
    <x:row r="40">
      <x:c r="A40" t="str">
        <x:v>Client 39</x:v>
      </x:c>
      <x:c r="B40" t="str">
        <x:f>INDEX('02_REFERENTIEL_CLIENTS'!$B$2:$B$51,MATCH(A40,'02_REFERENTIEL_CLIENTS'!$A$2:$A$51,0))</x:f>
        <x:v>Particuliers</x:v>
      </x:c>
      <x:c r="C40" t="str">
        <x:f>INDEX('02_REFERENTIEL_CLIENTS'!$C$2:$C$51,MATCH(A40,'02_REFERENTIEL_CLIENTS'!$A$2:$A$51,0))</x:f>
        <x:v>International</x:v>
      </x:c>
      <x:c r="D40" s="2" t="n">
        <x:f>SUMIF('03_BASE_FIABILISEE'!$C$2:$C$1001,A40,'03_BASE_FIABILISEE'!$F$2:$F$1001)</x:f>
        <x:v>290382.92</x:v>
      </x:c>
      <x:c r="E40" s="2" t="n">
        <x:f>SUMIF('03_BASE_FIABILISEE'!$C$2:$C$1001,A40,'03_BASE_FIABILISEE'!$G$2:$G$1001)</x:f>
        <x:v>247430.77000000002</x:v>
      </x:c>
      <x:c r="F40" s="2" t="n">
        <x:f>D40-E40</x:f>
        <x:v>42952.149999999965</x:v>
      </x:c>
      <x:c r="G40" s="4" t="n">
        <x:f>IFERROR(E40/D40,0)</x:f>
        <x:v>0.8520844476665502</x:v>
      </x:c>
      <x:c r="H40" t="n">
        <x:f>COUNTIF('03_BASE_FIABILISEE'!$C$2:$C$1001,A40)</x:f>
        <x:v>22</x:v>
      </x:c>
      <x:c r="I40" t="n">
        <x:f>COUNTIFS('03_BASE_FIABILISEE'!$C$2:$C$1001,A40,'03_BASE_FIABILISEE'!$M$2:$M$1001,"Impayée")</x:f>
        <x:v>0</x:v>
      </x:c>
      <x:c r="J40" t="n">
        <x:f>COUNTIFS('03_BASE_FIABILISEE'!$C$2:$C$1001,A40,'03_BASE_FIABILISEE'!$M$2:$M$1001,"Partielle")</x:f>
        <x:v>6</x:v>
      </x:c>
    </x:row>
    <x:row r="41">
      <x:c r="A41" t="str">
        <x:v>Client 40</x:v>
      </x:c>
      <x:c r="B41" t="str">
        <x:f>INDEX('02_REFERENTIEL_CLIENTS'!$B$2:$B$51,MATCH(A41,'02_REFERENTIEL_CLIENTS'!$A$2:$A$51,0))</x:f>
        <x:v>Grands comptes</x:v>
      </x:c>
      <x:c r="C41" t="str">
        <x:f>INDEX('02_REFERENTIEL_CLIENTS'!$C$2:$C$51,MATCH(A41,'02_REFERENTIEL_CLIENTS'!$A$2:$A$51,0))</x:f>
        <x:v>France</x:v>
      </x:c>
      <x:c r="D41" s="2" t="n">
        <x:f>SUMIF('03_BASE_FIABILISEE'!$C$2:$C$1001,A41,'03_BASE_FIABILISEE'!$F$2:$F$1001)</x:f>
        <x:v>212326.41</x:v>
      </x:c>
      <x:c r="E41" s="2" t="n">
        <x:f>SUMIF('03_BASE_FIABILISEE'!$C$2:$C$1001,A41,'03_BASE_FIABILISEE'!$G$2:$G$1001)</x:f>
        <x:v>194342.84</x:v>
      </x:c>
      <x:c r="F41" s="2" t="n">
        <x:f>D41-E41</x:f>
        <x:v>17983.570000000007</x:v>
      </x:c>
      <x:c r="G41" s="4" t="n">
        <x:f>IFERROR(E41/D41,0)</x:f>
        <x:v>0.9153022461972582</x:v>
      </x:c>
      <x:c r="H41" t="n">
        <x:f>COUNTIF('03_BASE_FIABILISEE'!$C$2:$C$1001,A41)</x:f>
        <x:v>20</x:v>
      </x:c>
      <x:c r="I41" t="n">
        <x:f>COUNTIFS('03_BASE_FIABILISEE'!$C$2:$C$1001,A41,'03_BASE_FIABILISEE'!$M$2:$M$1001,"Impayée")</x:f>
        <x:v>1</x:v>
      </x:c>
      <x:c r="J41" t="n">
        <x:f>COUNTIFS('03_BASE_FIABILISEE'!$C$2:$C$1001,A41,'03_BASE_FIABILISEE'!$M$2:$M$1001,"Partielle")</x:f>
        <x:v>1</x:v>
      </x:c>
    </x:row>
    <x:row r="42">
      <x:c r="A42" t="str">
        <x:v>Client 41</x:v>
      </x:c>
      <x:c r="B42" t="str">
        <x:f>INDEX('02_REFERENTIEL_CLIENTS'!$B$2:$B$51,MATCH(A42,'02_REFERENTIEL_CLIENTS'!$A$2:$A$51,0))</x:f>
        <x:v>PME</x:v>
      </x:c>
      <x:c r="C42" t="str">
        <x:f>INDEX('02_REFERENTIEL_CLIENTS'!$C$2:$C$51,MATCH(A42,'02_REFERENTIEL_CLIENTS'!$A$2:$A$51,0))</x:f>
        <x:v>Europe</x:v>
      </x:c>
      <x:c r="D42" s="2" t="n">
        <x:f>SUMIF('03_BASE_FIABILISEE'!$C$2:$C$1001,A42,'03_BASE_FIABILISEE'!$F$2:$F$1001)</x:f>
        <x:v>305943.18999999994</x:v>
      </x:c>
      <x:c r="E42" s="2" t="n">
        <x:f>SUMIF('03_BASE_FIABILISEE'!$C$2:$C$1001,A42,'03_BASE_FIABILISEE'!$G$2:$G$1001)</x:f>
        <x:v>274567.20999999996</x:v>
      </x:c>
      <x:c r="F42" s="2" t="n">
        <x:f>D42-E42</x:f>
        <x:v>31375.97999999998</x:v>
      </x:c>
      <x:c r="G42" s="4" t="n">
        <x:f>IFERROR(E42/D42,0)</x:f>
        <x:v>0.8974450779571201</x:v>
      </x:c>
      <x:c r="H42" t="n">
        <x:f>COUNTIF('03_BASE_FIABILISEE'!$C$2:$C$1001,A42)</x:f>
        <x:v>25</x:v>
      </x:c>
      <x:c r="I42" t="n">
        <x:f>COUNTIFS('03_BASE_FIABILISEE'!$C$2:$C$1001,A42,'03_BASE_FIABILISEE'!$M$2:$M$1001,"Impayée")</x:f>
        <x:v>1</x:v>
      </x:c>
      <x:c r="J42" t="n">
        <x:f>COUNTIFS('03_BASE_FIABILISEE'!$C$2:$C$1001,A42,'03_BASE_FIABILISEE'!$M$2:$M$1001,"Partielle")</x:f>
        <x:v>4</x:v>
      </x:c>
    </x:row>
    <x:row r="43">
      <x:c r="A43" t="str">
        <x:v>Client 42</x:v>
      </x:c>
      <x:c r="B43" t="str">
        <x:f>INDEX('02_REFERENTIEL_CLIENTS'!$B$2:$B$51,MATCH(A43,'02_REFERENTIEL_CLIENTS'!$A$2:$A$51,0))</x:f>
        <x:v>Particuliers</x:v>
      </x:c>
      <x:c r="C43" t="str">
        <x:f>INDEX('02_REFERENTIEL_CLIENTS'!$C$2:$C$51,MATCH(A43,'02_REFERENTIEL_CLIENTS'!$A$2:$A$51,0))</x:f>
        <x:v>International</x:v>
      </x:c>
      <x:c r="D43" s="2" t="n">
        <x:f>SUMIF('03_BASE_FIABILISEE'!$C$2:$C$1001,A43,'03_BASE_FIABILISEE'!$F$2:$F$1001)</x:f>
        <x:v>245802.11999999997</x:v>
      </x:c>
      <x:c r="E43" s="2" t="n">
        <x:f>SUMIF('03_BASE_FIABILISEE'!$C$2:$C$1001,A43,'03_BASE_FIABILISEE'!$G$2:$G$1001)</x:f>
        <x:v>216692.67</x:v>
      </x:c>
      <x:c r="F43" s="2" t="n">
        <x:f>D43-E43</x:f>
        <x:v>29109.449999999953</x:v>
      </x:c>
      <x:c r="G43" s="4" t="n">
        <x:f>IFERROR(E43/D43,0)</x:f>
        <x:v>0.8815736414315712</x:v>
      </x:c>
      <x:c r="H43" t="n">
        <x:f>COUNTIF('03_BASE_FIABILISEE'!$C$2:$C$1001,A43)</x:f>
        <x:v>22</x:v>
      </x:c>
      <x:c r="I43" t="n">
        <x:f>COUNTIFS('03_BASE_FIABILISEE'!$C$2:$C$1001,A43,'03_BASE_FIABILISEE'!$M$2:$M$1001,"Impayée")</x:f>
        <x:v>1</x:v>
      </x:c>
      <x:c r="J43" t="n">
        <x:f>COUNTIFS('03_BASE_FIABILISEE'!$C$2:$C$1001,A43,'03_BASE_FIABILISEE'!$M$2:$M$1001,"Partielle")</x:f>
        <x:v>5</x:v>
      </x:c>
    </x:row>
    <x:row r="44">
      <x:c r="A44" t="str">
        <x:v>Client 43</x:v>
      </x:c>
      <x:c r="B44" t="str">
        <x:f>INDEX('02_REFERENTIEL_CLIENTS'!$B$2:$B$51,MATCH(A44,'02_REFERENTIEL_CLIENTS'!$A$2:$A$51,0))</x:f>
        <x:v>Grands comptes</x:v>
      </x:c>
      <x:c r="C44" t="str">
        <x:f>INDEX('02_REFERENTIEL_CLIENTS'!$C$2:$C$51,MATCH(A44,'02_REFERENTIEL_CLIENTS'!$A$2:$A$51,0))</x:f>
        <x:v>France</x:v>
      </x:c>
      <x:c r="D44" s="2" t="n">
        <x:f>SUMIF('03_BASE_FIABILISEE'!$C$2:$C$1001,A44,'03_BASE_FIABILISEE'!$F$2:$F$1001)</x:f>
        <x:v>311015.5400000001</x:v>
      </x:c>
      <x:c r="E44" s="2" t="n">
        <x:f>SUMIF('03_BASE_FIABILISEE'!$C$2:$C$1001,A44,'03_BASE_FIABILISEE'!$G$2:$G$1001)</x:f>
        <x:v>269800.7800000001</x:v>
      </x:c>
      <x:c r="F44" s="2" t="n">
        <x:f>D44-E44</x:f>
        <x:v>41214.76000000001</x:v>
      </x:c>
      <x:c r="G44" s="4" t="n">
        <x:f>IFERROR(E44/D44,0)</x:f>
        <x:v>0.867483277523689</x:v>
      </x:c>
      <x:c r="H44" t="n">
        <x:f>COUNTIF('03_BASE_FIABILISEE'!$C$2:$C$1001,A44)</x:f>
        <x:v>27</x:v>
      </x:c>
      <x:c r="I44" t="n">
        <x:f>COUNTIFS('03_BASE_FIABILISEE'!$C$2:$C$1001,A44,'03_BASE_FIABILISEE'!$M$2:$M$1001,"Impayée")</x:f>
        <x:v>2</x:v>
      </x:c>
      <x:c r="J44" t="n">
        <x:f>COUNTIFS('03_BASE_FIABILISEE'!$C$2:$C$1001,A44,'03_BASE_FIABILISEE'!$M$2:$M$1001,"Partielle")</x:f>
        <x:v>5</x:v>
      </x:c>
    </x:row>
    <x:row r="45">
      <x:c r="A45" t="str">
        <x:v>Client 44</x:v>
      </x:c>
      <x:c r="B45" t="str">
        <x:f>INDEX('02_REFERENTIEL_CLIENTS'!$B$2:$B$51,MATCH(A45,'02_REFERENTIEL_CLIENTS'!$A$2:$A$51,0))</x:f>
        <x:v>PME</x:v>
      </x:c>
      <x:c r="C45" t="str">
        <x:f>INDEX('02_REFERENTIEL_CLIENTS'!$C$2:$C$51,MATCH(A45,'02_REFERENTIEL_CLIENTS'!$A$2:$A$51,0))</x:f>
        <x:v>Europe</x:v>
      </x:c>
      <x:c r="D45" s="2" t="n">
        <x:f>SUMIF('03_BASE_FIABILISEE'!$C$2:$C$1001,A45,'03_BASE_FIABILISEE'!$F$2:$F$1001)</x:f>
        <x:v>231534.89000000004</x:v>
      </x:c>
      <x:c r="E45" s="2" t="n">
        <x:f>SUMIF('03_BASE_FIABILISEE'!$C$2:$C$1001,A45,'03_BASE_FIABILISEE'!$G$2:$G$1001)</x:f>
        <x:v>166612.16</x:v>
      </x:c>
      <x:c r="F45" s="2" t="n">
        <x:f>D45-E45</x:f>
        <x:v>64922.73000000004</x:v>
      </x:c>
      <x:c r="G45" s="4" t="n">
        <x:f>IFERROR(E45/D45,0)</x:f>
        <x:v>0.7195985019795503</x:v>
      </x:c>
      <x:c r="H45" t="n">
        <x:f>COUNTIF('03_BASE_FIABILISEE'!$C$2:$C$1001,A45)</x:f>
        <x:v>18</x:v>
      </x:c>
      <x:c r="I45" t="n">
        <x:f>COUNTIFS('03_BASE_FIABILISEE'!$C$2:$C$1001,A45,'03_BASE_FIABILISEE'!$M$2:$M$1001,"Impayée")</x:f>
        <x:v>4</x:v>
      </x:c>
      <x:c r="J45" t="n">
        <x:f>COUNTIFS('03_BASE_FIABILISEE'!$C$2:$C$1001,A45,'03_BASE_FIABILISEE'!$M$2:$M$1001,"Partielle")</x:f>
        <x:v>3</x:v>
      </x:c>
    </x:row>
    <x:row r="46">
      <x:c r="A46" t="str">
        <x:v>Client 45</x:v>
      </x:c>
      <x:c r="B46" t="str">
        <x:f>INDEX('02_REFERENTIEL_CLIENTS'!$B$2:$B$51,MATCH(A46,'02_REFERENTIEL_CLIENTS'!$A$2:$A$51,0))</x:f>
        <x:v>Particuliers</x:v>
      </x:c>
      <x:c r="C46" t="str">
        <x:f>INDEX('02_REFERENTIEL_CLIENTS'!$C$2:$C$51,MATCH(A46,'02_REFERENTIEL_CLIENTS'!$A$2:$A$51,0))</x:f>
        <x:v>International</x:v>
      </x:c>
      <x:c r="D46" s="2" t="n">
        <x:f>SUMIF('03_BASE_FIABILISEE'!$C$2:$C$1001,A46,'03_BASE_FIABILISEE'!$F$2:$F$1001)</x:f>
        <x:v>234707.00999999998</x:v>
      </x:c>
      <x:c r="E46" s="2" t="n">
        <x:f>SUMIF('03_BASE_FIABILISEE'!$C$2:$C$1001,A46,'03_BASE_FIABILISEE'!$G$2:$G$1001)</x:f>
        <x:v>181357.97999999998</x:v>
      </x:c>
      <x:c r="F46" s="2" t="n">
        <x:f>D46-E46</x:f>
        <x:v>53349.03</x:v>
      </x:c>
      <x:c r="G46" s="4" t="n">
        <x:f>IFERROR(E46/D46,0)</x:f>
        <x:v>0.7726994604890582</x:v>
      </x:c>
      <x:c r="H46" t="n">
        <x:f>COUNTIF('03_BASE_FIABILISEE'!$C$2:$C$1001,A46)</x:f>
        <x:v>21</x:v>
      </x:c>
      <x:c r="I46" t="n">
        <x:f>COUNTIFS('03_BASE_FIABILISEE'!$C$2:$C$1001,A46,'03_BASE_FIABILISEE'!$M$2:$M$1001,"Impayée")</x:f>
        <x:v>0</x:v>
      </x:c>
      <x:c r="J46" t="n">
        <x:f>COUNTIFS('03_BASE_FIABILISEE'!$C$2:$C$1001,A46,'03_BASE_FIABILISEE'!$M$2:$M$1001,"Partielle")</x:f>
        <x:v>5</x:v>
      </x:c>
    </x:row>
    <x:row r="47">
      <x:c r="A47" t="str">
        <x:v>Client 46</x:v>
      </x:c>
      <x:c r="B47" t="str">
        <x:f>INDEX('02_REFERENTIEL_CLIENTS'!$B$2:$B$51,MATCH(A47,'02_REFERENTIEL_CLIENTS'!$A$2:$A$51,0))</x:f>
        <x:v>Grands comptes</x:v>
      </x:c>
      <x:c r="C47" t="str">
        <x:f>INDEX('02_REFERENTIEL_CLIENTS'!$C$2:$C$51,MATCH(A47,'02_REFERENTIEL_CLIENTS'!$A$2:$A$51,0))</x:f>
        <x:v>France</x:v>
      </x:c>
      <x:c r="D47" s="2" t="n">
        <x:f>SUMIF('03_BASE_FIABILISEE'!$C$2:$C$1001,A47,'03_BASE_FIABILISEE'!$F$2:$F$1001)</x:f>
        <x:v>282418.86</x:v>
      </x:c>
      <x:c r="E47" s="2" t="n">
        <x:f>SUMIF('03_BASE_FIABILISEE'!$C$2:$C$1001,A47,'03_BASE_FIABILISEE'!$G$2:$G$1001)</x:f>
        <x:v>217729.59</x:v>
      </x:c>
      <x:c r="F47" s="2" t="n">
        <x:f>D47-E47</x:f>
        <x:v>64689.26999999999</x:v>
      </x:c>
      <x:c r="G47" s="4" t="n">
        <x:f>IFERROR(E47/D47,0)</x:f>
        <x:v>0.7709456443525053</x:v>
      </x:c>
      <x:c r="H47" t="n">
        <x:f>COUNTIF('03_BASE_FIABILISEE'!$C$2:$C$1001,A47)</x:f>
        <x:v>20</x:v>
      </x:c>
      <x:c r="I47" t="n">
        <x:f>COUNTIFS('03_BASE_FIABILISEE'!$C$2:$C$1001,A47,'03_BASE_FIABILISEE'!$M$2:$M$1001,"Impayée")</x:f>
        <x:v>3</x:v>
      </x:c>
      <x:c r="J47" t="n">
        <x:f>COUNTIFS('03_BASE_FIABILISEE'!$C$2:$C$1001,A47,'03_BASE_FIABILISEE'!$M$2:$M$1001,"Partielle")</x:f>
        <x:v>4</x:v>
      </x:c>
    </x:row>
    <x:row r="48">
      <x:c r="A48" t="str">
        <x:v>Client 47</x:v>
      </x:c>
      <x:c r="B48" t="str">
        <x:f>INDEX('02_REFERENTIEL_CLIENTS'!$B$2:$B$51,MATCH(A48,'02_REFERENTIEL_CLIENTS'!$A$2:$A$51,0))</x:f>
        <x:v>PME</x:v>
      </x:c>
      <x:c r="C48" t="str">
        <x:f>INDEX('02_REFERENTIEL_CLIENTS'!$C$2:$C$51,MATCH(A48,'02_REFERENTIEL_CLIENTS'!$A$2:$A$51,0))</x:f>
        <x:v>Europe</x:v>
      </x:c>
      <x:c r="D48" s="2" t="n">
        <x:f>SUMIF('03_BASE_FIABILISEE'!$C$2:$C$1001,A48,'03_BASE_FIABILISEE'!$F$2:$F$1001)</x:f>
        <x:v>249785.55999999997</x:v>
      </x:c>
      <x:c r="E48" s="2" t="n">
        <x:f>SUMIF('03_BASE_FIABILISEE'!$C$2:$C$1001,A48,'03_BASE_FIABILISEE'!$G$2:$G$1001)</x:f>
        <x:v>186365.98</x:v>
      </x:c>
      <x:c r="F48" s="2" t="n">
        <x:f>D48-E48</x:f>
        <x:v>63419.57999999996</x:v>
      </x:c>
      <x:c r="G48" s="4" t="n">
        <x:f>IFERROR(E48/D48,0)</x:f>
        <x:v>0.7461038980796169</x:v>
      </x:c>
      <x:c r="H48" t="n">
        <x:f>COUNTIF('03_BASE_FIABILISEE'!$C$2:$C$1001,A48)</x:f>
        <x:v>15</x:v>
      </x:c>
      <x:c r="I48" t="n">
        <x:f>COUNTIFS('03_BASE_FIABILISEE'!$C$2:$C$1001,A48,'03_BASE_FIABILISEE'!$M$2:$M$1001,"Impayée")</x:f>
        <x:v>3</x:v>
      </x:c>
      <x:c r="J48" t="n">
        <x:f>COUNTIFS('03_BASE_FIABILISEE'!$C$2:$C$1001,A48,'03_BASE_FIABILISEE'!$M$2:$M$1001,"Partielle")</x:f>
        <x:v>2</x:v>
      </x:c>
    </x:row>
    <x:row r="49">
      <x:c r="A49" t="str">
        <x:v>Client 48</x:v>
      </x:c>
      <x:c r="B49" t="str">
        <x:f>INDEX('02_REFERENTIEL_CLIENTS'!$B$2:$B$51,MATCH(A49,'02_REFERENTIEL_CLIENTS'!$A$2:$A$51,0))</x:f>
        <x:v>Particuliers</x:v>
      </x:c>
      <x:c r="C49" t="str">
        <x:f>INDEX('02_REFERENTIEL_CLIENTS'!$C$2:$C$51,MATCH(A49,'02_REFERENTIEL_CLIENTS'!$A$2:$A$51,0))</x:f>
        <x:v>International</x:v>
      </x:c>
      <x:c r="D49" s="2" t="n">
        <x:f>SUMIF('03_BASE_FIABILISEE'!$C$2:$C$1001,A49,'03_BASE_FIABILISEE'!$F$2:$F$1001)</x:f>
        <x:v>257408.5</x:v>
      </x:c>
      <x:c r="E49" s="2" t="n">
        <x:f>SUMIF('03_BASE_FIABILISEE'!$C$2:$C$1001,A49,'03_BASE_FIABILISEE'!$G$2:$G$1001)</x:f>
        <x:v>232104.95</x:v>
      </x:c>
      <x:c r="F49" s="2" t="n">
        <x:f>D49-E49</x:f>
        <x:v>25303.54999999999</x:v>
      </x:c>
      <x:c r="G49" s="4" t="n">
        <x:f>IFERROR(E49/D49,0)</x:f>
        <x:v>0.9016988560983806</x:v>
      </x:c>
      <x:c r="H49" t="n">
        <x:f>COUNTIF('03_BASE_FIABILISEE'!$C$2:$C$1001,A49)</x:f>
        <x:v>17</x:v>
      </x:c>
      <x:c r="I49" t="n">
        <x:f>COUNTIFS('03_BASE_FIABILISEE'!$C$2:$C$1001,A49,'03_BASE_FIABILISEE'!$M$2:$M$1001,"Impayée")</x:f>
        <x:v>2</x:v>
      </x:c>
      <x:c r="J49" t="n">
        <x:f>COUNTIFS('03_BASE_FIABILISEE'!$C$2:$C$1001,A49,'03_BASE_FIABILISEE'!$M$2:$M$1001,"Partielle")</x:f>
        <x:v>1</x:v>
      </x:c>
    </x:row>
    <x:row r="50">
      <x:c r="A50" t="str">
        <x:v>Client 49</x:v>
      </x:c>
      <x:c r="B50" t="str">
        <x:f>INDEX('02_REFERENTIEL_CLIENTS'!$B$2:$B$51,MATCH(A50,'02_REFERENTIEL_CLIENTS'!$A$2:$A$51,0))</x:f>
        <x:v>Grands comptes</x:v>
      </x:c>
      <x:c r="C50" t="str">
        <x:f>INDEX('02_REFERENTIEL_CLIENTS'!$C$2:$C$51,MATCH(A50,'02_REFERENTIEL_CLIENTS'!$A$2:$A$51,0))</x:f>
        <x:v>France</x:v>
      </x:c>
      <x:c r="D50" s="2" t="n">
        <x:f>SUMIF('03_BASE_FIABILISEE'!$C$2:$C$1001,A50,'03_BASE_FIABILISEE'!$F$2:$F$1001)</x:f>
        <x:v>285517.12</x:v>
      </x:c>
      <x:c r="E50" s="2" t="n">
        <x:f>SUMIF('03_BASE_FIABILISEE'!$C$2:$C$1001,A50,'03_BASE_FIABILISEE'!$G$2:$G$1001)</x:f>
        <x:v>246333.45</x:v>
      </x:c>
      <x:c r="F50" s="2" t="n">
        <x:f>D50-E50</x:f>
        <x:v>39183.669999999984</x:v>
      </x:c>
      <x:c r="G50" s="4" t="n">
        <x:f>IFERROR(E50/D50,0)</x:f>
        <x:v>0.862762450111573</x:v>
      </x:c>
      <x:c r="H50" t="n">
        <x:f>COUNTIF('03_BASE_FIABILISEE'!$C$2:$C$1001,A50)</x:f>
        <x:v>18</x:v>
      </x:c>
      <x:c r="I50" t="n">
        <x:f>COUNTIFS('03_BASE_FIABILISEE'!$C$2:$C$1001,A50,'03_BASE_FIABILISEE'!$M$2:$M$1001,"Impayée")</x:f>
        <x:v>3</x:v>
      </x:c>
      <x:c r="J50" t="n">
        <x:f>COUNTIFS('03_BASE_FIABILISEE'!$C$2:$C$1001,A50,'03_BASE_FIABILISEE'!$M$2:$M$1001,"Partielle")</x:f>
        <x:v>3</x:v>
      </x:c>
    </x:row>
    <x:row r="51">
      <x:c r="A51" t="str">
        <x:v>Client 50</x:v>
      </x:c>
      <x:c r="B51" t="str">
        <x:f>INDEX('02_REFERENTIEL_CLIENTS'!$B$2:$B$51,MATCH(A51,'02_REFERENTIEL_CLIENTS'!$A$2:$A$51,0))</x:f>
        <x:v>PME</x:v>
      </x:c>
      <x:c r="C51" t="str">
        <x:f>INDEX('02_REFERENTIEL_CLIENTS'!$C$2:$C$51,MATCH(A51,'02_REFERENTIEL_CLIENTS'!$A$2:$A$51,0))</x:f>
        <x:v>Europe</x:v>
      </x:c>
      <x:c r="D51" s="2" t="n">
        <x:f>SUMIF('03_BASE_FIABILISEE'!$C$2:$C$1001,A51,'03_BASE_FIABILISEE'!$F$2:$F$1001)</x:f>
        <x:v>255960.30999999997</x:v>
      </x:c>
      <x:c r="E51" s="2" t="n">
        <x:f>SUMIF('03_BASE_FIABILISEE'!$C$2:$C$1001,A51,'03_BASE_FIABILISEE'!$G$2:$G$1001)</x:f>
        <x:v>211299.53000000003</x:v>
      </x:c>
      <x:c r="F51" s="2" t="n">
        <x:f>D51-E51</x:f>
        <x:v>44660.77999999994</x:v>
      </x:c>
      <x:c r="G51" s="4" t="n">
        <x:f>IFERROR(E51/D51,0)</x:f>
        <x:v>0.8255167764095928</x:v>
      </x:c>
      <x:c r="H51" t="n">
        <x:f>COUNTIF('03_BASE_FIABILISEE'!$C$2:$C$1001,A51)</x:f>
        <x:v>21</x:v>
      </x:c>
      <x:c r="I51" t="n">
        <x:f>COUNTIFS('03_BASE_FIABILISEE'!$C$2:$C$1001,A51,'03_BASE_FIABILISEE'!$M$2:$M$1001,"Impayée")</x:f>
        <x:v>3</x:v>
      </x:c>
      <x:c r="J51" t="n">
        <x:f>COUNTIFS('03_BASE_FIABILISEE'!$C$2:$C$1001,A51,'03_BASE_FIABILISEE'!$M$2:$M$1001,"Partielle")</x:f>
        <x:v>2</x:v>
      </x:c>
    </x:row>
  </x:sheetData>
  <x:pageMargins left="0.7" right="0.7" top="0.75" bottom="0.75" header="0.3" footer="0.3"/>
  <x:tableParts count="1">
    <x:tablePart xmlns:r="http://schemas.openxmlformats.org/officeDocument/2006/relationships" r:id="R2d3b8464ae3c40f4"/>
  </x:tableParts>
</x:worksheet>
</file>

<file path=xl/worksheets/sheet6.xml><?xml version="1.0" encoding="utf-8"?>
<x:worksheet xmlns:x="http://schemas.openxmlformats.org/spreadsheetml/2006/main">
  <x:sheetFormatPr defaultRowHeight="15"/>
  <x:cols>
    <x:col min="1" max="1" width="50" hidden="0" customWidth="1"/>
    <x:col min="2" max="2" width="6.75" hidden="0" customWidth="1"/>
    <x:col min="3" max="3" width="20.8799991607666" hidden="0" customWidth="1"/>
  </x:cols>
  <x:sheetData>
    <x:row r="1">
      <x:c r="A1" s="25" t="str">
        <x:v>CONTRÔLES DE FIABILITÉ AVANT REPORTING</x:v>
      </x:c>
      <x:c r="B1" s="25"/>
      <x:c r="C1" s="25"/>
      <x:c r="D1" s="25"/>
      <x:c r="E1" s="25"/>
      <x:c r="F1" s="25"/>
      <x:c r="G1" s="25"/>
      <x:c r="H1" s="25"/>
    </x:row>
    <x:row r="2">
      <x:c r="A2" s="25"/>
      <x:c r="B2" s="25"/>
      <x:c r="C2" s="25"/>
      <x:c r="D2" s="25"/>
      <x:c r="E2" s="25"/>
      <x:c r="F2" s="25"/>
      <x:c r="G2" s="25"/>
      <x:c r="H2" s="25"/>
    </x:row>
    <x:row r="4">
      <x:c r="A4" s="9" t="str">
        <x:v>Contrôle</x:v>
      </x:c>
      <x:c r="B4" s="9" t="str">
        <x:v>Résultat</x:v>
      </x:c>
      <x:c r="C4" s="9" t="str">
        <x:v>Finalité</x:v>
      </x:c>
    </x:row>
    <x:row r="5">
      <x:c r="A5" s="29" t="str">
        <x:v>Transactions analysées</x:v>
      </x:c>
      <x:c r="B5" s="29" t="n">
        <x:f>COUNTA('03_BASE_FIABILISEE'!A2:A1001)</x:f>
        <x:v>1000</x:v>
      </x:c>
      <x:c r="C5" s="29" t="str">
        <x:v>Valider le périmètre</x:v>
      </x:c>
    </x:row>
    <x:row r="6">
      <x:c r="A6" s="29" t="str">
        <x:v>Lignes à vérifier</x:v>
      </x:c>
      <x:c r="B6" s="29" t="n">
        <x:f>COUNTIF('03_BASE_FIABILISEE'!R2:R1001,"À vérifier")</x:f>
        <x:v>0</x:v>
      </x:c>
      <x:c r="C6" s="29" t="str">
        <x:v>Corriger avant restitution</x:v>
      </x:c>
    </x:row>
    <x:row r="7">
      <x:c r="A7" s="29" t="str">
        <x:v>Payeurs différents du client</x:v>
      </x:c>
      <x:c r="B7" s="29" t="n">
        <x:f>COUNTIF('03_BASE_FIABILISEE'!O2:O1001,"Oui")</x:f>
        <x:v>146</x:v>
      </x:c>
      <x:c r="C7" s="29" t="str">
        <x:v>Rapprocher le payeur réel</x:v>
      </x:c>
    </x:row>
    <x:row r="8">
      <x:c r="A8" s="29" t="str">
        <x:v>Factures impayées</x:v>
      </x:c>
      <x:c r="B8" s="29" t="n">
        <x:f>COUNTIF('03_BASE_FIABILISEE'!M2:M1001,"Impayée")</x:f>
        <x:v>90</x:v>
      </x:c>
      <x:c r="C8" s="29" t="str">
        <x:v>Identifier les créances</x:v>
      </x:c>
    </x:row>
    <x:row r="9">
      <x:c r="A9" s="29" t="str">
        <x:v>Règlements partiels</x:v>
      </x:c>
      <x:c r="B9" s="29" t="n">
        <x:f>COUNTIF('03_BASE_FIABILISEE'!M2:M1001,"Partielle")</x:f>
        <x:v>177</x:v>
      </x:c>
      <x:c r="C9" s="29" t="str">
        <x:v>Suivre les soldes</x:v>
      </x:c>
    </x:row>
    <x:row r="10">
      <x:c r="A10" s="29" t="str">
        <x:v>Factures soldées</x:v>
      </x:c>
      <x:c r="B10" s="29" t="n">
        <x:f>COUNTIF('03_BASE_FIABILISEE'!M2:M1001,"Payée")</x:f>
        <x:v>733</x:v>
      </x:c>
      <x:c r="C10" s="29" t="str">
        <x:v>Mesurer les dossiers soldés</x:v>
      </x:c>
    </x:row>
    <x:row r="11">
      <x:c r="A11" s="29" t="str">
        <x:v>Clients non reconnus</x:v>
      </x:c>
      <x:c r="B11" s="29" t="n">
        <x:f>COUNTIF('03_BASE_FIABILISEE'!P2:P1001,"Non trouvé")</x:f>
        <x:v>0</x:v>
      </x:c>
      <x:c r="C11" s="29" t="str">
        <x:v>Contrôler le référentiel</x:v>
      </x:c>
    </x:row>
  </x:sheetData>
  <x:mergeCells>
    <x:mergeCell ref="A1:H2"/>
  </x:mergeCell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defaultRowHeight="15"/>
  <x:cols>
    <x:col min="1" max="1" width="66.5" hidden="0" customWidth="1"/>
    <x:col min="2" max="2" width="7.5" hidden="0" customWidth="1"/>
    <x:col min="3" max="3" width="12.630000114440918" hidden="0" customWidth="1"/>
    <x:col min="4" max="4" width="10.130000114440918" hidden="0" customWidth="1"/>
    <x:col min="5" max="5" width="9.380000114440918" hidden="0" customWidth="1"/>
    <x:col min="6" max="6" width="9.380000114440918" hidden="0" customWidth="1"/>
    <x:col min="7" max="7" width="9.380000114440918" hidden="0" customWidth="1"/>
    <x:col min="8" max="8" width="7.630000114440918" hidden="0" customWidth="1"/>
    <x:col min="9" max="9" width="13.380000114440918" hidden="0" customWidth="1"/>
    <x:col min="10" max="10" width="7.75" hidden="0" customWidth="1"/>
    <x:col min="12" max="12" width="14.630000114440918" hidden="0" customWidth="1"/>
    <x:col min="13" max="13" width="12.25" hidden="0" customWidth="1"/>
    <x:col min="14" max="14" width="14.380000114440918" hidden="0" customWidth="1"/>
    <x:col min="15" max="15" width="7" hidden="0" customWidth="1"/>
  </x:cols>
  <x:sheetData>
    <x:row r="1">
      <x:c r="A1" s="25" t="str">
        <x:v>ANALYSE TECHNIQUE — RAPPROCHEMENTS &amp; ÉCARTS</x:v>
      </x:c>
      <x:c r="B1" s="25"/>
      <x:c r="C1" s="25"/>
      <x:c r="D1" s="25"/>
      <x:c r="E1" s="25"/>
      <x:c r="F1" s="25"/>
      <x:c r="G1" s="25"/>
      <x:c r="H1" s="25"/>
      <x:c r="I1" s="25"/>
      <x:c r="J1" s="25"/>
      <x:c r="K1" s="25"/>
      <x:c r="L1" s="25"/>
      <x:c r="M1" s="25"/>
      <x:c r="N1" s="25"/>
    </x:row>
    <x:row r="2">
      <x:c r="A2" s="25"/>
      <x:c r="B2" s="25"/>
      <x:c r="C2" s="25"/>
      <x:c r="D2" s="25"/>
      <x:c r="E2" s="25"/>
      <x:c r="F2" s="25"/>
      <x:c r="G2" s="25"/>
      <x:c r="H2" s="25"/>
      <x:c r="I2" s="25"/>
      <x:c r="J2" s="25"/>
      <x:c r="K2" s="25"/>
      <x:c r="L2" s="25"/>
      <x:c r="M2" s="25"/>
      <x:c r="N2" s="25"/>
    </x:row>
    <x:row r="3">
      <x:c r="A3" s="34" t="str">
        <x:v>Vue de travail permettant d’approfondir les rapprochements et l’évolution des indicateurs</x:v>
      </x:c>
      <x:c r="B3" s="34"/>
      <x:c r="C3" s="34"/>
      <x:c r="D3" s="34"/>
      <x:c r="E3" s="34"/>
      <x:c r="F3" s="34"/>
      <x:c r="G3" s="34"/>
      <x:c r="H3" s="34"/>
      <x:c r="I3" s="34"/>
      <x:c r="J3" s="34"/>
      <x:c r="K3" s="34"/>
      <x:c r="L3" s="34"/>
      <x:c r="M3" s="34"/>
      <x:c r="N3" s="34"/>
    </x:row>
    <x:row r="5">
      <x:c r="A5" s="9" t="str">
        <x:v>Réf. facture</x:v>
      </x:c>
      <x:c r="B5" s="9" t="str">
        <x:v>Client</x:v>
      </x:c>
      <x:c r="C5" s="9" t="str">
        <x:v>Segment</x:v>
      </x:c>
      <x:c r="D5" s="9" t="str">
        <x:v>Zone</x:v>
      </x:c>
      <x:c r="E5" s="9" t="str">
        <x:v>Facturé</x:v>
      </x:c>
      <x:c r="F5" s="9" t="str">
        <x:v>Encaissé</x:v>
      </x:c>
      <x:c r="G5" s="9" t="str">
        <x:v>Solde</x:v>
      </x:c>
      <x:c r="H5" s="9" t="str">
        <x:v>Statut</x:v>
      </x:c>
      <x:c r="I5" s="9" t="str">
        <x:v>Taux encaissé</x:v>
      </x:c>
      <x:c r="J5" s="9" t="str">
        <x:v>Alerte</x:v>
      </x:c>
      <x:c r="L5" s="9" t="str">
        <x:v>Indicateur</x:v>
      </x:c>
      <x:c r="M5" s="9" t="str">
        <x:v>6 derniers mois</x:v>
      </x:c>
      <x:c r="N5" s="9" t="str">
        <x:v>6 mois précédents</x:v>
      </x:c>
      <x:c r="O5" s="9" t="str">
        <x:v>Écart</x:v>
      </x:c>
    </x:row>
    <x:row r="6">
      <x:c r="A6" s="28" t="str">
        <x:f>'03_BASE_FIABILISEE'!A2</x:f>
        <x:v>DV-2025-00001</x:v>
      </x:c>
      <x:c r="B6" s="28" t="str">
        <x:f>TRIM('03_BASE_FIABILISEE'!C2)</x:f>
        <x:v>Client 05</x:v>
      </x:c>
      <x:c r="C6" s="28" t="str">
        <x:f>'03_BASE_FIABILISEE'!P2</x:f>
        <x:v>PME</x:v>
      </x:c>
      <x:c r="D6" s="28" t="str">
        <x:f>'03_BASE_FIABILISEE'!Q2</x:f>
        <x:v>Europe</x:v>
      </x:c>
      <x:c r="E6" s="38" t="n">
        <x:f>'03_BASE_FIABILISEE'!F2</x:f>
        <x:v>12479.03</x:v>
      </x:c>
      <x:c r="F6" s="38" t="n">
        <x:f>'03_BASE_FIABILISEE'!G2</x:f>
        <x:v>12479.03</x:v>
      </x:c>
      <x:c r="G6" s="38" t="n">
        <x:f>E6-F6</x:f>
        <x:v>0</x:v>
      </x:c>
      <x:c r="H6" s="28" t="str">
        <x:f>IF(G6&lt;=0,"Payée",IF(F6=0,"Impayée","Partielle"))</x:f>
        <x:v>Payée</x:v>
      </x:c>
      <x:c r="I6" s="40" t="n">
        <x:f>IFERROR(F6/E6,0)</x:f>
        <x:v>1</x:v>
      </x:c>
      <x:c r="J6" s="28" t="str">
        <x:f>IF(H6="Impayée","RELANCE",IF(H6="Partielle","SUIVI","OK"))</x:f>
        <x:v>OK</x:v>
      </x:c>
      <x:c r="L6" s="28" t="str">
        <x:v>Facturé</x:v>
      </x:c>
      <x:c r="M6" s="42" t="n">
        <x:f>SUM('04_REPORTING_MENSUEL'!B29:B34)</x:f>
        <x:v>2439586.5</x:v>
      </x:c>
      <x:c r="N6" s="42" t="n">
        <x:f>SUM('04_REPORTING_MENSUEL'!B23:B28)</x:f>
        <x:v>2342180.96</x:v>
      </x:c>
      <x:c r="O6" s="42" t="n">
        <x:f>M6-N6</x:f>
        <x:v>97405.54000000004</x:v>
      </x:c>
    </x:row>
    <x:row r="7">
      <x:c r="A7" s="28" t="str">
        <x:f>'03_BASE_FIABILISEE'!A3</x:f>
        <x:v>DV-2025-00002</x:v>
      </x:c>
      <x:c r="B7" s="28" t="str">
        <x:f>TRIM('03_BASE_FIABILISEE'!C3)</x:f>
        <x:v>Client 17</x:v>
      </x:c>
      <x:c r="C7" s="28" t="str">
        <x:f>'03_BASE_FIABILISEE'!P3</x:f>
        <x:v>PME</x:v>
      </x:c>
      <x:c r="D7" s="28" t="str">
        <x:f>'03_BASE_FIABILISEE'!Q3</x:f>
        <x:v>Europe</x:v>
      </x:c>
      <x:c r="E7" s="38" t="n">
        <x:f>'03_BASE_FIABILISEE'!F3</x:f>
        <x:v>965.24</x:v>
      </x:c>
      <x:c r="F7" s="38" t="n">
        <x:f>'03_BASE_FIABILISEE'!G3</x:f>
        <x:v>965.24</x:v>
      </x:c>
      <x:c r="G7" s="38" t="n">
        <x:f>E7-F7</x:f>
        <x:v>0</x:v>
      </x:c>
      <x:c r="H7" s="28" t="str">
        <x:f>IF(G7&lt;=0,"Payée",IF(F7=0,"Impayée","Partielle"))</x:f>
        <x:v>Payée</x:v>
      </x:c>
      <x:c r="I7" s="40" t="n">
        <x:f>IFERROR(F7/E7,0)</x:f>
        <x:v>1</x:v>
      </x:c>
      <x:c r="J7" s="28" t="str">
        <x:f>IF(H7="Impayée","RELANCE",IF(H7="Partielle","SUIVI","OK"))</x:f>
        <x:v>OK</x:v>
      </x:c>
      <x:c r="L7" s="28" t="str">
        <x:v>Encaissé</x:v>
      </x:c>
      <x:c r="M7" s="42" t="n">
        <x:f>SUM('04_REPORTING_MENSUEL'!C29:C34)</x:f>
        <x:v>2011796.8499999999</x:v>
      </x:c>
      <x:c r="N7" s="42" t="n">
        <x:f>SUM('04_REPORTING_MENSUEL'!C23:C28)</x:f>
        <x:v>1929912.9799999997</x:v>
      </x:c>
      <x:c r="O7" s="42" t="n">
        <x:f>M7-N7</x:f>
        <x:v>81883.87000000011</x:v>
      </x:c>
    </x:row>
    <x:row r="8">
      <x:c r="A8" s="28" t="str">
        <x:f>'03_BASE_FIABILISEE'!A4</x:f>
        <x:v>DV-2026-00003</x:v>
      </x:c>
      <x:c r="B8" s="28" t="str">
        <x:f>TRIM('03_BASE_FIABILISEE'!C4)</x:f>
        <x:v>Client 48</x:v>
      </x:c>
      <x:c r="C8" s="28" t="str">
        <x:f>'03_BASE_FIABILISEE'!P4</x:f>
        <x:v>Particuliers</x:v>
      </x:c>
      <x:c r="D8" s="28" t="str">
        <x:f>'03_BASE_FIABILISEE'!Q4</x:f>
        <x:v>International</x:v>
      </x:c>
      <x:c r="E8" s="38" t="n">
        <x:f>'03_BASE_FIABILISEE'!F4</x:f>
        <x:v>18347.42</x:v>
      </x:c>
      <x:c r="F8" s="38" t="n">
        <x:f>'03_BASE_FIABILISEE'!G4</x:f>
        <x:v>0</x:v>
      </x:c>
      <x:c r="G8" s="38" t="n">
        <x:f>E8-F8</x:f>
        <x:v>18347.42</x:v>
      </x:c>
      <x:c r="H8" s="28" t="str">
        <x:f>IF(G8&lt;=0,"Payée",IF(F8=0,"Impayée","Partielle"))</x:f>
        <x:v>Impayée</x:v>
      </x:c>
      <x:c r="I8" s="40" t="n">
        <x:f>IFERROR(F8/E8,0)</x:f>
        <x:v>0</x:v>
      </x:c>
      <x:c r="J8" s="28" t="str">
        <x:f>IF(H8="Impayée","RELANCE",IF(H8="Partielle","SUIVI","OK"))</x:f>
        <x:v>RELANCE</x:v>
      </x:c>
      <x:c r="L8" s="28" t="str">
        <x:v>Créances</x:v>
      </x:c>
      <x:c r="M8" s="42" t="n">
        <x:f>SUM('04_REPORTING_MENSUEL'!D29:D34)</x:f>
        <x:v>427789.6500000002</x:v>
      </x:c>
      <x:c r="N8" s="42" t="n">
        <x:f>SUM('04_REPORTING_MENSUEL'!D23:D28)</x:f>
        <x:v>412267.9799999999</x:v>
      </x:c>
      <x:c r="O8" s="42" t="n">
        <x:f>M8-N8</x:f>
        <x:v>15521.670000000275</x:v>
      </x:c>
    </x:row>
    <x:row r="9">
      <x:c r="A9" s="28" t="str">
        <x:f>'03_BASE_FIABILISEE'!A5</x:f>
        <x:v>DV-2024-00004</x:v>
      </x:c>
      <x:c r="B9" s="28" t="str">
        <x:f>TRIM('03_BASE_FIABILISEE'!C5)</x:f>
        <x:v>Client 10</x:v>
      </x:c>
      <x:c r="C9" s="28" t="str">
        <x:f>'03_BASE_FIABILISEE'!P5</x:f>
        <x:v>Grands comptes</x:v>
      </x:c>
      <x:c r="D9" s="28" t="str">
        <x:f>'03_BASE_FIABILISEE'!Q5</x:f>
        <x:v>France</x:v>
      </x:c>
      <x:c r="E9" s="38" t="n">
        <x:f>'03_BASE_FIABILISEE'!F5</x:f>
        <x:v>16713.94</x:v>
      </x:c>
      <x:c r="F9" s="38" t="n">
        <x:f>'03_BASE_FIABILISEE'!G5</x:f>
        <x:v>11802.96</x:v>
      </x:c>
      <x:c r="G9" s="38" t="n">
        <x:f>E9-F9</x:f>
        <x:v>4910.98</x:v>
      </x:c>
      <x:c r="H9" s="28" t="str">
        <x:f>IF(G9&lt;=0,"Payée",IF(F9=0,"Impayée","Partielle"))</x:f>
        <x:v>Partielle</x:v>
      </x:c>
      <x:c r="I9" s="40" t="n">
        <x:f>IFERROR(F9/E9,0)</x:f>
        <x:v>0.7061746063465586</x:v>
      </x:c>
      <x:c r="J9" s="28" t="str">
        <x:f>IF(H9="Impayée","RELANCE",IF(H9="Partielle","SUIVI","OK"))</x:f>
        <x:v>SUIVI</x:v>
      </x:c>
      <x:c r="L9" s="28" t="str">
        <x:v>Taux encaissement</x:v>
      </x:c>
      <x:c r="M9" s="40" t="n">
        <x:f>IFERROR(M7/M6,0)</x:f>
        <x:v>0.8246466563083539</x:v>
      </x:c>
      <x:c r="N9" s="40" t="n">
        <x:f>IFERROR(N7/N6,0)</x:f>
        <x:v>0.8239811581424519</x:v>
      </x:c>
      <x:c r="O9" s="40" t="n">
        <x:f>M9-N9</x:f>
        <x:v>0.000665498165902001</x:v>
      </x:c>
    </x:row>
    <x:row r="10">
      <x:c r="A10" s="28" t="str">
        <x:f>'03_BASE_FIABILISEE'!A6</x:f>
        <x:v>DV-2024-00005</x:v>
      </x:c>
      <x:c r="B10" s="28" t="str">
        <x:f>TRIM('03_BASE_FIABILISEE'!C6)</x:f>
        <x:v>Client 09</x:v>
      </x:c>
      <x:c r="C10" s="28" t="str">
        <x:f>'03_BASE_FIABILISEE'!P6</x:f>
        <x:v>Particuliers</x:v>
      </x:c>
      <x:c r="D10" s="28" t="str">
        <x:f>'03_BASE_FIABILISEE'!Q6</x:f>
        <x:v>International</x:v>
      </x:c>
      <x:c r="E10" s="38" t="n">
        <x:f>'03_BASE_FIABILISEE'!F6</x:f>
        <x:v>4767.71</x:v>
      </x:c>
      <x:c r="F10" s="38" t="n">
        <x:f>'03_BASE_FIABILISEE'!G6</x:f>
        <x:v>2939.82</x:v>
      </x:c>
      <x:c r="G10" s="38" t="n">
        <x:f>E10-F10</x:f>
        <x:v>1827.8899999999999</x:v>
      </x:c>
      <x:c r="H10" s="28" t="str">
        <x:f>IF(G10&lt;=0,"Payée",IF(F10=0,"Impayée","Partielle"))</x:f>
        <x:v>Partielle</x:v>
      </x:c>
      <x:c r="I10" s="40" t="n">
        <x:f>IFERROR(F10/E10,0)</x:f>
        <x:v>0.6166104901514564</x:v>
      </x:c>
      <x:c r="J10" s="28" t="str">
        <x:f>IF(H10="Impayée","RELANCE",IF(H10="Partielle","SUIVI","OK"))</x:f>
        <x:v>SUIVI</x:v>
      </x:c>
    </x:row>
    <x:row r="11">
      <x:c r="A11" s="28" t="str">
        <x:f>'03_BASE_FIABILISEE'!A7</x:f>
        <x:v>DV-2026-00006</x:v>
      </x:c>
      <x:c r="B11" s="28" t="str">
        <x:f>TRIM('03_BASE_FIABILISEE'!C7)</x:f>
        <x:v>Client 42</x:v>
      </x:c>
      <x:c r="C11" s="28" t="str">
        <x:f>'03_BASE_FIABILISEE'!P7</x:f>
        <x:v>Particuliers</x:v>
      </x:c>
      <x:c r="D11" s="28" t="str">
        <x:f>'03_BASE_FIABILISEE'!Q7</x:f>
        <x:v>International</x:v>
      </x:c>
      <x:c r="E11" s="38" t="n">
        <x:f>'03_BASE_FIABILISEE'!F7</x:f>
        <x:v>20238.66</x:v>
      </x:c>
      <x:c r="F11" s="38" t="n">
        <x:f>'03_BASE_FIABILISEE'!G7</x:f>
        <x:v>20238.66</x:v>
      </x:c>
      <x:c r="G11" s="38" t="n">
        <x:f>E11-F11</x:f>
        <x:v>0</x:v>
      </x:c>
      <x:c r="H11" s="28" t="str">
        <x:f>IF(G11&lt;=0,"Payée",IF(F11=0,"Impayée","Partielle"))</x:f>
        <x:v>Payée</x:v>
      </x:c>
      <x:c r="I11" s="40" t="n">
        <x:f>IFERROR(F11/E11,0)</x:f>
        <x:v>1</x:v>
      </x:c>
      <x:c r="J11" s="28" t="str">
        <x:f>IF(H11="Impayée","RELANCE",IF(H11="Partielle","SUIVI","OK"))</x:f>
        <x:v>OK</x:v>
      </x:c>
    </x:row>
    <x:row r="12">
      <x:c r="A12" s="28" t="str">
        <x:f>'03_BASE_FIABILISEE'!A8</x:f>
        <x:v>DV-2026-00007</x:v>
      </x:c>
      <x:c r="B12" s="28" t="str">
        <x:f>TRIM('03_BASE_FIABILISEE'!C8)</x:f>
        <x:v>Client 26</x:v>
      </x:c>
      <x:c r="C12" s="28" t="str">
        <x:f>'03_BASE_FIABILISEE'!P8</x:f>
        <x:v>PME</x:v>
      </x:c>
      <x:c r="D12" s="28" t="str">
        <x:f>'03_BASE_FIABILISEE'!Q8</x:f>
        <x:v>Europe</x:v>
      </x:c>
      <x:c r="E12" s="38" t="n">
        <x:f>'03_BASE_FIABILISEE'!F8</x:f>
        <x:v>5505.47</x:v>
      </x:c>
      <x:c r="F12" s="38" t="n">
        <x:f>'03_BASE_FIABILISEE'!G8</x:f>
        <x:v>5505.47</x:v>
      </x:c>
      <x:c r="G12" s="38" t="n">
        <x:f>E12-F12</x:f>
        <x:v>0</x:v>
      </x:c>
      <x:c r="H12" s="28" t="str">
        <x:f>IF(G12&lt;=0,"Payée",IF(F12=0,"Impayée","Partielle"))</x:f>
        <x:v>Payée</x:v>
      </x:c>
      <x:c r="I12" s="40" t="n">
        <x:f>IFERROR(F12/E12,0)</x:f>
        <x:v>1</x:v>
      </x:c>
      <x:c r="J12" s="28" t="str">
        <x:f>IF(H12="Impayée","RELANCE",IF(H12="Partielle","SUIVI","OK"))</x:f>
        <x:v>OK</x:v>
      </x:c>
    </x:row>
    <x:row r="13">
      <x:c r="A13" s="28" t="str">
        <x:f>'03_BASE_FIABILISEE'!A9</x:f>
        <x:v>DV-2024-00008</x:v>
      </x:c>
      <x:c r="B13" s="28" t="str">
        <x:f>TRIM('03_BASE_FIABILISEE'!C9)</x:f>
        <x:v>Client 23</x:v>
      </x:c>
      <x:c r="C13" s="28" t="str">
        <x:f>'03_BASE_FIABILISEE'!P9</x:f>
        <x:v>PME</x:v>
      </x:c>
      <x:c r="D13" s="28" t="str">
        <x:f>'03_BASE_FIABILISEE'!Q9</x:f>
        <x:v>Europe</x:v>
      </x:c>
      <x:c r="E13" s="38" t="n">
        <x:f>'03_BASE_FIABILISEE'!F9</x:f>
        <x:v>23613.11</x:v>
      </x:c>
      <x:c r="F13" s="38" t="n">
        <x:f>'03_BASE_FIABILISEE'!G9</x:f>
        <x:v>23613.11</x:v>
      </x:c>
      <x:c r="G13" s="38" t="n">
        <x:f>E13-F13</x:f>
        <x:v>0</x:v>
      </x:c>
      <x:c r="H13" s="28" t="str">
        <x:f>IF(G13&lt;=0,"Payée",IF(F13=0,"Impayée","Partielle"))</x:f>
        <x:v>Payée</x:v>
      </x:c>
      <x:c r="I13" s="40" t="n">
        <x:f>IFERROR(F13/E13,0)</x:f>
        <x:v>1</x:v>
      </x:c>
      <x:c r="J13" s="28" t="str">
        <x:f>IF(H13="Impayée","RELANCE",IF(H13="Partielle","SUIVI","OK"))</x:f>
        <x:v>OK</x:v>
      </x:c>
    </x:row>
    <x:row r="14">
      <x:c r="A14" s="28" t="str">
        <x:f>'03_BASE_FIABILISEE'!A10</x:f>
        <x:v>DV-2024-00009</x:v>
      </x:c>
      <x:c r="B14" s="28" t="str">
        <x:f>TRIM('03_BASE_FIABILISEE'!C10)</x:f>
        <x:v>Client 27</x:v>
      </x:c>
      <x:c r="C14" s="28" t="str">
        <x:f>'03_BASE_FIABILISEE'!P10</x:f>
        <x:v>Particuliers</x:v>
      </x:c>
      <x:c r="D14" s="28" t="str">
        <x:f>'03_BASE_FIABILISEE'!Q10</x:f>
        <x:v>International</x:v>
      </x:c>
      <x:c r="E14" s="38" t="n">
        <x:f>'03_BASE_FIABILISEE'!F10</x:f>
        <x:v>4626.32</x:v>
      </x:c>
      <x:c r="F14" s="38" t="n">
        <x:f>'03_BASE_FIABILISEE'!G10</x:f>
        <x:v>4626.32</x:v>
      </x:c>
      <x:c r="G14" s="38" t="n">
        <x:f>E14-F14</x:f>
        <x:v>0</x:v>
      </x:c>
      <x:c r="H14" s="28" t="str">
        <x:f>IF(G14&lt;=0,"Payée",IF(F14=0,"Impayée","Partielle"))</x:f>
        <x:v>Payée</x:v>
      </x:c>
      <x:c r="I14" s="40" t="n">
        <x:f>IFERROR(F14/E14,0)</x:f>
        <x:v>1</x:v>
      </x:c>
      <x:c r="J14" s="28" t="str">
        <x:f>IF(H14="Impayée","RELANCE",IF(H14="Partielle","SUIVI","OK"))</x:f>
        <x:v>OK</x:v>
      </x:c>
    </x:row>
    <x:row r="15">
      <x:c r="A15" s="28" t="str">
        <x:f>'03_BASE_FIABILISEE'!A11</x:f>
        <x:v>DV-2025-00010</x:v>
      </x:c>
      <x:c r="B15" s="28" t="str">
        <x:f>TRIM('03_BASE_FIABILISEE'!C11)</x:f>
        <x:v>Client 06</x:v>
      </x:c>
      <x:c r="C15" s="28" t="str">
        <x:f>'03_BASE_FIABILISEE'!P11</x:f>
        <x:v>Particuliers</x:v>
      </x:c>
      <x:c r="D15" s="28" t="str">
        <x:f>'03_BASE_FIABILISEE'!Q11</x:f>
        <x:v>International</x:v>
      </x:c>
      <x:c r="E15" s="38" t="n">
        <x:f>'03_BASE_FIABILISEE'!F11</x:f>
        <x:v>24202.55</x:v>
      </x:c>
      <x:c r="F15" s="38" t="n">
        <x:f>'03_BASE_FIABILISEE'!G11</x:f>
        <x:v>24202.55</x:v>
      </x:c>
      <x:c r="G15" s="38" t="n">
        <x:f>E15-F15</x:f>
        <x:v>0</x:v>
      </x:c>
      <x:c r="H15" s="28" t="str">
        <x:f>IF(G15&lt;=0,"Payée",IF(F15=0,"Impayée","Partielle"))</x:f>
        <x:v>Payée</x:v>
      </x:c>
      <x:c r="I15" s="40" t="n">
        <x:f>IFERROR(F15/E15,0)</x:f>
        <x:v>1</x:v>
      </x:c>
      <x:c r="J15" s="28" t="str">
        <x:f>IF(H15="Impayée","RELANCE",IF(H15="Partielle","SUIVI","OK"))</x:f>
        <x:v>OK</x:v>
      </x:c>
    </x:row>
    <x:row r="16">
      <x:c r="A16" s="28" t="str">
        <x:f>'03_BASE_FIABILISEE'!A12</x:f>
        <x:v>DV-2026-00011</x:v>
      </x:c>
      <x:c r="B16" s="28" t="str">
        <x:f>TRIM('03_BASE_FIABILISEE'!C12)</x:f>
        <x:v>Client 48</x:v>
      </x:c>
      <x:c r="C16" s="28" t="str">
        <x:f>'03_BASE_FIABILISEE'!P12</x:f>
        <x:v>Particuliers</x:v>
      </x:c>
      <x:c r="D16" s="28" t="str">
        <x:f>'03_BASE_FIABILISEE'!Q12</x:f>
        <x:v>International</x:v>
      </x:c>
      <x:c r="E16" s="38" t="n">
        <x:f>'03_BASE_FIABILISEE'!F12</x:f>
        <x:v>9077.07</x:v>
      </x:c>
      <x:c r="F16" s="38" t="n">
        <x:f>'03_BASE_FIABILISEE'!G12</x:f>
        <x:v>9077.07</x:v>
      </x:c>
      <x:c r="G16" s="38" t="n">
        <x:f>E16-F16</x:f>
        <x:v>0</x:v>
      </x:c>
      <x:c r="H16" s="28" t="str">
        <x:f>IF(G16&lt;=0,"Payée",IF(F16=0,"Impayée","Partielle"))</x:f>
        <x:v>Payée</x:v>
      </x:c>
      <x:c r="I16" s="40" t="n">
        <x:f>IFERROR(F16/E16,0)</x:f>
        <x:v>1</x:v>
      </x:c>
      <x:c r="J16" s="28" t="str">
        <x:f>IF(H16="Impayée","RELANCE",IF(H16="Partielle","SUIVI","OK"))</x:f>
        <x:v>OK</x:v>
      </x:c>
    </x:row>
    <x:row r="17">
      <x:c r="A17" s="28" t="str">
        <x:f>'03_BASE_FIABILISEE'!A13</x:f>
        <x:v>DV-2026-00012</x:v>
      </x:c>
      <x:c r="B17" s="28" t="str">
        <x:f>TRIM('03_BASE_FIABILISEE'!C13)</x:f>
        <x:v>Client 27</x:v>
      </x:c>
      <x:c r="C17" s="28" t="str">
        <x:f>'03_BASE_FIABILISEE'!P13</x:f>
        <x:v>Particuliers</x:v>
      </x:c>
      <x:c r="D17" s="28" t="str">
        <x:f>'03_BASE_FIABILISEE'!Q13</x:f>
        <x:v>International</x:v>
      </x:c>
      <x:c r="E17" s="38" t="n">
        <x:f>'03_BASE_FIABILISEE'!F13</x:f>
        <x:v>16291.01</x:v>
      </x:c>
      <x:c r="F17" s="38" t="n">
        <x:f>'03_BASE_FIABILISEE'!G13</x:f>
        <x:v>16291.01</x:v>
      </x:c>
      <x:c r="G17" s="38" t="n">
        <x:f>E17-F17</x:f>
        <x:v>0</x:v>
      </x:c>
      <x:c r="H17" s="28" t="str">
        <x:f>IF(G17&lt;=0,"Payée",IF(F17=0,"Impayée","Partielle"))</x:f>
        <x:v>Payée</x:v>
      </x:c>
      <x:c r="I17" s="40" t="n">
        <x:f>IFERROR(F17/E17,0)</x:f>
        <x:v>1</x:v>
      </x:c>
      <x:c r="J17" s="28" t="str">
        <x:f>IF(H17="Impayée","RELANCE",IF(H17="Partielle","SUIVI","OK"))</x:f>
        <x:v>OK</x:v>
      </x:c>
    </x:row>
    <x:row r="18">
      <x:c r="A18" s="28" t="str">
        <x:f>'03_BASE_FIABILISEE'!A14</x:f>
        <x:v>DV-2024-00013</x:v>
      </x:c>
      <x:c r="B18" s="28" t="str">
        <x:f>TRIM('03_BASE_FIABILISEE'!C14)</x:f>
        <x:v>Client 05</x:v>
      </x:c>
      <x:c r="C18" s="28" t="str">
        <x:f>'03_BASE_FIABILISEE'!P14</x:f>
        <x:v>PME</x:v>
      </x:c>
      <x:c r="D18" s="28" t="str">
        <x:f>'03_BASE_FIABILISEE'!Q14</x:f>
        <x:v>Europe</x:v>
      </x:c>
      <x:c r="E18" s="38" t="n">
        <x:f>'03_BASE_FIABILISEE'!F14</x:f>
        <x:v>4446.34</x:v>
      </x:c>
      <x:c r="F18" s="38" t="n">
        <x:f>'03_BASE_FIABILISEE'!G14</x:f>
        <x:v>2088.9</x:v>
      </x:c>
      <x:c r="G18" s="38" t="n">
        <x:f>E18-F18</x:f>
        <x:v>2357.44</x:v>
      </x:c>
      <x:c r="H18" s="28" t="str">
        <x:f>IF(G18&lt;=0,"Payée",IF(F18=0,"Impayée","Partielle"))</x:f>
        <x:v>Partielle</x:v>
      </x:c>
      <x:c r="I18" s="40" t="n">
        <x:f>IFERROR(F18/E18,0)</x:f>
        <x:v>0.46980212939181437</x:v>
      </x:c>
      <x:c r="J18" s="28" t="str">
        <x:f>IF(H18="Impayée","RELANCE",IF(H18="Partielle","SUIVI","OK"))</x:f>
        <x:v>SUIVI</x:v>
      </x:c>
    </x:row>
    <x:row r="19">
      <x:c r="A19" s="28" t="str">
        <x:f>'03_BASE_FIABILISEE'!A15</x:f>
        <x:v>DV-2024-00014</x:v>
      </x:c>
      <x:c r="B19" s="28" t="str">
        <x:f>TRIM('03_BASE_FIABILISEE'!C15)</x:f>
        <x:v>Client 19</x:v>
      </x:c>
      <x:c r="C19" s="28" t="str">
        <x:f>'03_BASE_FIABILISEE'!P15</x:f>
        <x:v>Grands comptes</x:v>
      </x:c>
      <x:c r="D19" s="28" t="str">
        <x:f>'03_BASE_FIABILISEE'!Q15</x:f>
        <x:v>France</x:v>
      </x:c>
      <x:c r="E19" s="38" t="n">
        <x:f>'03_BASE_FIABILISEE'!F15</x:f>
        <x:v>21002.67</x:v>
      </x:c>
      <x:c r="F19" s="38" t="n">
        <x:f>'03_BASE_FIABILISEE'!G15</x:f>
        <x:v>21002.67</x:v>
      </x:c>
      <x:c r="G19" s="38" t="n">
        <x:f>E19-F19</x:f>
        <x:v>0</x:v>
      </x:c>
      <x:c r="H19" s="28" t="str">
        <x:f>IF(G19&lt;=0,"Payée",IF(F19=0,"Impayée","Partielle"))</x:f>
        <x:v>Payée</x:v>
      </x:c>
      <x:c r="I19" s="40" t="n">
        <x:f>IFERROR(F19/E19,0)</x:f>
        <x:v>1</x:v>
      </x:c>
      <x:c r="J19" s="28" t="str">
        <x:f>IF(H19="Impayée","RELANCE",IF(H19="Partielle","SUIVI","OK"))</x:f>
        <x:v>OK</x:v>
      </x:c>
    </x:row>
    <x:row r="20">
      <x:c r="A20" s="28" t="str">
        <x:f>'03_BASE_FIABILISEE'!A16</x:f>
        <x:v>DV-2024-00015</x:v>
      </x:c>
      <x:c r="B20" s="28" t="str">
        <x:f>TRIM('03_BASE_FIABILISEE'!C16)</x:f>
        <x:v>Client 45</x:v>
      </x:c>
      <x:c r="C20" s="28" t="str">
        <x:f>'03_BASE_FIABILISEE'!P16</x:f>
        <x:v>Particuliers</x:v>
      </x:c>
      <x:c r="D20" s="28" t="str">
        <x:f>'03_BASE_FIABILISEE'!Q16</x:f>
        <x:v>International</x:v>
      </x:c>
      <x:c r="E20" s="38" t="n">
        <x:f>'03_BASE_FIABILISEE'!F16</x:f>
        <x:v>13029.84</x:v>
      </x:c>
      <x:c r="F20" s="38" t="n">
        <x:f>'03_BASE_FIABILISEE'!G16</x:f>
        <x:v>13029.84</x:v>
      </x:c>
      <x:c r="G20" s="38" t="n">
        <x:f>E20-F20</x:f>
        <x:v>0</x:v>
      </x:c>
      <x:c r="H20" s="28" t="str">
        <x:f>IF(G20&lt;=0,"Payée",IF(F20=0,"Impayée","Partielle"))</x:f>
        <x:v>Payée</x:v>
      </x:c>
      <x:c r="I20" s="40" t="n">
        <x:f>IFERROR(F20/E20,0)</x:f>
        <x:v>1</x:v>
      </x:c>
      <x:c r="J20" s="28" t="str">
        <x:f>IF(H20="Impayée","RELANCE",IF(H20="Partielle","SUIVI","OK"))</x:f>
        <x:v>OK</x:v>
      </x:c>
    </x:row>
    <x:row r="21">
      <x:c r="A21" s="28" t="str">
        <x:f>'03_BASE_FIABILISEE'!A17</x:f>
        <x:v>DV-2025-00016</x:v>
      </x:c>
      <x:c r="B21" s="28" t="str">
        <x:f>TRIM('03_BASE_FIABILISEE'!C17)</x:f>
        <x:v>Client 42</x:v>
      </x:c>
      <x:c r="C21" s="28" t="str">
        <x:f>'03_BASE_FIABILISEE'!P17</x:f>
        <x:v>Particuliers</x:v>
      </x:c>
      <x:c r="D21" s="28" t="str">
        <x:f>'03_BASE_FIABILISEE'!Q17</x:f>
        <x:v>International</x:v>
      </x:c>
      <x:c r="E21" s="38" t="n">
        <x:f>'03_BASE_FIABILISEE'!F17</x:f>
        <x:v>10427.09</x:v>
      </x:c>
      <x:c r="F21" s="38" t="n">
        <x:f>'03_BASE_FIABILISEE'!G17</x:f>
        <x:v>10427.09</x:v>
      </x:c>
      <x:c r="G21" s="38" t="n">
        <x:f>E21-F21</x:f>
        <x:v>0</x:v>
      </x:c>
      <x:c r="H21" s="28" t="str">
        <x:f>IF(G21&lt;=0,"Payée",IF(F21=0,"Impayée","Partielle"))</x:f>
        <x:v>Payée</x:v>
      </x:c>
      <x:c r="I21" s="40" t="n">
        <x:f>IFERROR(F21/E21,0)</x:f>
        <x:v>1</x:v>
      </x:c>
      <x:c r="J21" s="28" t="str">
        <x:f>IF(H21="Impayée","RELANCE",IF(H21="Partielle","SUIVI","OK"))</x:f>
        <x:v>OK</x:v>
      </x:c>
    </x:row>
    <x:row r="22">
      <x:c r="A22" s="28" t="str">
        <x:f>'03_BASE_FIABILISEE'!A18</x:f>
        <x:v>DV-2025-00017</x:v>
      </x:c>
      <x:c r="B22" s="28" t="str">
        <x:f>TRIM('03_BASE_FIABILISEE'!C18)</x:f>
        <x:v>Client 44</x:v>
      </x:c>
      <x:c r="C22" s="28" t="str">
        <x:f>'03_BASE_FIABILISEE'!P18</x:f>
        <x:v>PME</x:v>
      </x:c>
      <x:c r="D22" s="28" t="str">
        <x:f>'03_BASE_FIABILISEE'!Q18</x:f>
        <x:v>Europe</x:v>
      </x:c>
      <x:c r="E22" s="38" t="n">
        <x:f>'03_BASE_FIABILISEE'!F18</x:f>
        <x:v>19921.53</x:v>
      </x:c>
      <x:c r="F22" s="38" t="n">
        <x:f>'03_BASE_FIABILISEE'!G18</x:f>
        <x:v>19921.53</x:v>
      </x:c>
      <x:c r="G22" s="38" t="n">
        <x:f>E22-F22</x:f>
        <x:v>0</x:v>
      </x:c>
      <x:c r="H22" s="28" t="str">
        <x:f>IF(G22&lt;=0,"Payée",IF(F22=0,"Impayée","Partielle"))</x:f>
        <x:v>Payée</x:v>
      </x:c>
      <x:c r="I22" s="40" t="n">
        <x:f>IFERROR(F22/E22,0)</x:f>
        <x:v>1</x:v>
      </x:c>
      <x:c r="J22" s="28" t="str">
        <x:f>IF(H22="Impayée","RELANCE",IF(H22="Partielle","SUIVI","OK"))</x:f>
        <x:v>OK</x:v>
      </x:c>
    </x:row>
    <x:row r="23">
      <x:c r="A23" s="28" t="str">
        <x:f>'03_BASE_FIABILISEE'!A19</x:f>
        <x:v>DV-2025-00018</x:v>
      </x:c>
      <x:c r="B23" s="28" t="str">
        <x:f>TRIM('03_BASE_FIABILISEE'!C19)</x:f>
        <x:v>Client 41</x:v>
      </x:c>
      <x:c r="C23" s="28" t="str">
        <x:f>'03_BASE_FIABILISEE'!P19</x:f>
        <x:v>PME</x:v>
      </x:c>
      <x:c r="D23" s="28" t="str">
        <x:f>'03_BASE_FIABILISEE'!Q19</x:f>
        <x:v>Europe</x:v>
      </x:c>
      <x:c r="E23" s="38" t="n">
        <x:f>'03_BASE_FIABILISEE'!F19</x:f>
        <x:v>21439.35</x:v>
      </x:c>
      <x:c r="F23" s="38" t="n">
        <x:f>'03_BASE_FIABILISEE'!G19</x:f>
        <x:v>8682.83</x:v>
      </x:c>
      <x:c r="G23" s="38" t="n">
        <x:f>E23-F23</x:f>
        <x:v>12756.519999999999</x:v>
      </x:c>
      <x:c r="H23" s="28" t="str">
        <x:f>IF(G23&lt;=0,"Payée",IF(F23=0,"Impayée","Partielle"))</x:f>
        <x:v>Partielle</x:v>
      </x:c>
      <x:c r="I23" s="40" t="n">
        <x:f>IFERROR(F23/E23,0)</x:f>
        <x:v>0.40499502083785194</x:v>
      </x:c>
      <x:c r="J23" s="28" t="str">
        <x:f>IF(H23="Impayée","RELANCE",IF(H23="Partielle","SUIVI","OK"))</x:f>
        <x:v>SUIVI</x:v>
      </x:c>
    </x:row>
    <x:row r="24">
      <x:c r="A24" s="28" t="str">
        <x:f>'03_BASE_FIABILISEE'!A20</x:f>
        <x:v>DV-2026-00019</x:v>
      </x:c>
      <x:c r="B24" s="28" t="str">
        <x:f>TRIM('03_BASE_FIABILISEE'!C20)</x:f>
        <x:v>Client 31</x:v>
      </x:c>
      <x:c r="C24" s="28" t="str">
        <x:f>'03_BASE_FIABILISEE'!P20</x:f>
        <x:v>Grands comptes</x:v>
      </x:c>
      <x:c r="D24" s="28" t="str">
        <x:f>'03_BASE_FIABILISEE'!Q20</x:f>
        <x:v>France</x:v>
      </x:c>
      <x:c r="E24" s="38" t="n">
        <x:f>'03_BASE_FIABILISEE'!F20</x:f>
        <x:v>12310.98</x:v>
      </x:c>
      <x:c r="F24" s="38" t="n">
        <x:f>'03_BASE_FIABILISEE'!G20</x:f>
        <x:v>0</x:v>
      </x:c>
      <x:c r="G24" s="38" t="n">
        <x:f>E24-F24</x:f>
        <x:v>12310.98</x:v>
      </x:c>
      <x:c r="H24" s="28" t="str">
        <x:f>IF(G24&lt;=0,"Payée",IF(F24=0,"Impayée","Partielle"))</x:f>
        <x:v>Impayée</x:v>
      </x:c>
      <x:c r="I24" s="40" t="n">
        <x:f>IFERROR(F24/E24,0)</x:f>
        <x:v>0</x:v>
      </x:c>
      <x:c r="J24" s="28" t="str">
        <x:f>IF(H24="Impayée","RELANCE",IF(H24="Partielle","SUIVI","OK"))</x:f>
        <x:v>RELANCE</x:v>
      </x:c>
    </x:row>
    <x:row r="25">
      <x:c r="A25" s="28" t="str">
        <x:f>'03_BASE_FIABILISEE'!A21</x:f>
        <x:v>DV-2025-00020</x:v>
      </x:c>
      <x:c r="B25" s="28" t="str">
        <x:f>TRIM('03_BASE_FIABILISEE'!C21)</x:f>
        <x:v>Client 29</x:v>
      </x:c>
      <x:c r="C25" s="28" t="str">
        <x:f>'03_BASE_FIABILISEE'!P21</x:f>
        <x:v>PME</x:v>
      </x:c>
      <x:c r="D25" s="28" t="str">
        <x:f>'03_BASE_FIABILISEE'!Q21</x:f>
        <x:v>Europe</x:v>
      </x:c>
      <x:c r="E25" s="38" t="n">
        <x:f>'03_BASE_FIABILISEE'!F21</x:f>
        <x:v>21559.2</x:v>
      </x:c>
      <x:c r="F25" s="38" t="n">
        <x:f>'03_BASE_FIABILISEE'!G21</x:f>
        <x:v>21559.2</x:v>
      </x:c>
      <x:c r="G25" s="38" t="n">
        <x:f>E25-F25</x:f>
        <x:v>0</x:v>
      </x:c>
      <x:c r="H25" s="28" t="str">
        <x:f>IF(G25&lt;=0,"Payée",IF(F25=0,"Impayée","Partielle"))</x:f>
        <x:v>Payée</x:v>
      </x:c>
      <x:c r="I25" s="40" t="n">
        <x:f>IFERROR(F25/E25,0)</x:f>
        <x:v>1</x:v>
      </x:c>
      <x:c r="J25" s="28" t="str">
        <x:f>IF(H25="Impayée","RELANCE",IF(H25="Partielle","SUIVI","OK"))</x:f>
        <x:v>OK</x:v>
      </x:c>
    </x:row>
    <x:row r="26">
      <x:c r="A26" s="28" t="str">
        <x:f>'03_BASE_FIABILISEE'!A22</x:f>
        <x:v>DV-2026-00021</x:v>
      </x:c>
      <x:c r="B26" s="28" t="str">
        <x:f>TRIM('03_BASE_FIABILISEE'!C22)</x:f>
        <x:v>Client 37</x:v>
      </x:c>
      <x:c r="C26" s="28" t="str">
        <x:f>'03_BASE_FIABILISEE'!P22</x:f>
        <x:v>Grands comptes</x:v>
      </x:c>
      <x:c r="D26" s="28" t="str">
        <x:f>'03_BASE_FIABILISEE'!Q22</x:f>
        <x:v>France</x:v>
      </x:c>
      <x:c r="E26" s="38" t="n">
        <x:f>'03_BASE_FIABILISEE'!F22</x:f>
        <x:v>22106.53</x:v>
      </x:c>
      <x:c r="F26" s="38" t="n">
        <x:f>'03_BASE_FIABILISEE'!G22</x:f>
        <x:v>22106.53</x:v>
      </x:c>
      <x:c r="G26" s="38" t="n">
        <x:f>E26-F26</x:f>
        <x:v>0</x:v>
      </x:c>
      <x:c r="H26" s="28" t="str">
        <x:f>IF(G26&lt;=0,"Payée",IF(F26=0,"Impayée","Partielle"))</x:f>
        <x:v>Payée</x:v>
      </x:c>
      <x:c r="I26" s="40" t="n">
        <x:f>IFERROR(F26/E26,0)</x:f>
        <x:v>1</x:v>
      </x:c>
      <x:c r="J26" s="28" t="str">
        <x:f>IF(H26="Impayée","RELANCE",IF(H26="Partielle","SUIVI","OK"))</x:f>
        <x:v>OK</x:v>
      </x:c>
    </x:row>
    <x:row r="27">
      <x:c r="A27" s="28" t="str">
        <x:f>'03_BASE_FIABILISEE'!A23</x:f>
        <x:v>DV-2024-00022</x:v>
      </x:c>
      <x:c r="B27" s="28" t="str">
        <x:f>TRIM('03_BASE_FIABILISEE'!C23)</x:f>
        <x:v>Client 22</x:v>
      </x:c>
      <x:c r="C27" s="28" t="str">
        <x:f>'03_BASE_FIABILISEE'!P23</x:f>
        <x:v>Grands comptes</x:v>
      </x:c>
      <x:c r="D27" s="28" t="str">
        <x:f>'03_BASE_FIABILISEE'!Q23</x:f>
        <x:v>France</x:v>
      </x:c>
      <x:c r="E27" s="38" t="n">
        <x:f>'03_BASE_FIABILISEE'!F23</x:f>
        <x:v>11942.89</x:v>
      </x:c>
      <x:c r="F27" s="38" t="n">
        <x:f>'03_BASE_FIABILISEE'!G23</x:f>
        <x:v>6935.14</x:v>
      </x:c>
      <x:c r="G27" s="38" t="n">
        <x:f>E27-F27</x:f>
        <x:v>5007.749999999999</x:v>
      </x:c>
      <x:c r="H27" s="28" t="str">
        <x:f>IF(G27&lt;=0,"Payée",IF(F27=0,"Impayée","Partielle"))</x:f>
        <x:v>Partielle</x:v>
      </x:c>
      <x:c r="I27" s="40" t="n">
        <x:f>IFERROR(F27/E27,0)</x:f>
        <x:v>0.5806919430724055</x:v>
      </x:c>
      <x:c r="J27" s="28" t="str">
        <x:f>IF(H27="Impayée","RELANCE",IF(H27="Partielle","SUIVI","OK"))</x:f>
        <x:v>SUIVI</x:v>
      </x:c>
    </x:row>
    <x:row r="28">
      <x:c r="A28" s="28" t="str">
        <x:f>'03_BASE_FIABILISEE'!A24</x:f>
        <x:v>DV-2025-00023</x:v>
      </x:c>
      <x:c r="B28" s="28" t="str">
        <x:f>TRIM('03_BASE_FIABILISEE'!C24)</x:f>
        <x:v>Client 17</x:v>
      </x:c>
      <x:c r="C28" s="28" t="str">
        <x:f>'03_BASE_FIABILISEE'!P24</x:f>
        <x:v>PME</x:v>
      </x:c>
      <x:c r="D28" s="28" t="str">
        <x:f>'03_BASE_FIABILISEE'!Q24</x:f>
        <x:v>Europe</x:v>
      </x:c>
      <x:c r="E28" s="38" t="n">
        <x:f>'03_BASE_FIABILISEE'!F24</x:f>
        <x:v>20084.74</x:v>
      </x:c>
      <x:c r="F28" s="38" t="n">
        <x:f>'03_BASE_FIABILISEE'!G24</x:f>
        <x:v>20084.74</x:v>
      </x:c>
      <x:c r="G28" s="38" t="n">
        <x:f>E28-F28</x:f>
        <x:v>0</x:v>
      </x:c>
      <x:c r="H28" s="28" t="str">
        <x:f>IF(G28&lt;=0,"Payée",IF(F28=0,"Impayée","Partielle"))</x:f>
        <x:v>Payée</x:v>
      </x:c>
      <x:c r="I28" s="40" t="n">
        <x:f>IFERROR(F28/E28,0)</x:f>
        <x:v>1</x:v>
      </x:c>
      <x:c r="J28" s="28" t="str">
        <x:f>IF(H28="Impayée","RELANCE",IF(H28="Partielle","SUIVI","OK"))</x:f>
        <x:v>OK</x:v>
      </x:c>
    </x:row>
    <x:row r="29">
      <x:c r="A29" s="28" t="str">
        <x:f>'03_BASE_FIABILISEE'!A25</x:f>
        <x:v>DV-2025-00024</x:v>
      </x:c>
      <x:c r="B29" s="28" t="str">
        <x:f>TRIM('03_BASE_FIABILISEE'!C25)</x:f>
        <x:v>Client 03</x:v>
      </x:c>
      <x:c r="C29" s="28" t="str">
        <x:f>'03_BASE_FIABILISEE'!P25</x:f>
        <x:v>Particuliers</x:v>
      </x:c>
      <x:c r="D29" s="28" t="str">
        <x:f>'03_BASE_FIABILISEE'!Q25</x:f>
        <x:v>International</x:v>
      </x:c>
      <x:c r="E29" s="38" t="n">
        <x:f>'03_BASE_FIABILISEE'!F25</x:f>
        <x:v>7234.26</x:v>
      </x:c>
      <x:c r="F29" s="38" t="n">
        <x:f>'03_BASE_FIABILISEE'!G25</x:f>
        <x:v>1491.66</x:v>
      </x:c>
      <x:c r="G29" s="38" t="n">
        <x:f>E29-F29</x:f>
        <x:v>5742.6</x:v>
      </x:c>
      <x:c r="H29" s="28" t="str">
        <x:f>IF(G29&lt;=0,"Payée",IF(F29=0,"Impayée","Partielle"))</x:f>
        <x:v>Partielle</x:v>
      </x:c>
      <x:c r="I29" s="40" t="n">
        <x:f>IFERROR(F29/E29,0)</x:f>
        <x:v>0.2061938608786524</x:v>
      </x:c>
      <x:c r="J29" s="28" t="str">
        <x:f>IF(H29="Impayée","RELANCE",IF(H29="Partielle","SUIVI","OK"))</x:f>
        <x:v>SUIVI</x:v>
      </x:c>
    </x:row>
    <x:row r="30">
      <x:c r="A30" s="28" t="str">
        <x:f>'03_BASE_FIABILISEE'!A26</x:f>
        <x:v>DV-2024-00025</x:v>
      </x:c>
      <x:c r="B30" s="28" t="str">
        <x:f>TRIM('03_BASE_FIABILISEE'!C26)</x:f>
        <x:v>Client 49</x:v>
      </x:c>
      <x:c r="C30" s="28" t="str">
        <x:f>'03_BASE_FIABILISEE'!P26</x:f>
        <x:v>Grands comptes</x:v>
      </x:c>
      <x:c r="D30" s="28" t="str">
        <x:f>'03_BASE_FIABILISEE'!Q26</x:f>
        <x:v>France</x:v>
      </x:c>
      <x:c r="E30" s="38" t="n">
        <x:f>'03_BASE_FIABILISEE'!F26</x:f>
        <x:v>21594.06</x:v>
      </x:c>
      <x:c r="F30" s="38" t="n">
        <x:f>'03_BASE_FIABILISEE'!G26</x:f>
        <x:v>21594.06</x:v>
      </x:c>
      <x:c r="G30" s="38" t="n">
        <x:f>E30-F30</x:f>
        <x:v>0</x:v>
      </x:c>
      <x:c r="H30" s="28" t="str">
        <x:f>IF(G30&lt;=0,"Payée",IF(F30=0,"Impayée","Partielle"))</x:f>
        <x:v>Payée</x:v>
      </x:c>
      <x:c r="I30" s="40" t="n">
        <x:f>IFERROR(F30/E30,0)</x:f>
        <x:v>1</x:v>
      </x:c>
      <x:c r="J30" s="28" t="str">
        <x:f>IF(H30="Impayée","RELANCE",IF(H30="Partielle","SUIVI","OK"))</x:f>
        <x:v>OK</x:v>
      </x:c>
    </x:row>
    <x:row r="31">
      <x:c r="A31" s="28" t="str">
        <x:f>'03_BASE_FIABILISEE'!A27</x:f>
        <x:v>DV-2025-00026</x:v>
      </x:c>
      <x:c r="B31" s="28" t="str">
        <x:f>TRIM('03_BASE_FIABILISEE'!C27)</x:f>
        <x:v>Client 50</x:v>
      </x:c>
      <x:c r="C31" s="28" t="str">
        <x:f>'03_BASE_FIABILISEE'!P27</x:f>
        <x:v>PME</x:v>
      </x:c>
      <x:c r="D31" s="28" t="str">
        <x:f>'03_BASE_FIABILISEE'!Q27</x:f>
        <x:v>Europe</x:v>
      </x:c>
      <x:c r="E31" s="38" t="n">
        <x:f>'03_BASE_FIABILISEE'!F27</x:f>
        <x:v>24784.35</x:v>
      </x:c>
      <x:c r="F31" s="38" t="n">
        <x:f>'03_BASE_FIABILISEE'!G27</x:f>
        <x:v>24784.35</x:v>
      </x:c>
      <x:c r="G31" s="38" t="n">
        <x:f>E31-F31</x:f>
        <x:v>0</x:v>
      </x:c>
      <x:c r="H31" s="28" t="str">
        <x:f>IF(G31&lt;=0,"Payée",IF(F31=0,"Impayée","Partielle"))</x:f>
        <x:v>Payée</x:v>
      </x:c>
      <x:c r="I31" s="40" t="n">
        <x:f>IFERROR(F31/E31,0)</x:f>
        <x:v>1</x:v>
      </x:c>
      <x:c r="J31" s="28" t="str">
        <x:f>IF(H31="Impayée","RELANCE",IF(H31="Partielle","SUIVI","OK"))</x:f>
        <x:v>OK</x:v>
      </x:c>
    </x:row>
    <x:row r="32">
      <x:c r="A32" s="28" t="str">
        <x:f>'03_BASE_FIABILISEE'!A28</x:f>
        <x:v>DV-2025-00027</x:v>
      </x:c>
      <x:c r="B32" s="28" t="str">
        <x:f>TRIM('03_BASE_FIABILISEE'!C28)</x:f>
        <x:v>Client 06</x:v>
      </x:c>
      <x:c r="C32" s="28" t="str">
        <x:f>'03_BASE_FIABILISEE'!P28</x:f>
        <x:v>Particuliers</x:v>
      </x:c>
      <x:c r="D32" s="28" t="str">
        <x:f>'03_BASE_FIABILISEE'!Q28</x:f>
        <x:v>International</x:v>
      </x:c>
      <x:c r="E32" s="38" t="n">
        <x:f>'03_BASE_FIABILISEE'!F28</x:f>
        <x:v>22173.64</x:v>
      </x:c>
      <x:c r="F32" s="38" t="n">
        <x:f>'03_BASE_FIABILISEE'!G28</x:f>
        <x:v>8593.05</x:v>
      </x:c>
      <x:c r="G32" s="38" t="n">
        <x:f>E32-F32</x:f>
        <x:v>13580.59</x:v>
      </x:c>
      <x:c r="H32" s="28" t="str">
        <x:f>IF(G32&lt;=0,"Payée",IF(F32=0,"Impayée","Partielle"))</x:f>
        <x:v>Partielle</x:v>
      </x:c>
      <x:c r="I32" s="40" t="n">
        <x:f>IFERROR(F32/E32,0)</x:f>
        <x:v>0.38753447787553147</x:v>
      </x:c>
      <x:c r="J32" s="28" t="str">
        <x:f>IF(H32="Impayée","RELANCE",IF(H32="Partielle","SUIVI","OK"))</x:f>
        <x:v>SUIVI</x:v>
      </x:c>
    </x:row>
    <x:row r="33">
      <x:c r="A33" s="28" t="str">
        <x:f>'03_BASE_FIABILISEE'!A29</x:f>
        <x:v>DV-2024-00028</x:v>
      </x:c>
      <x:c r="B33" s="28" t="str">
        <x:f>TRIM('03_BASE_FIABILISEE'!C29)</x:f>
        <x:v>Client 33</x:v>
      </x:c>
      <x:c r="C33" s="28" t="str">
        <x:f>'03_BASE_FIABILISEE'!P29</x:f>
        <x:v>Particuliers</x:v>
      </x:c>
      <x:c r="D33" s="28" t="str">
        <x:f>'03_BASE_FIABILISEE'!Q29</x:f>
        <x:v>International</x:v>
      </x:c>
      <x:c r="E33" s="38" t="n">
        <x:f>'03_BASE_FIABILISEE'!F29</x:f>
        <x:v>20528.03</x:v>
      </x:c>
      <x:c r="F33" s="38" t="n">
        <x:f>'03_BASE_FIABILISEE'!G29</x:f>
        <x:v>20528.03</x:v>
      </x:c>
      <x:c r="G33" s="38" t="n">
        <x:f>E33-F33</x:f>
        <x:v>0</x:v>
      </x:c>
      <x:c r="H33" s="28" t="str">
        <x:f>IF(G33&lt;=0,"Payée",IF(F33=0,"Impayée","Partielle"))</x:f>
        <x:v>Payée</x:v>
      </x:c>
      <x:c r="I33" s="40" t="n">
        <x:f>IFERROR(F33/E33,0)</x:f>
        <x:v>1</x:v>
      </x:c>
      <x:c r="J33" s="28" t="str">
        <x:f>IF(H33="Impayée","RELANCE",IF(H33="Partielle","SUIVI","OK"))</x:f>
        <x:v>OK</x:v>
      </x:c>
    </x:row>
    <x:row r="34">
      <x:c r="A34" s="28" t="str">
        <x:f>'03_BASE_FIABILISEE'!A30</x:f>
        <x:v>DV-2026-00029</x:v>
      </x:c>
      <x:c r="B34" s="28" t="str">
        <x:f>TRIM('03_BASE_FIABILISEE'!C30)</x:f>
        <x:v>Client 47</x:v>
      </x:c>
      <x:c r="C34" s="28" t="str">
        <x:f>'03_BASE_FIABILISEE'!P30</x:f>
        <x:v>PME</x:v>
      </x:c>
      <x:c r="D34" s="28" t="str">
        <x:f>'03_BASE_FIABILISEE'!Q30</x:f>
        <x:v>Europe</x:v>
      </x:c>
      <x:c r="E34" s="38" t="n">
        <x:f>'03_BASE_FIABILISEE'!F30</x:f>
        <x:v>17654.25</x:v>
      </x:c>
      <x:c r="F34" s="38" t="n">
        <x:f>'03_BASE_FIABILISEE'!G30</x:f>
        <x:v>0</x:v>
      </x:c>
      <x:c r="G34" s="38" t="n">
        <x:f>E34-F34</x:f>
        <x:v>17654.25</x:v>
      </x:c>
      <x:c r="H34" s="28" t="str">
        <x:f>IF(G34&lt;=0,"Payée",IF(F34=0,"Impayée","Partielle"))</x:f>
        <x:v>Impayée</x:v>
      </x:c>
      <x:c r="I34" s="40" t="n">
        <x:f>IFERROR(F34/E34,0)</x:f>
        <x:v>0</x:v>
      </x:c>
      <x:c r="J34" s="28" t="str">
        <x:f>IF(H34="Impayée","RELANCE",IF(H34="Partielle","SUIVI","OK"))</x:f>
        <x:v>RELANCE</x:v>
      </x:c>
    </x:row>
    <x:row r="35">
      <x:c r="A35" s="28" t="str">
        <x:f>'03_BASE_FIABILISEE'!A31</x:f>
        <x:v>DV-2025-00030</x:v>
      </x:c>
      <x:c r="B35" s="28" t="str">
        <x:f>TRIM('03_BASE_FIABILISEE'!C31)</x:f>
        <x:v>Client 49</x:v>
      </x:c>
      <x:c r="C35" s="28" t="str">
        <x:f>'03_BASE_FIABILISEE'!P31</x:f>
        <x:v>Grands comptes</x:v>
      </x:c>
      <x:c r="D35" s="28" t="str">
        <x:f>'03_BASE_FIABILISEE'!Q31</x:f>
        <x:v>France</x:v>
      </x:c>
      <x:c r="E35" s="38" t="n">
        <x:f>'03_BASE_FIABILISEE'!F31</x:f>
        <x:v>4234.74</x:v>
      </x:c>
      <x:c r="F35" s="38" t="n">
        <x:f>'03_BASE_FIABILISEE'!G31</x:f>
        <x:v>2614.87</x:v>
      </x:c>
      <x:c r="G35" s="38" t="n">
        <x:f>E35-F35</x:f>
        <x:v>1619.87</x:v>
      </x:c>
      <x:c r="H35" s="28" t="str">
        <x:f>IF(G35&lt;=0,"Payée",IF(F35=0,"Impayée","Partielle"))</x:f>
        <x:v>Partielle</x:v>
      </x:c>
      <x:c r="I35" s="40" t="n">
        <x:f>IFERROR(F35/E35,0)</x:f>
        <x:v>0.6174806481625791</x:v>
      </x:c>
      <x:c r="J35" s="28" t="str">
        <x:f>IF(H35="Impayée","RELANCE",IF(H35="Partielle","SUIVI","OK"))</x:f>
        <x:v>SUIVI</x:v>
      </x:c>
    </x:row>
    <x:row r="36">
      <x:c r="A36" s="28" t="str">
        <x:f>'03_BASE_FIABILISEE'!A32</x:f>
        <x:v>DV-2026-00031</x:v>
      </x:c>
      <x:c r="B36" s="28" t="str">
        <x:f>TRIM('03_BASE_FIABILISEE'!C32)</x:f>
        <x:v>Client 07</x:v>
      </x:c>
      <x:c r="C36" s="28" t="str">
        <x:f>'03_BASE_FIABILISEE'!P32</x:f>
        <x:v>Grands comptes</x:v>
      </x:c>
      <x:c r="D36" s="28" t="str">
        <x:f>'03_BASE_FIABILISEE'!Q32</x:f>
        <x:v>France</x:v>
      </x:c>
      <x:c r="E36" s="38" t="n">
        <x:f>'03_BASE_FIABILISEE'!F32</x:f>
        <x:v>12468.96</x:v>
      </x:c>
      <x:c r="F36" s="38" t="n">
        <x:f>'03_BASE_FIABILISEE'!G32</x:f>
        <x:v>12468.96</x:v>
      </x:c>
      <x:c r="G36" s="38" t="n">
        <x:f>E36-F36</x:f>
        <x:v>0</x:v>
      </x:c>
      <x:c r="H36" s="28" t="str">
        <x:f>IF(G36&lt;=0,"Payée",IF(F36=0,"Impayée","Partielle"))</x:f>
        <x:v>Payée</x:v>
      </x:c>
      <x:c r="I36" s="40" t="n">
        <x:f>IFERROR(F36/E36,0)</x:f>
        <x:v>1</x:v>
      </x:c>
      <x:c r="J36" s="28" t="str">
        <x:f>IF(H36="Impayée","RELANCE",IF(H36="Partielle","SUIVI","OK"))</x:f>
        <x:v>OK</x:v>
      </x:c>
    </x:row>
    <x:row r="37">
      <x:c r="A37" s="28" t="str">
        <x:f>'03_BASE_FIABILISEE'!A33</x:f>
        <x:v>DV-2025-00032</x:v>
      </x:c>
      <x:c r="B37" s="28" t="str">
        <x:f>TRIM('03_BASE_FIABILISEE'!C33)</x:f>
        <x:v>Client 20</x:v>
      </x:c>
      <x:c r="C37" s="28" t="str">
        <x:f>'03_BASE_FIABILISEE'!P33</x:f>
        <x:v>PME</x:v>
      </x:c>
      <x:c r="D37" s="28" t="str">
        <x:f>'03_BASE_FIABILISEE'!Q33</x:f>
        <x:v>Europe</x:v>
      </x:c>
      <x:c r="E37" s="38" t="n">
        <x:f>'03_BASE_FIABILISEE'!F33</x:f>
        <x:v>18738.75</x:v>
      </x:c>
      <x:c r="F37" s="38" t="n">
        <x:f>'03_BASE_FIABILISEE'!G33</x:f>
        <x:v>18738.75</x:v>
      </x:c>
      <x:c r="G37" s="38" t="n">
        <x:f>E37-F37</x:f>
        <x:v>0</x:v>
      </x:c>
      <x:c r="H37" s="28" t="str">
        <x:f>IF(G37&lt;=0,"Payée",IF(F37=0,"Impayée","Partielle"))</x:f>
        <x:v>Payée</x:v>
      </x:c>
      <x:c r="I37" s="40" t="n">
        <x:f>IFERROR(F37/E37,0)</x:f>
        <x:v>1</x:v>
      </x:c>
      <x:c r="J37" s="28" t="str">
        <x:f>IF(H37="Impayée","RELANCE",IF(H37="Partielle","SUIVI","OK"))</x:f>
        <x:v>OK</x:v>
      </x:c>
    </x:row>
    <x:row r="38">
      <x:c r="A38" s="28" t="str">
        <x:f>'03_BASE_FIABILISEE'!A34</x:f>
        <x:v>DV-2024-00033</x:v>
      </x:c>
      <x:c r="B38" s="28" t="str">
        <x:f>TRIM('03_BASE_FIABILISEE'!C34)</x:f>
        <x:v>Client 10</x:v>
      </x:c>
      <x:c r="C38" s="28" t="str">
        <x:f>'03_BASE_FIABILISEE'!P34</x:f>
        <x:v>Grands comptes</x:v>
      </x:c>
      <x:c r="D38" s="28" t="str">
        <x:f>'03_BASE_FIABILISEE'!Q34</x:f>
        <x:v>France</x:v>
      </x:c>
      <x:c r="E38" s="38" t="n">
        <x:f>'03_BASE_FIABILISEE'!F34</x:f>
        <x:v>23201.36</x:v>
      </x:c>
      <x:c r="F38" s="38" t="n">
        <x:f>'03_BASE_FIABILISEE'!G34</x:f>
        <x:v>23201.36</x:v>
      </x:c>
      <x:c r="G38" s="38" t="n">
        <x:f>E38-F38</x:f>
        <x:v>0</x:v>
      </x:c>
      <x:c r="H38" s="28" t="str">
        <x:f>IF(G38&lt;=0,"Payée",IF(F38=0,"Impayée","Partielle"))</x:f>
        <x:v>Payée</x:v>
      </x:c>
      <x:c r="I38" s="40" t="n">
        <x:f>IFERROR(F38/E38,0)</x:f>
        <x:v>1</x:v>
      </x:c>
      <x:c r="J38" s="28" t="str">
        <x:f>IF(H38="Impayée","RELANCE",IF(H38="Partielle","SUIVI","OK"))</x:f>
        <x:v>OK</x:v>
      </x:c>
    </x:row>
    <x:row r="39">
      <x:c r="A39" s="28" t="str">
        <x:f>'03_BASE_FIABILISEE'!A35</x:f>
        <x:v>DV-2025-00034</x:v>
      </x:c>
      <x:c r="B39" s="28" t="str">
        <x:f>TRIM('03_BASE_FIABILISEE'!C35)</x:f>
        <x:v>Client 30</x:v>
      </x:c>
      <x:c r="C39" s="28" t="str">
        <x:f>'03_BASE_FIABILISEE'!P35</x:f>
        <x:v>Particuliers</x:v>
      </x:c>
      <x:c r="D39" s="28" t="str">
        <x:f>'03_BASE_FIABILISEE'!Q35</x:f>
        <x:v>International</x:v>
      </x:c>
      <x:c r="E39" s="38" t="n">
        <x:f>'03_BASE_FIABILISEE'!F35</x:f>
        <x:v>23085.04</x:v>
      </x:c>
      <x:c r="F39" s="38" t="n">
        <x:f>'03_BASE_FIABILISEE'!G35</x:f>
        <x:v>0</x:v>
      </x:c>
      <x:c r="G39" s="38" t="n">
        <x:f>E39-F39</x:f>
        <x:v>23085.04</x:v>
      </x:c>
      <x:c r="H39" s="28" t="str">
        <x:f>IF(G39&lt;=0,"Payée",IF(F39=0,"Impayée","Partielle"))</x:f>
        <x:v>Impayée</x:v>
      </x:c>
      <x:c r="I39" s="40" t="n">
        <x:f>IFERROR(F39/E39,0)</x:f>
        <x:v>0</x:v>
      </x:c>
      <x:c r="J39" s="28" t="str">
        <x:f>IF(H39="Impayée","RELANCE",IF(H39="Partielle","SUIVI","OK"))</x:f>
        <x:v>RELANCE</x:v>
      </x:c>
    </x:row>
    <x:row r="40">
      <x:c r="A40" s="28" t="str">
        <x:f>'03_BASE_FIABILISEE'!A36</x:f>
        <x:v>DV-2026-00035</x:v>
      </x:c>
      <x:c r="B40" s="28" t="str">
        <x:f>TRIM('03_BASE_FIABILISEE'!C36)</x:f>
        <x:v>Client 32</x:v>
      </x:c>
      <x:c r="C40" s="28" t="str">
        <x:f>'03_BASE_FIABILISEE'!P36</x:f>
        <x:v>PME</x:v>
      </x:c>
      <x:c r="D40" s="28" t="str">
        <x:f>'03_BASE_FIABILISEE'!Q36</x:f>
        <x:v>Europe</x:v>
      </x:c>
      <x:c r="E40" s="38" t="n">
        <x:f>'03_BASE_FIABILISEE'!F36</x:f>
        <x:v>15911.53</x:v>
      </x:c>
      <x:c r="F40" s="38" t="n">
        <x:f>'03_BASE_FIABILISEE'!G36</x:f>
        <x:v>15911.53</x:v>
      </x:c>
      <x:c r="G40" s="38" t="n">
        <x:f>E40-F40</x:f>
        <x:v>0</x:v>
      </x:c>
      <x:c r="H40" s="28" t="str">
        <x:f>IF(G40&lt;=0,"Payée",IF(F40=0,"Impayée","Partielle"))</x:f>
        <x:v>Payée</x:v>
      </x:c>
      <x:c r="I40" s="40" t="n">
        <x:f>IFERROR(F40/E40,0)</x:f>
        <x:v>1</x:v>
      </x:c>
      <x:c r="J40" s="28" t="str">
        <x:f>IF(H40="Impayée","RELANCE",IF(H40="Partielle","SUIVI","OK"))</x:f>
        <x:v>OK</x:v>
      </x:c>
    </x:row>
    <x:row r="41">
      <x:c r="A41" s="28" t="str">
        <x:f>'03_BASE_FIABILISEE'!A37</x:f>
        <x:v>DV-2024-00036</x:v>
      </x:c>
      <x:c r="B41" s="28" t="str">
        <x:f>TRIM('03_BASE_FIABILISEE'!C37)</x:f>
        <x:v>Client 15</x:v>
      </x:c>
      <x:c r="C41" s="28" t="str">
        <x:f>'03_BASE_FIABILISEE'!P37</x:f>
        <x:v>Particuliers</x:v>
      </x:c>
      <x:c r="D41" s="28" t="str">
        <x:f>'03_BASE_FIABILISEE'!Q37</x:f>
        <x:v>International</x:v>
      </x:c>
      <x:c r="E41" s="38" t="n">
        <x:f>'03_BASE_FIABILISEE'!F37</x:f>
        <x:v>5039.97</x:v>
      </x:c>
      <x:c r="F41" s="38" t="n">
        <x:f>'03_BASE_FIABILISEE'!G37</x:f>
        <x:v>5039.97</x:v>
      </x:c>
      <x:c r="G41" s="38" t="n">
        <x:f>E41-F41</x:f>
        <x:v>0</x:v>
      </x:c>
      <x:c r="H41" s="28" t="str">
        <x:f>IF(G41&lt;=0,"Payée",IF(F41=0,"Impayée","Partielle"))</x:f>
        <x:v>Payée</x:v>
      </x:c>
      <x:c r="I41" s="40" t="n">
        <x:f>IFERROR(F41/E41,0)</x:f>
        <x:v>1</x:v>
      </x:c>
      <x:c r="J41" s="28" t="str">
        <x:f>IF(H41="Impayée","RELANCE",IF(H41="Partielle","SUIVI","OK"))</x:f>
        <x:v>OK</x:v>
      </x:c>
    </x:row>
    <x:row r="42">
      <x:c r="A42" s="28" t="str">
        <x:f>'03_BASE_FIABILISEE'!A38</x:f>
        <x:v>DV-2025-00037</x:v>
      </x:c>
      <x:c r="B42" s="28" t="str">
        <x:f>TRIM('03_BASE_FIABILISEE'!C38)</x:f>
        <x:v>Client 39</x:v>
      </x:c>
      <x:c r="C42" s="28" t="str">
        <x:f>'03_BASE_FIABILISEE'!P38</x:f>
        <x:v>Particuliers</x:v>
      </x:c>
      <x:c r="D42" s="28" t="str">
        <x:f>'03_BASE_FIABILISEE'!Q38</x:f>
        <x:v>International</x:v>
      </x:c>
      <x:c r="E42" s="38" t="n">
        <x:f>'03_BASE_FIABILISEE'!F38</x:f>
        <x:v>6568.45</x:v>
      </x:c>
      <x:c r="F42" s="38" t="n">
        <x:f>'03_BASE_FIABILISEE'!G38</x:f>
        <x:v>1582.35</x:v>
      </x:c>
      <x:c r="G42" s="38" t="n">
        <x:f>E42-F42</x:f>
        <x:v>4986.1</x:v>
      </x:c>
      <x:c r="H42" s="28" t="str">
        <x:f>IF(G42&lt;=0,"Payée",IF(F42=0,"Impayée","Partielle"))</x:f>
        <x:v>Partielle</x:v>
      </x:c>
      <x:c r="I42" s="40" t="n">
        <x:f>IFERROR(F42/E42,0)</x:f>
        <x:v>0.24090158256514094</x:v>
      </x:c>
      <x:c r="J42" s="28" t="str">
        <x:f>IF(H42="Impayée","RELANCE",IF(H42="Partielle","SUIVI","OK"))</x:f>
        <x:v>SUIVI</x:v>
      </x:c>
    </x:row>
    <x:row r="43">
      <x:c r="A43" s="28" t="str">
        <x:f>'03_BASE_FIABILISEE'!A39</x:f>
        <x:v>DV-2024-00038</x:v>
      </x:c>
      <x:c r="B43" s="28" t="str">
        <x:f>TRIM('03_BASE_FIABILISEE'!C39)</x:f>
        <x:v>Client 36</x:v>
      </x:c>
      <x:c r="C43" s="28" t="str">
        <x:f>'03_BASE_FIABILISEE'!P39</x:f>
        <x:v>Particuliers</x:v>
      </x:c>
      <x:c r="D43" s="28" t="str">
        <x:f>'03_BASE_FIABILISEE'!Q39</x:f>
        <x:v>International</x:v>
      </x:c>
      <x:c r="E43" s="38" t="n">
        <x:f>'03_BASE_FIABILISEE'!F39</x:f>
        <x:v>18443.97</x:v>
      </x:c>
      <x:c r="F43" s="38" t="n">
        <x:f>'03_BASE_FIABILISEE'!G39</x:f>
        <x:v>15270.76</x:v>
      </x:c>
      <x:c r="G43" s="38" t="n">
        <x:f>E43-F43</x:f>
        <x:v>3173.210000000001</x:v>
      </x:c>
      <x:c r="H43" s="28" t="str">
        <x:f>IF(G43&lt;=0,"Payée",IF(F43=0,"Impayée","Partielle"))</x:f>
        <x:v>Partielle</x:v>
      </x:c>
      <x:c r="I43" s="40" t="n">
        <x:f>IFERROR(F43/E43,0)</x:f>
        <x:v>0.8279540684570621</x:v>
      </x:c>
      <x:c r="J43" s="28" t="str">
        <x:f>IF(H43="Impayée","RELANCE",IF(H43="Partielle","SUIVI","OK"))</x:f>
        <x:v>SUIVI</x:v>
      </x:c>
    </x:row>
    <x:row r="44">
      <x:c r="A44" s="28" t="str">
        <x:f>'03_BASE_FIABILISEE'!A40</x:f>
        <x:v>DV-2024-00039</x:v>
      </x:c>
      <x:c r="B44" s="28" t="str">
        <x:f>TRIM('03_BASE_FIABILISEE'!C40)</x:f>
        <x:v>Client 42</x:v>
      </x:c>
      <x:c r="C44" s="28" t="str">
        <x:f>'03_BASE_FIABILISEE'!P40</x:f>
        <x:v>Particuliers</x:v>
      </x:c>
      <x:c r="D44" s="28" t="str">
        <x:f>'03_BASE_FIABILISEE'!Q40</x:f>
        <x:v>International</x:v>
      </x:c>
      <x:c r="E44" s="38" t="n">
        <x:f>'03_BASE_FIABILISEE'!F40</x:f>
        <x:v>17228.84</x:v>
      </x:c>
      <x:c r="F44" s="38" t="n">
        <x:f>'03_BASE_FIABILISEE'!G40</x:f>
        <x:v>12230.77</x:v>
      </x:c>
      <x:c r="G44" s="38" t="n">
        <x:f>E44-F44</x:f>
        <x:v>4998.07</x:v>
      </x:c>
      <x:c r="H44" s="28" t="str">
        <x:f>IF(G44&lt;=0,"Payée",IF(F44=0,"Impayée","Partielle"))</x:f>
        <x:v>Partielle</x:v>
      </x:c>
      <x:c r="I44" s="40" t="n">
        <x:f>IFERROR(F44/E44,0)</x:f>
        <x:v>0.7099009567678382</x:v>
      </x:c>
      <x:c r="J44" s="28" t="str">
        <x:f>IF(H44="Impayée","RELANCE",IF(H44="Partielle","SUIVI","OK"))</x:f>
        <x:v>SUIVI</x:v>
      </x:c>
    </x:row>
    <x:row r="45">
      <x:c r="A45" s="28" t="str">
        <x:f>'03_BASE_FIABILISEE'!A41</x:f>
        <x:v>DV-2024-00040</x:v>
      </x:c>
      <x:c r="B45" s="28" t="str">
        <x:f>TRIM('03_BASE_FIABILISEE'!C41)</x:f>
        <x:v>Client 35</x:v>
      </x:c>
      <x:c r="C45" s="28" t="str">
        <x:f>'03_BASE_FIABILISEE'!P41</x:f>
        <x:v>PME</x:v>
      </x:c>
      <x:c r="D45" s="28" t="str">
        <x:f>'03_BASE_FIABILISEE'!Q41</x:f>
        <x:v>Europe</x:v>
      </x:c>
      <x:c r="E45" s="38" t="n">
        <x:f>'03_BASE_FIABILISEE'!F41</x:f>
        <x:v>14290.96</x:v>
      </x:c>
      <x:c r="F45" s="38" t="n">
        <x:f>'03_BASE_FIABILISEE'!G41</x:f>
        <x:v>8456.82</x:v>
      </x:c>
      <x:c r="G45" s="38" t="n">
        <x:f>E45-F45</x:f>
        <x:v>5834.139999999999</x:v>
      </x:c>
      <x:c r="H45" s="28" t="str">
        <x:f>IF(G45&lt;=0,"Payée",IF(F45=0,"Impayée","Partielle"))</x:f>
        <x:v>Partielle</x:v>
      </x:c>
      <x:c r="I45" s="40" t="n">
        <x:f>IFERROR(F45/E45,0)</x:f>
        <x:v>0.5917601056891909</x:v>
      </x:c>
      <x:c r="J45" s="28" t="str">
        <x:f>IF(H45="Impayée","RELANCE",IF(H45="Partielle","SUIVI","OK"))</x:f>
        <x:v>SUIVI</x:v>
      </x:c>
    </x:row>
    <x:row r="46">
      <x:c r="A46" s="28" t="str">
        <x:f>'03_BASE_FIABILISEE'!A42</x:f>
        <x:v>DV-2024-00041</x:v>
      </x:c>
      <x:c r="B46" s="28" t="str">
        <x:f>TRIM('03_BASE_FIABILISEE'!C42)</x:f>
        <x:v>Client 44</x:v>
      </x:c>
      <x:c r="C46" s="28" t="str">
        <x:f>'03_BASE_FIABILISEE'!P42</x:f>
        <x:v>PME</x:v>
      </x:c>
      <x:c r="D46" s="28" t="str">
        <x:f>'03_BASE_FIABILISEE'!Q42</x:f>
        <x:v>Europe</x:v>
      </x:c>
      <x:c r="E46" s="38" t="n">
        <x:f>'03_BASE_FIABILISEE'!F42</x:f>
        <x:v>9384.66</x:v>
      </x:c>
      <x:c r="F46" s="38" t="n">
        <x:f>'03_BASE_FIABILISEE'!G42</x:f>
        <x:v>9384.66</x:v>
      </x:c>
      <x:c r="G46" s="38" t="n">
        <x:f>E46-F46</x:f>
        <x:v>0</x:v>
      </x:c>
      <x:c r="H46" s="28" t="str">
        <x:f>IF(G46&lt;=0,"Payée",IF(F46=0,"Impayée","Partielle"))</x:f>
        <x:v>Payée</x:v>
      </x:c>
      <x:c r="I46" s="40" t="n">
        <x:f>IFERROR(F46/E46,0)</x:f>
        <x:v>1</x:v>
      </x:c>
      <x:c r="J46" s="28" t="str">
        <x:f>IF(H46="Impayée","RELANCE",IF(H46="Partielle","SUIVI","OK"))</x:f>
        <x:v>OK</x:v>
      </x:c>
    </x:row>
    <x:row r="47">
      <x:c r="A47" s="28" t="str">
        <x:f>'03_BASE_FIABILISEE'!A43</x:f>
        <x:v>DV-2025-00042</x:v>
      </x:c>
      <x:c r="B47" s="28" t="str">
        <x:f>TRIM('03_BASE_FIABILISEE'!C43)</x:f>
        <x:v>Client 41</x:v>
      </x:c>
      <x:c r="C47" s="28" t="str">
        <x:f>'03_BASE_FIABILISEE'!P43</x:f>
        <x:v>PME</x:v>
      </x:c>
      <x:c r="D47" s="28" t="str">
        <x:f>'03_BASE_FIABILISEE'!Q43</x:f>
        <x:v>Europe</x:v>
      </x:c>
      <x:c r="E47" s="38" t="n">
        <x:f>'03_BASE_FIABILISEE'!F43</x:f>
        <x:v>17099.82</x:v>
      </x:c>
      <x:c r="F47" s="38" t="n">
        <x:f>'03_BASE_FIABILISEE'!G43</x:f>
        <x:v>17099.82</x:v>
      </x:c>
      <x:c r="G47" s="38" t="n">
        <x:f>E47-F47</x:f>
        <x:v>0</x:v>
      </x:c>
      <x:c r="H47" s="28" t="str">
        <x:f>IF(G47&lt;=0,"Payée",IF(F47=0,"Impayée","Partielle"))</x:f>
        <x:v>Payée</x:v>
      </x:c>
      <x:c r="I47" s="40" t="n">
        <x:f>IFERROR(F47/E47,0)</x:f>
        <x:v>1</x:v>
      </x:c>
      <x:c r="J47" s="28" t="str">
        <x:f>IF(H47="Impayée","RELANCE",IF(H47="Partielle","SUIVI","OK"))</x:f>
        <x:v>OK</x:v>
      </x:c>
    </x:row>
    <x:row r="48">
      <x:c r="A48" s="28" t="str">
        <x:f>'03_BASE_FIABILISEE'!A44</x:f>
        <x:v>DV-2025-00043</x:v>
      </x:c>
      <x:c r="B48" s="28" t="str">
        <x:f>TRIM('03_BASE_FIABILISEE'!C44)</x:f>
        <x:v>Client 46</x:v>
      </x:c>
      <x:c r="C48" s="28" t="str">
        <x:f>'03_BASE_FIABILISEE'!P44</x:f>
        <x:v>Grands comptes</x:v>
      </x:c>
      <x:c r="D48" s="28" t="str">
        <x:f>'03_BASE_FIABILISEE'!Q44</x:f>
        <x:v>France</x:v>
      </x:c>
      <x:c r="E48" s="38" t="n">
        <x:f>'03_BASE_FIABILISEE'!F44</x:f>
        <x:v>8376.31</x:v>
      </x:c>
      <x:c r="F48" s="38" t="n">
        <x:f>'03_BASE_FIABILISEE'!G44</x:f>
        <x:v>0</x:v>
      </x:c>
      <x:c r="G48" s="38" t="n">
        <x:f>E48-F48</x:f>
        <x:v>8376.31</x:v>
      </x:c>
      <x:c r="H48" s="28" t="str">
        <x:f>IF(G48&lt;=0,"Payée",IF(F48=0,"Impayée","Partielle"))</x:f>
        <x:v>Impayée</x:v>
      </x:c>
      <x:c r="I48" s="40" t="n">
        <x:f>IFERROR(F48/E48,0)</x:f>
        <x:v>0</x:v>
      </x:c>
      <x:c r="J48" s="28" t="str">
        <x:f>IF(H48="Impayée","RELANCE",IF(H48="Partielle","SUIVI","OK"))</x:f>
        <x:v>RELANCE</x:v>
      </x:c>
    </x:row>
    <x:row r="49">
      <x:c r="A49" s="28" t="str">
        <x:f>'03_BASE_FIABILISEE'!A45</x:f>
        <x:v>DV-2024-00044</x:v>
      </x:c>
      <x:c r="B49" s="28" t="str">
        <x:f>TRIM('03_BASE_FIABILISEE'!C45)</x:f>
        <x:v>Client 07</x:v>
      </x:c>
      <x:c r="C49" s="28" t="str">
        <x:f>'03_BASE_FIABILISEE'!P45</x:f>
        <x:v>Grands comptes</x:v>
      </x:c>
      <x:c r="D49" s="28" t="str">
        <x:f>'03_BASE_FIABILISEE'!Q45</x:f>
        <x:v>France</x:v>
      </x:c>
      <x:c r="E49" s="38" t="n">
        <x:f>'03_BASE_FIABILISEE'!F45</x:f>
        <x:v>24199.68</x:v>
      </x:c>
      <x:c r="F49" s="38" t="n">
        <x:f>'03_BASE_FIABILISEE'!G45</x:f>
        <x:v>24199.68</x:v>
      </x:c>
      <x:c r="G49" s="38" t="n">
        <x:f>E49-F49</x:f>
        <x:v>0</x:v>
      </x:c>
      <x:c r="H49" s="28" t="str">
        <x:f>IF(G49&lt;=0,"Payée",IF(F49=0,"Impayée","Partielle"))</x:f>
        <x:v>Payée</x:v>
      </x:c>
      <x:c r="I49" s="40" t="n">
        <x:f>IFERROR(F49/E49,0)</x:f>
        <x:v>1</x:v>
      </x:c>
      <x:c r="J49" s="28" t="str">
        <x:f>IF(H49="Impayée","RELANCE",IF(H49="Partielle","SUIVI","OK"))</x:f>
        <x:v>OK</x:v>
      </x:c>
    </x:row>
    <x:row r="50">
      <x:c r="A50" s="28" t="str">
        <x:f>'03_BASE_FIABILISEE'!A46</x:f>
        <x:v>DV-2024-00045</x:v>
      </x:c>
      <x:c r="B50" s="28" t="str">
        <x:f>TRIM('03_BASE_FIABILISEE'!C46)</x:f>
        <x:v>Client 47</x:v>
      </x:c>
      <x:c r="C50" s="28" t="str">
        <x:f>'03_BASE_FIABILISEE'!P46</x:f>
        <x:v>PME</x:v>
      </x:c>
      <x:c r="D50" s="28" t="str">
        <x:f>'03_BASE_FIABILISEE'!Q46</x:f>
        <x:v>Europe</x:v>
      </x:c>
      <x:c r="E50" s="38" t="n">
        <x:f>'03_BASE_FIABILISEE'!F46</x:f>
        <x:v>16927.47</x:v>
      </x:c>
      <x:c r="F50" s="38" t="n">
        <x:f>'03_BASE_FIABILISEE'!G46</x:f>
        <x:v>16927.47</x:v>
      </x:c>
      <x:c r="G50" s="38" t="n">
        <x:f>E50-F50</x:f>
        <x:v>0</x:v>
      </x:c>
      <x:c r="H50" s="28" t="str">
        <x:f>IF(G50&lt;=0,"Payée",IF(F50=0,"Impayée","Partielle"))</x:f>
        <x:v>Payée</x:v>
      </x:c>
      <x:c r="I50" s="40" t="n">
        <x:f>IFERROR(F50/E50,0)</x:f>
        <x:v>1</x:v>
      </x:c>
      <x:c r="J50" s="28" t="str">
        <x:f>IF(H50="Impayée","RELANCE",IF(H50="Partielle","SUIVI","OK"))</x:f>
        <x:v>OK</x:v>
      </x:c>
    </x:row>
    <x:row r="51">
      <x:c r="A51" s="28" t="str">
        <x:f>'03_BASE_FIABILISEE'!A47</x:f>
        <x:v>DV-2025-00046</x:v>
      </x:c>
      <x:c r="B51" s="28" t="str">
        <x:f>TRIM('03_BASE_FIABILISEE'!C47)</x:f>
        <x:v>Client 18</x:v>
      </x:c>
      <x:c r="C51" s="28" t="str">
        <x:f>'03_BASE_FIABILISEE'!P47</x:f>
        <x:v>Particuliers</x:v>
      </x:c>
      <x:c r="D51" s="28" t="str">
        <x:f>'03_BASE_FIABILISEE'!Q47</x:f>
        <x:v>International</x:v>
      </x:c>
      <x:c r="E51" s="38" t="n">
        <x:f>'03_BASE_FIABILISEE'!F47</x:f>
        <x:v>9539.92</x:v>
      </x:c>
      <x:c r="F51" s="38" t="n">
        <x:f>'03_BASE_FIABILISEE'!G47</x:f>
        <x:v>9539.92</x:v>
      </x:c>
      <x:c r="G51" s="38" t="n">
        <x:f>E51-F51</x:f>
        <x:v>0</x:v>
      </x:c>
      <x:c r="H51" s="28" t="str">
        <x:f>IF(G51&lt;=0,"Payée",IF(F51=0,"Impayée","Partielle"))</x:f>
        <x:v>Payée</x:v>
      </x:c>
      <x:c r="I51" s="40" t="n">
        <x:f>IFERROR(F51/E51,0)</x:f>
        <x:v>1</x:v>
      </x:c>
      <x:c r="J51" s="28" t="str">
        <x:f>IF(H51="Impayée","RELANCE",IF(H51="Partielle","SUIVI","OK"))</x:f>
        <x:v>OK</x:v>
      </x:c>
    </x:row>
    <x:row r="52">
      <x:c r="A52" s="28" t="str">
        <x:f>'03_BASE_FIABILISEE'!A48</x:f>
        <x:v>DV-2024-00047</x:v>
      </x:c>
      <x:c r="B52" s="28" t="str">
        <x:f>TRIM('03_BASE_FIABILISEE'!C48)</x:f>
        <x:v>Client 29</x:v>
      </x:c>
      <x:c r="C52" s="28" t="str">
        <x:f>'03_BASE_FIABILISEE'!P48</x:f>
        <x:v>PME</x:v>
      </x:c>
      <x:c r="D52" s="28" t="str">
        <x:f>'03_BASE_FIABILISEE'!Q48</x:f>
        <x:v>Europe</x:v>
      </x:c>
      <x:c r="E52" s="38" t="n">
        <x:f>'03_BASE_FIABILISEE'!F48</x:f>
        <x:v>7307.3</x:v>
      </x:c>
      <x:c r="F52" s="38" t="n">
        <x:f>'03_BASE_FIABILISEE'!G48</x:f>
        <x:v>7307.3</x:v>
      </x:c>
      <x:c r="G52" s="38" t="n">
        <x:f>E52-F52</x:f>
        <x:v>0</x:v>
      </x:c>
      <x:c r="H52" s="28" t="str">
        <x:f>IF(G52&lt;=0,"Payée",IF(F52=0,"Impayée","Partielle"))</x:f>
        <x:v>Payée</x:v>
      </x:c>
      <x:c r="I52" s="40" t="n">
        <x:f>IFERROR(F52/E52,0)</x:f>
        <x:v>1</x:v>
      </x:c>
      <x:c r="J52" s="28" t="str">
        <x:f>IF(H52="Impayée","RELANCE",IF(H52="Partielle","SUIVI","OK"))</x:f>
        <x:v>OK</x:v>
      </x:c>
    </x:row>
    <x:row r="53">
      <x:c r="A53" s="28" t="str">
        <x:f>'03_BASE_FIABILISEE'!A49</x:f>
        <x:v>DV-2024-00048</x:v>
      </x:c>
      <x:c r="B53" s="28" t="str">
        <x:f>TRIM('03_BASE_FIABILISEE'!C49)</x:f>
        <x:v>Client 46</x:v>
      </x:c>
      <x:c r="C53" s="28" t="str">
        <x:f>'03_BASE_FIABILISEE'!P49</x:f>
        <x:v>Grands comptes</x:v>
      </x:c>
      <x:c r="D53" s="28" t="str">
        <x:f>'03_BASE_FIABILISEE'!Q49</x:f>
        <x:v>France</x:v>
      </x:c>
      <x:c r="E53" s="38" t="n">
        <x:f>'03_BASE_FIABILISEE'!F49</x:f>
        <x:v>1674.06</x:v>
      </x:c>
      <x:c r="F53" s="38" t="n">
        <x:f>'03_BASE_FIABILISEE'!G49</x:f>
        <x:v>1674.06</x:v>
      </x:c>
      <x:c r="G53" s="38" t="n">
        <x:f>E53-F53</x:f>
        <x:v>0</x:v>
      </x:c>
      <x:c r="H53" s="28" t="str">
        <x:f>IF(G53&lt;=0,"Payée",IF(F53=0,"Impayée","Partielle"))</x:f>
        <x:v>Payée</x:v>
      </x:c>
      <x:c r="I53" s="40" t="n">
        <x:f>IFERROR(F53/E53,0)</x:f>
        <x:v>1</x:v>
      </x:c>
      <x:c r="J53" s="28" t="str">
        <x:f>IF(H53="Impayée","RELANCE",IF(H53="Partielle","SUIVI","OK"))</x:f>
        <x:v>OK</x:v>
      </x:c>
    </x:row>
    <x:row r="54">
      <x:c r="A54" s="28" t="str">
        <x:f>'03_BASE_FIABILISEE'!A50</x:f>
        <x:v>DV-2026-00049</x:v>
      </x:c>
      <x:c r="B54" s="28" t="str">
        <x:f>TRIM('03_BASE_FIABILISEE'!C50)</x:f>
        <x:v>Client 15</x:v>
      </x:c>
      <x:c r="C54" s="28" t="str">
        <x:f>'03_BASE_FIABILISEE'!P50</x:f>
        <x:v>Particuliers</x:v>
      </x:c>
      <x:c r="D54" s="28" t="str">
        <x:f>'03_BASE_FIABILISEE'!Q50</x:f>
        <x:v>International</x:v>
      </x:c>
      <x:c r="E54" s="38" t="n">
        <x:f>'03_BASE_FIABILISEE'!F50</x:f>
        <x:v>636.45</x:v>
      </x:c>
      <x:c r="F54" s="38" t="n">
        <x:f>'03_BASE_FIABILISEE'!G50</x:f>
        <x:v>636.45</x:v>
      </x:c>
      <x:c r="G54" s="38" t="n">
        <x:f>E54-F54</x:f>
        <x:v>0</x:v>
      </x:c>
      <x:c r="H54" s="28" t="str">
        <x:f>IF(G54&lt;=0,"Payée",IF(F54=0,"Impayée","Partielle"))</x:f>
        <x:v>Payée</x:v>
      </x:c>
      <x:c r="I54" s="40" t="n">
        <x:f>IFERROR(F54/E54,0)</x:f>
        <x:v>1</x:v>
      </x:c>
      <x:c r="J54" s="28" t="str">
        <x:f>IF(H54="Impayée","RELANCE",IF(H54="Partielle","SUIVI","OK"))</x:f>
        <x:v>OK</x:v>
      </x:c>
    </x:row>
    <x:row r="55">
      <x:c r="A55" s="28" t="str">
        <x:f>'03_BASE_FIABILISEE'!A51</x:f>
        <x:v>DV-2024-00050</x:v>
      </x:c>
      <x:c r="B55" s="28" t="str">
        <x:f>TRIM('03_BASE_FIABILISEE'!C51)</x:f>
        <x:v>Client 28</x:v>
      </x:c>
      <x:c r="C55" s="28" t="str">
        <x:f>'03_BASE_FIABILISEE'!P51</x:f>
        <x:v>Grands comptes</x:v>
      </x:c>
      <x:c r="D55" s="28" t="str">
        <x:f>'03_BASE_FIABILISEE'!Q51</x:f>
        <x:v>France</x:v>
      </x:c>
      <x:c r="E55" s="38" t="n">
        <x:f>'03_BASE_FIABILISEE'!F51</x:f>
        <x:v>4352.22</x:v>
      </x:c>
      <x:c r="F55" s="38" t="n">
        <x:f>'03_BASE_FIABILISEE'!G51</x:f>
        <x:v>4352.22</x:v>
      </x:c>
      <x:c r="G55" s="38" t="n">
        <x:f>E55-F55</x:f>
        <x:v>0</x:v>
      </x:c>
      <x:c r="H55" s="28" t="str">
        <x:f>IF(G55&lt;=0,"Payée",IF(F55=0,"Impayée","Partielle"))</x:f>
        <x:v>Payée</x:v>
      </x:c>
      <x:c r="I55" s="40" t="n">
        <x:f>IFERROR(F55/E55,0)</x:f>
        <x:v>1</x:v>
      </x:c>
      <x:c r="J55" s="28" t="str">
        <x:f>IF(H55="Impayée","RELANCE",IF(H55="Partielle","SUIVI","OK"))</x:f>
        <x:v>OK</x:v>
      </x:c>
    </x:row>
  </x:sheetData>
  <x:mergeCells>
    <x:mergeCell ref="A1:N2"/>
    <x:mergeCell ref="A3:N3"/>
  </x:mergeCells>
  <x:conditionalFormatting sqref="J6:J55">
    <x:cfRule type="expression" dxfId="4" priority="1">
      <x:formula>J6="RELANCE"</x:formula>
    </x:cfRule>
    <x:cfRule type="expression" dxfId="5" priority="2">
      <x:formula>J6="SUIVI"</x:formula>
    </x:cfRule>
    <x:cfRule type="expression" dxfId="6" priority="3">
      <x:formula>J6="OK"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51aa7757dac04526"/>
  </x:tableParts>
</x:worksheet>
</file>

<file path=xl/worksheets/sheet8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12" hidden="0" customWidth="1"/>
    <x:col min="3" max="3" width="24" hidden="0" customWidth="1"/>
    <x:col min="4" max="4" width="24" hidden="0" customWidth="1"/>
    <x:col min="5" max="5" width="12" hidden="0" customWidth="1"/>
    <x:col min="6" max="6" width="12" hidden="0" customWidth="1"/>
    <x:col min="7" max="7" width="12" hidden="0" customWidth="1"/>
    <x:col min="8" max="8" width="12" hidden="0" customWidth="1"/>
    <x:col min="9" max="9" width="12" hidden="0" customWidth="1"/>
    <x:col min="10" max="10" width="12" hidden="0" customWidth="1"/>
    <x:col min="11" max="11" width="12" hidden="0" customWidth="1"/>
    <x:col min="12" max="12" width="12" hidden="0" customWidth="1"/>
    <x:col min="13" max="13" width="12" hidden="0" customWidth="1"/>
    <x:col min="14" max="14" width="12" hidden="0" customWidth="1"/>
  </x:cols>
  <x:sheetData>
    <x:row r="1">
      <x:c r="A1" s="46" t="str">
        <x:v>DASHBOARD FINAL — PILOTAGE VENTES &amp; RÈGLEMENTS</x:v>
      </x:c>
      <x:c r="B1" s="46"/>
      <x:c r="C1" s="46"/>
      <x:c r="D1" s="46"/>
      <x:c r="E1" s="46"/>
      <x:c r="F1" s="46"/>
      <x:c r="G1" s="46"/>
      <x:c r="H1" s="46"/>
      <x:c r="I1" s="46"/>
      <x:c r="J1" s="46"/>
      <x:c r="K1" s="46"/>
      <x:c r="L1" s="46"/>
      <x:c r="M1" s="46"/>
      <x:c r="N1" s="46"/>
    </x:row>
    <x:row r="2">
      <x:c r="A2" s="46"/>
      <x:c r="B2" s="46"/>
      <x:c r="C2" s="46"/>
      <x:c r="D2" s="46"/>
      <x:c r="E2" s="46"/>
      <x:c r="F2" s="46"/>
      <x:c r="G2" s="46"/>
      <x:c r="H2" s="46"/>
      <x:c r="I2" s="46"/>
      <x:c r="J2" s="46"/>
      <x:c r="K2" s="46"/>
      <x:c r="L2" s="46"/>
      <x:c r="M2" s="46"/>
      <x:c r="N2" s="46"/>
    </x:row>
    <x:row r="3">
      <x:c r="A3" s="34" t="str">
        <x:v>Synthèse construite après fiabilisation, consolidation, analyses et contrôles • 1 000 transactions fictives</x:v>
      </x:c>
      <x:c r="B3" s="34"/>
      <x:c r="C3" s="34"/>
      <x:c r="D3" s="34"/>
      <x:c r="E3" s="34"/>
      <x:c r="F3" s="34"/>
      <x:c r="G3" s="34"/>
      <x:c r="H3" s="34"/>
      <x:c r="I3" s="34"/>
      <x:c r="J3" s="34"/>
      <x:c r="K3" s="34"/>
      <x:c r="L3" s="34"/>
      <x:c r="M3" s="34"/>
      <x:c r="N3" s="34"/>
    </x:row>
    <x:row r="5">
      <x:c r="A5" s="52" t="str">
        <x:v>FACTURÉ</x:v>
      </x:c>
      <x:c r="B5" s="52"/>
      <x:c r="C5" s="52"/>
      <x:c r="D5" s="52" t="str">
        <x:v>ENCAISSÉ</x:v>
      </x:c>
      <x:c r="E5" s="52"/>
      <x:c r="F5" s="52"/>
      <x:c r="G5" s="52" t="str">
        <x:v>CRÉANCES</x:v>
      </x:c>
      <x:c r="H5" s="52"/>
      <x:c r="I5" s="52"/>
      <x:c r="J5" s="52" t="str">
        <x:v>TAUX D’ENCAISSEMENT</x:v>
      </x:c>
      <x:c r="K5" s="52"/>
      <x:c r="L5" s="52"/>
      <x:c r="M5" s="52" t="str">
        <x:v>TRANSACTIONS</x:v>
      </x:c>
      <x:c r="N5" s="52"/>
    </x:row>
    <x:row r="6">
      <x:c r="A6" s="58" t="n">
        <x:f>SUM('03_BASE_FIABILISEE'!F2:F1001)</x:f>
        <x:v>12689744.379999986</x:v>
      </x:c>
      <x:c r="B6" s="58"/>
      <x:c r="C6" s="58"/>
      <x:c r="D6" s="58" t="n">
        <x:f>SUM('03_BASE_FIABILISEE'!G2:G1001)</x:f>
        <x:v>10473868.29999999</x:v>
      </x:c>
      <x:c r="E6" s="58"/>
      <x:c r="F6" s="58"/>
      <x:c r="G6" s="58" t="n">
        <x:f>SUM('03_BASE_FIABILISEE'!L2:L1001)</x:f>
        <x:v>2215876.0800000005</x:v>
      </x:c>
      <x:c r="H6" s="58"/>
      <x:c r="I6" s="58"/>
      <x:c r="J6" s="64" t="n">
        <x:f>IFERROR(SUM('03_BASE_FIABILISEE'!G2:G1001)/SUM('03_BASE_FIABILISEE'!F2:F1001),0)</x:f>
        <x:v>0.8253805582173596</x:v>
      </x:c>
      <x:c r="K6" s="64"/>
      <x:c r="L6" s="64"/>
      <x:c r="M6" s="71" t="n">
        <x:f>COUNTA('03_BASE_FIABILISEE'!A2:A1001)</x:f>
        <x:v>1000</x:v>
      </x:c>
      <x:c r="N6" s="71"/>
    </x:row>
    <x:row r="7">
      <x:c r="A7" s="58"/>
      <x:c r="B7" s="58"/>
      <x:c r="C7" s="58"/>
      <x:c r="D7" s="58"/>
      <x:c r="E7" s="58"/>
      <x:c r="F7" s="58"/>
      <x:c r="G7" s="58"/>
      <x:c r="H7" s="58"/>
      <x:c r="I7" s="58"/>
      <x:c r="J7" s="64"/>
      <x:c r="K7" s="64"/>
      <x:c r="L7" s="64"/>
      <x:c r="M7" s="71"/>
      <x:c r="N7" s="71"/>
    </x:row>
    <x:row r="10">
      <x:c r="A10" s="9" t="str">
        <x:v>POINT DE VIGILANCE</x:v>
      </x:c>
      <x:c r="B10" s="9" t="str">
        <x:v>VALEUR</x:v>
      </x:c>
      <x:c r="C10" s="9" t="str">
        <x:v>LECTURE</x:v>
      </x:c>
      <x:c r="D10" s="9" t="str">
        <x:v>ACTION</x:v>
      </x:c>
    </x:row>
    <x:row r="11">
      <x:c r="A11" s="29" t="str">
        <x:v>Impayées</x:v>
      </x:c>
      <x:c r="B11" s="29" t="n">
        <x:f>COUNTIF('03_BASE_FIABILISEE'!M2:M1001,"Impayée")</x:f>
        <x:v>90</x:v>
      </x:c>
      <x:c r="C11" s="29" t="str">
        <x:v>Créances sans règlement</x:v>
      </x:c>
      <x:c r="D11" s="29" t="str">
        <x:v>Relance prioritaire</x:v>
      </x:c>
    </x:row>
    <x:row r="12">
      <x:c r="A12" s="29" t="str">
        <x:v>Partielles</x:v>
      </x:c>
      <x:c r="B12" s="29" t="n">
        <x:f>COUNTIF('03_BASE_FIABILISEE'!M2:M1001,"Partielle")</x:f>
        <x:v>177</x:v>
      </x:c>
      <x:c r="C12" s="29" t="str">
        <x:v>Encaissements incomplets</x:v>
      </x:c>
      <x:c r="D12" s="29" t="str">
        <x:v>Suivi du solde</x:v>
      </x:c>
    </x:row>
    <x:row r="13">
      <x:c r="A13" s="29" t="str">
        <x:v>Délai moyen</x:v>
      </x:c>
      <x:c r="B13" s="29" t="n">
        <x:f>IFERROR(SUM('03_BASE_FIABILISEE'!N2:N1001)/COUNTIF('03_BASE_FIABILISEE'!N2:N1001,"&gt;0"),0)</x:f>
        <x:v>48.738461538461536</x:v>
      </x:c>
      <x:c r="C13" s="29" t="str">
        <x:v>Vitesse de règlement</x:v>
      </x:c>
      <x:c r="D13" s="29" t="str">
        <x:v>Analyser les retards</x:v>
      </x:c>
    </x:row>
    <x:row r="14">
      <x:c r="A14" s="29" t="str">
        <x:v>Payeur différent</x:v>
      </x:c>
      <x:c r="B14" s="29" t="n">
        <x:f>COUNTIF('03_BASE_FIABILISEE'!O2:O1001,"Oui")</x:f>
        <x:v>146</x:v>
      </x:c>
      <x:c r="C14" s="29" t="str">
        <x:v>Règlements tiers</x:v>
      </x:c>
      <x:c r="D14" s="29" t="str">
        <x:v>Rapprocher payeur/client</x:v>
      </x:c>
    </x:row>
    <x:row r="15">
      <x:c r="A15" s="29" t="str">
        <x:v>Contrôles KO</x:v>
      </x:c>
      <x:c r="B15" s="29" t="n">
        <x:f>COUNTIF('03_BASE_FIABILISEE'!R2:R1001,"À vérifier")</x:f>
        <x:v>0</x:v>
      </x:c>
      <x:c r="C15" s="29" t="str">
        <x:v>Anomalies de données</x:v>
      </x:c>
      <x:c r="D15" s="29" t="str">
        <x:v>Corriger avant diffusion</x:v>
      </x:c>
    </x:row>
    <x:row r="19">
      <x:c r="A19" s="9" t="str">
        <x:v>Mois</x:v>
      </x:c>
      <x:c r="B19" s="9" t="str">
        <x:v>Facturé</x:v>
      </x:c>
      <x:c r="C19" s="9" t="str">
        <x:v>Encaissé</x:v>
      </x:c>
      <x:c r="D19" s="9" t="str">
        <x:v>Créances</x:v>
      </x:c>
    </x:row>
    <x:row r="20">
      <x:c r="A20" s="20" t="n">
        <x:v>45292</x:v>
      </x:c>
      <x:c r="B20" s="2" t="n">
        <x:f>'04_REPORTING_MENSUEL'!B2</x:f>
        <x:v>369150.5</x:v>
      </x:c>
      <x:c r="C20" s="2" t="n">
        <x:f>'04_REPORTING_MENSUEL'!C2</x:f>
        <x:v>300666.22</x:v>
      </x:c>
      <x:c r="D20" s="2" t="n">
        <x:f>'04_REPORTING_MENSUEL'!D2</x:f>
        <x:v>68484.28000000003</x:v>
      </x:c>
    </x:row>
    <x:row r="21">
      <x:c r="A21" s="20" t="n">
        <x:v>45323</x:v>
      </x:c>
      <x:c r="B21" s="2" t="n">
        <x:f>'04_REPORTING_MENSUEL'!B3</x:f>
        <x:v>385861.71</x:v>
      </x:c>
      <x:c r="C21" s="2" t="n">
        <x:f>'04_REPORTING_MENSUEL'!C3</x:f>
        <x:v>323666.41000000003</x:v>
      </x:c>
      <x:c r="D21" s="2" t="n">
        <x:f>'04_REPORTING_MENSUEL'!D3</x:f>
        <x:v>62195.29999999999</x:v>
      </x:c>
    </x:row>
    <x:row r="22">
      <x:c r="A22" s="20" t="n">
        <x:v>45352</x:v>
      </x:c>
      <x:c r="B22" s="2" t="n">
        <x:f>'04_REPORTING_MENSUEL'!B4</x:f>
        <x:v>533400.83</x:v>
      </x:c>
      <x:c r="C22" s="2" t="n">
        <x:f>'04_REPORTING_MENSUEL'!C4</x:f>
        <x:v>451599.5399999999</x:v>
      </x:c>
      <x:c r="D22" s="2" t="n">
        <x:f>'04_REPORTING_MENSUEL'!D4</x:f>
        <x:v>81801.29000000004</x:v>
      </x:c>
    </x:row>
    <x:row r="23">
      <x:c r="A23" s="20" t="n">
        <x:v>45383</x:v>
      </x:c>
      <x:c r="B23" s="2" t="n">
        <x:f>'04_REPORTING_MENSUEL'!B5</x:f>
        <x:v>317704.53</x:v>
      </x:c>
      <x:c r="C23" s="2" t="n">
        <x:f>'04_REPORTING_MENSUEL'!C5</x:f>
        <x:v>283542.61</x:v>
      </x:c>
      <x:c r="D23" s="2" t="n">
        <x:f>'04_REPORTING_MENSUEL'!D5</x:f>
        <x:v>34161.92000000004</x:v>
      </x:c>
    </x:row>
    <x:row r="24">
      <x:c r="A24" s="20" t="n">
        <x:v>45413</x:v>
      </x:c>
      <x:c r="B24" s="2" t="n">
        <x:f>'04_REPORTING_MENSUEL'!B6</x:f>
        <x:v>380429.2199999999</x:v>
      </x:c>
      <x:c r="C24" s="2" t="n">
        <x:f>'04_REPORTING_MENSUEL'!C6</x:f>
        <x:v>306663.61999999994</x:v>
      </x:c>
      <x:c r="D24" s="2" t="n">
        <x:f>'04_REPORTING_MENSUEL'!D6</x:f>
        <x:v>73765.59999999998</x:v>
      </x:c>
    </x:row>
    <x:row r="25">
      <x:c r="A25" s="20" t="n">
        <x:v>45444</x:v>
      </x:c>
      <x:c r="B25" s="2" t="n">
        <x:f>'04_REPORTING_MENSUEL'!B7</x:f>
        <x:v>394676.56</x:v>
      </x:c>
      <x:c r="C25" s="2" t="n">
        <x:f>'04_REPORTING_MENSUEL'!C7</x:f>
        <x:v>297305.91000000003</x:v>
      </x:c>
      <x:c r="D25" s="2" t="n">
        <x:f>'04_REPORTING_MENSUEL'!D7</x:f>
        <x:v>97370.64999999997</x:v>
      </x:c>
    </x:row>
    <x:row r="26">
      <x:c r="A26" s="20" t="n">
        <x:v>45474</x:v>
      </x:c>
      <x:c r="B26" s="2" t="n">
        <x:f>'04_REPORTING_MENSUEL'!B8</x:f>
        <x:v>374372.0499999999</x:v>
      </x:c>
      <x:c r="C26" s="2" t="n">
        <x:f>'04_REPORTING_MENSUEL'!C8</x:f>
        <x:v>313998.54999999993</x:v>
      </x:c>
      <x:c r="D26" s="2" t="n">
        <x:f>'04_REPORTING_MENSUEL'!D8</x:f>
        <x:v>60373.49999999994</x:v>
      </x:c>
    </x:row>
    <x:row r="27">
      <x:c r="A27" s="20" t="n">
        <x:v>45505</x:v>
      </x:c>
      <x:c r="B27" s="2" t="n">
        <x:f>'04_REPORTING_MENSUEL'!B9</x:f>
        <x:v>446391.61000000004</x:v>
      </x:c>
      <x:c r="C27" s="2" t="n">
        <x:f>'04_REPORTING_MENSUEL'!C9</x:f>
        <x:v>383604.6400000001</x:v>
      </x:c>
      <x:c r="D27" s="2" t="n">
        <x:f>'04_REPORTING_MENSUEL'!D9</x:f>
        <x:v>62786.96999999997</x:v>
      </x:c>
    </x:row>
    <x:row r="28">
      <x:c r="A28" s="20" t="n">
        <x:v>45536</x:v>
      </x:c>
      <x:c r="B28" s="2" t="n">
        <x:f>'04_REPORTING_MENSUEL'!B10</x:f>
        <x:v>396364.0299999999</x:v>
      </x:c>
      <x:c r="C28" s="2" t="n">
        <x:f>'04_REPORTING_MENSUEL'!C10</x:f>
        <x:v>330804.87</x:v>
      </x:c>
      <x:c r="D28" s="2" t="n">
        <x:f>'04_REPORTING_MENSUEL'!D10</x:f>
        <x:v>65559.15999999992</x:v>
      </x:c>
    </x:row>
    <x:row r="29">
      <x:c r="A29" s="20" t="n">
        <x:v>45566</x:v>
      </x:c>
      <x:c r="B29" s="2" t="n">
        <x:f>'04_REPORTING_MENSUEL'!B11</x:f>
        <x:v>517944.12000000005</x:v>
      </x:c>
      <x:c r="C29" s="2" t="n">
        <x:f>'04_REPORTING_MENSUEL'!C11</x:f>
        <x:v>447169.11</x:v>
      </x:c>
      <x:c r="D29" s="2" t="n">
        <x:f>'04_REPORTING_MENSUEL'!D11</x:f>
        <x:v>70775.01000000007</x:v>
      </x:c>
    </x:row>
    <x:row r="30">
      <x:c r="A30" s="20" t="n">
        <x:v>45597</x:v>
      </x:c>
      <x:c r="B30" s="2" t="n">
        <x:f>'04_REPORTING_MENSUEL'!B12</x:f>
        <x:v>350900.79999999993</x:v>
      </x:c>
      <x:c r="C30" s="2" t="n">
        <x:f>'04_REPORTING_MENSUEL'!C12</x:f>
        <x:v>300754.10000000003</x:v>
      </x:c>
      <x:c r="D30" s="2" t="n">
        <x:f>'04_REPORTING_MENSUEL'!D12</x:f>
        <x:v>50146.699999999895</x:v>
      </x:c>
    </x:row>
    <x:row r="31">
      <x:c r="A31" s="20" t="n">
        <x:v>45627</x:v>
      </x:c>
      <x:c r="B31" s="2" t="n">
        <x:f>'04_REPORTING_MENSUEL'!B13</x:f>
        <x:v>411468.58999999997</x:v>
      </x:c>
      <x:c r="C31" s="2" t="n">
        <x:f>'04_REPORTING_MENSUEL'!C13</x:f>
        <x:v>329669.8299999999</x:v>
      </x:c>
      <x:c r="D31" s="2" t="n">
        <x:f>'04_REPORTING_MENSUEL'!D13</x:f>
        <x:v>81798.76000000007</x:v>
      </x:c>
    </x:row>
    <x:row r="32">
      <x:c r="A32" s="20" t="n">
        <x:v>45658</x:v>
      </x:c>
      <x:c r="B32" s="2" t="n">
        <x:f>'04_REPORTING_MENSUEL'!B14</x:f>
        <x:v>390140.21000000014</x:v>
      </x:c>
      <x:c r="C32" s="2" t="n">
        <x:f>'04_REPORTING_MENSUEL'!C14</x:f>
        <x:v>332495.45</x:v>
      </x:c>
      <x:c r="D32" s="2" t="n">
        <x:f>'04_REPORTING_MENSUEL'!D14</x:f>
        <x:v>57644.760000000126</x:v>
      </x:c>
    </x:row>
    <x:row r="33">
      <x:c r="A33" s="20" t="n">
        <x:v>45689</x:v>
      </x:c>
      <x:c r="B33" s="2" t="n">
        <x:f>'04_REPORTING_MENSUEL'!B15</x:f>
        <x:v>329612.92999999993</x:v>
      </x:c>
      <x:c r="C33" s="2" t="n">
        <x:f>'04_REPORTING_MENSUEL'!C15</x:f>
        <x:v>259566.54</x:v>
      </x:c>
      <x:c r="D33" s="2" t="n">
        <x:f>'04_REPORTING_MENSUEL'!D15</x:f>
        <x:v>70046.38999999993</x:v>
      </x:c>
    </x:row>
    <x:row r="34">
      <x:c r="A34" s="20" t="n">
        <x:v>45717</x:v>
      </x:c>
      <x:c r="B34" s="2" t="n">
        <x:f>'04_REPORTING_MENSUEL'!B16</x:f>
        <x:v>341331.85</x:v>
      </x:c>
      <x:c r="C34" s="2" t="n">
        <x:f>'04_REPORTING_MENSUEL'!C16</x:f>
        <x:v>216631.96999999997</x:v>
      </x:c>
      <x:c r="D34" s="2" t="n">
        <x:f>'04_REPORTING_MENSUEL'!D16</x:f>
        <x:v>124699.88</x:v>
      </x:c>
    </x:row>
    <x:row r="35">
      <x:c r="A35" s="20" t="n">
        <x:v>45748</x:v>
      </x:c>
      <x:c r="B35" s="2" t="n">
        <x:f>'04_REPORTING_MENSUEL'!B17</x:f>
        <x:v>413644.32</x:v>
      </x:c>
      <x:c r="C35" s="2" t="n">
        <x:f>'04_REPORTING_MENSUEL'!C17</x:f>
        <x:v>325086.19</x:v>
      </x:c>
      <x:c r="D35" s="2" t="n">
        <x:f>'04_REPORTING_MENSUEL'!D17</x:f>
        <x:v>88558.13</x:v>
      </x:c>
    </x:row>
    <x:row r="36">
      <x:c r="A36" s="20" t="n">
        <x:v>45778</x:v>
      </x:c>
      <x:c r="B36" s="2" t="n">
        <x:f>'04_REPORTING_MENSUEL'!B18</x:f>
        <x:v>316071.8299999999</x:v>
      </x:c>
      <x:c r="C36" s="2" t="n">
        <x:f>'04_REPORTING_MENSUEL'!C18</x:f>
        <x:v>303707.39999999997</x:v>
      </x:c>
      <x:c r="D36" s="2" t="n">
        <x:f>'04_REPORTING_MENSUEL'!D18</x:f>
        <x:v>12364.429999999935</x:v>
      </x:c>
    </x:row>
    <x:row r="37">
      <x:c r="A37" s="20" t="n">
        <x:v>45809</x:v>
      </x:c>
      <x:c r="B37" s="2" t="n">
        <x:f>'04_REPORTING_MENSUEL'!B19</x:f>
        <x:v>317968.55000000005</x:v>
      </x:c>
      <x:c r="C37" s="2" t="n">
        <x:f>'04_REPORTING_MENSUEL'!C19</x:f>
        <x:v>258265.71000000002</x:v>
      </x:c>
      <x:c r="D37" s="2" t="n">
        <x:f>'04_REPORTING_MENSUEL'!D19</x:f>
        <x:v>59702.840000000026</x:v>
      </x:c>
    </x:row>
    <x:row r="38">
      <x:c r="A38" s="20" t="n">
        <x:v>45839</x:v>
      </x:c>
      <x:c r="B38" s="2" t="n">
        <x:f>'04_REPORTING_MENSUEL'!B20</x:f>
        <x:v>372580.7800000001</x:v>
      </x:c>
      <x:c r="C38" s="2" t="n">
        <x:f>'04_REPORTING_MENSUEL'!C20</x:f>
        <x:v>305299.80000000005</x:v>
      </x:c>
      <x:c r="D38" s="2" t="n">
        <x:f>'04_REPORTING_MENSUEL'!D20</x:f>
        <x:v>67280.98000000004</x:v>
      </x:c>
    </x:row>
    <x:row r="39">
      <x:c r="A39" s="20" t="n">
        <x:v>45870</x:v>
      </x:c>
      <x:c r="B39" s="2" t="n">
        <x:f>'04_REPORTING_MENSUEL'!B21</x:f>
        <x:v>242907.27</x:v>
      </x:c>
      <x:c r="C39" s="2" t="n">
        <x:f>'04_REPORTING_MENSUEL'!C21</x:f>
        <x:v>223266.73999999996</x:v>
      </x:c>
      <x:c r="D39" s="2" t="n">
        <x:f>'04_REPORTING_MENSUEL'!D21</x:f>
        <x:v>19640.530000000028</x:v>
      </x:c>
    </x:row>
    <x:row r="40">
      <x:c r="A40" s="20" t="n">
        <x:v>45901</x:v>
      </x:c>
      <x:c r="B40" s="2" t="n">
        <x:f>'04_REPORTING_MENSUEL'!B22</x:f>
        <x:v>305054.63</x:v>
      </x:c>
      <x:c r="C40" s="2" t="n">
        <x:f>'04_REPORTING_MENSUEL'!C22</x:f>
        <x:v>238393.26000000004</x:v>
      </x:c>
      <x:c r="D40" s="2" t="n">
        <x:f>'04_REPORTING_MENSUEL'!D22</x:f>
        <x:v>66661.36999999997</x:v>
      </x:c>
    </x:row>
    <x:row r="41">
      <x:c r="A41" s="20" t="n">
        <x:v>45931</x:v>
      </x:c>
      <x:c r="B41" s="2" t="n">
        <x:f>'04_REPORTING_MENSUEL'!B23</x:f>
        <x:v>363493.3</x:v>
      </x:c>
      <x:c r="C41" s="2" t="n">
        <x:f>'04_REPORTING_MENSUEL'!C23</x:f>
        <x:v>309172.1</x:v>
      </x:c>
      <x:c r="D41" s="2" t="n">
        <x:f>'04_REPORTING_MENSUEL'!D23</x:f>
        <x:v>54321.20000000001</x:v>
      </x:c>
    </x:row>
    <x:row r="42">
      <x:c r="A42" s="20" t="n">
        <x:v>45962</x:v>
      </x:c>
      <x:c r="B42" s="2" t="n">
        <x:f>'04_REPORTING_MENSUEL'!B24</x:f>
        <x:v>422294.5799999999</x:v>
      </x:c>
      <x:c r="C42" s="2" t="n">
        <x:f>'04_REPORTING_MENSUEL'!C24</x:f>
        <x:v>381211.89999999997</x:v>
      </x:c>
      <x:c r="D42" s="2" t="n">
        <x:f>'04_REPORTING_MENSUEL'!D24</x:f>
        <x:v>41082.679999999935</x:v>
      </x:c>
    </x:row>
    <x:row r="43">
      <x:c r="A43" s="20" t="n">
        <x:v>45992</x:v>
      </x:c>
      <x:c r="B43" s="2" t="n">
        <x:f>'04_REPORTING_MENSUEL'!B25</x:f>
        <x:v>379658.02999999997</x:v>
      </x:c>
      <x:c r="C43" s="2" t="n">
        <x:f>'04_REPORTING_MENSUEL'!C25</x:f>
        <x:v>286815.01000000007</x:v>
      </x:c>
      <x:c r="D43" s="2" t="n">
        <x:f>'04_REPORTING_MENSUEL'!D25</x:f>
        <x:v>92843.0199999999</x:v>
      </x:c>
    </x:row>
    <x:row r="44">
      <x:c r="A44" s="20" t="n">
        <x:v>46023</x:v>
      </x:c>
      <x:c r="B44" s="2" t="n">
        <x:f>'04_REPORTING_MENSUEL'!B26</x:f>
        <x:v>394619.29</x:v>
      </x:c>
      <x:c r="C44" s="2" t="n">
        <x:f>'04_REPORTING_MENSUEL'!C26</x:f>
        <x:v>308288.17</x:v>
      </x:c>
      <x:c r="D44" s="2" t="n">
        <x:f>'04_REPORTING_MENSUEL'!D26</x:f>
        <x:v>86331.12</x:v>
      </x:c>
    </x:row>
    <x:row r="45">
      <x:c r="A45" s="20" t="n">
        <x:v>46054</x:v>
      </x:c>
      <x:c r="B45" s="2" t="n">
        <x:f>'04_REPORTING_MENSUEL'!B27</x:f>
        <x:v>349388.14999999997</x:v>
      </x:c>
      <x:c r="C45" s="2" t="n">
        <x:f>'04_REPORTING_MENSUEL'!C27</x:f>
        <x:v>281631.16</x:v>
      </x:c>
      <x:c r="D45" s="2" t="n">
        <x:f>'04_REPORTING_MENSUEL'!D27</x:f>
        <x:v>67756.98999999999</x:v>
      </x:c>
    </x:row>
    <x:row r="46">
      <x:c r="A46" s="20" t="n">
        <x:v>46082</x:v>
      </x:c>
      <x:c r="B46" s="2" t="n">
        <x:f>'04_REPORTING_MENSUEL'!B28</x:f>
        <x:v>432727.61000000004</x:v>
      </x:c>
      <x:c r="C46" s="2" t="n">
        <x:f>'04_REPORTING_MENSUEL'!C28</x:f>
        <x:v>362794.63999999996</x:v>
      </x:c>
      <x:c r="D46" s="2" t="n">
        <x:f>'04_REPORTING_MENSUEL'!D28</x:f>
        <x:v>69932.97000000009</x:v>
      </x:c>
    </x:row>
    <x:row r="47">
      <x:c r="A47" s="20" t="n">
        <x:v>46113</x:v>
      </x:c>
      <x:c r="B47" s="2" t="n">
        <x:f>'04_REPORTING_MENSUEL'!B29</x:f>
        <x:v>400354.65</x:v>
      </x:c>
      <x:c r="C47" s="2" t="n">
        <x:f>'04_REPORTING_MENSUEL'!C29</x:f>
        <x:v>337137.55</x:v>
      </x:c>
      <x:c r="D47" s="2" t="n">
        <x:f>'04_REPORTING_MENSUEL'!D29</x:f>
        <x:v>63217.100000000035</x:v>
      </x:c>
    </x:row>
    <x:row r="48">
      <x:c r="A48" s="20" t="n">
        <x:v>46143</x:v>
      </x:c>
      <x:c r="B48" s="2" t="n">
        <x:f>'04_REPORTING_MENSUEL'!B30</x:f>
        <x:v>394010.9000000001</x:v>
      </x:c>
      <x:c r="C48" s="2" t="n">
        <x:f>'04_REPORTING_MENSUEL'!C30</x:f>
        <x:v>346477.3400000001</x:v>
      </x:c>
      <x:c r="D48" s="2" t="n">
        <x:f>'04_REPORTING_MENSUEL'!D30</x:f>
        <x:v>47533.56</x:v>
      </x:c>
    </x:row>
    <x:row r="49">
      <x:c r="A49" s="20" t="n">
        <x:v>46174</x:v>
      </x:c>
      <x:c r="B49" s="2" t="n">
        <x:f>'04_REPORTING_MENSUEL'!B31</x:f>
        <x:v>421224.68000000005</x:v>
      </x:c>
      <x:c r="C49" s="2" t="n">
        <x:f>'04_REPORTING_MENSUEL'!C31</x:f>
        <x:v>336866.62999999995</x:v>
      </x:c>
      <x:c r="D49" s="2" t="n">
        <x:f>'04_REPORTING_MENSUEL'!D31</x:f>
        <x:v>84358.0500000001</x:v>
      </x:c>
    </x:row>
    <x:row r="50">
      <x:c r="A50" s="20" t="n">
        <x:v>46204</x:v>
      </x:c>
      <x:c r="B50" s="2" t="n">
        <x:f>'04_REPORTING_MENSUEL'!B32</x:f>
        <x:v>482715.83999999985</x:v>
      </x:c>
      <x:c r="C50" s="2" t="n">
        <x:f>'04_REPORTING_MENSUEL'!C32</x:f>
        <x:v>390018.1199999999</x:v>
      </x:c>
      <x:c r="D50" s="2" t="n">
        <x:f>'04_REPORTING_MENSUEL'!D32</x:f>
        <x:v>92697.71999999997</x:v>
      </x:c>
    </x:row>
    <x:row r="51">
      <x:c r="A51" s="20" t="n">
        <x:v>46235</x:v>
      </x:c>
      <x:c r="B51" s="2" t="n">
        <x:f>'04_REPORTING_MENSUEL'!B33</x:f>
        <x:v>484780.0800000001</x:v>
      </x:c>
      <x:c r="C51" s="2" t="n">
        <x:f>'04_REPORTING_MENSUEL'!C33</x:f>
        <x:v>397469.7</x:v>
      </x:c>
      <x:c r="D51" s="2" t="n">
        <x:f>'04_REPORTING_MENSUEL'!D33</x:f>
        <x:v>87310.38000000006</x:v>
      </x:c>
    </x:row>
    <x:row r="52">
      <x:c r="A52" s="20" t="n">
        <x:v>46266</x:v>
      </x:c>
      <x:c r="B52" s="2" t="n">
        <x:f>'04_REPORTING_MENSUEL'!B34</x:f>
        <x:v>256500.35</x:v>
      </x:c>
      <x:c r="C52" s="2" t="n">
        <x:f>'04_REPORTING_MENSUEL'!C34</x:f>
        <x:v>203827.50999999998</x:v>
      </x:c>
      <x:c r="D52" s="2" t="n">
        <x:f>'04_REPORTING_MENSUEL'!D34</x:f>
        <x:v>52672.840000000026</x:v>
      </x:c>
    </x:row>
  </x:sheetData>
  <x:mergeCells>
    <x:mergeCell ref="A1:N2"/>
    <x:mergeCell ref="A3:N3"/>
    <x:mergeCell ref="A5:C5"/>
    <x:mergeCell ref="A6:C7"/>
    <x:mergeCell ref="D5:F5"/>
    <x:mergeCell ref="D6:F7"/>
    <x:mergeCell ref="G5:I5"/>
    <x:mergeCell ref="G6:I7"/>
    <x:mergeCell ref="J5:L5"/>
    <x:mergeCell ref="J6:L7"/>
    <x:mergeCell ref="M5:N5"/>
    <x:mergeCell ref="M6:N7"/>
  </x:mergeCells>
  <x:pageMargins left="0.7" right="0.7" top="0.75" bottom="0.75" header="0.3" footer="0.3"/>
  <x:drawing xmlns:r="http://schemas.openxmlformats.org/officeDocument/2006/relationships" r:id="Rdde0641376ae48b1"/>
</x:worksheet>
</file>